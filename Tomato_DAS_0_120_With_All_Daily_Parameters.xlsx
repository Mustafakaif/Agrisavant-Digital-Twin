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5820de199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Baseline" sheetId="1" r:id="Re0c0b21e87a94953"/>
    <x:sheet xmlns:r="http://schemas.openxmlformats.org/officeDocument/2006/relationships" name="Anchor Points" sheetId="2" r:id="R08be1d666bba4570"/>
    <x:sheet xmlns:r="http://schemas.openxmlformats.org/officeDocument/2006/relationships" name="Daily Parameters" sheetId="3" r:id="R434dd66eff254975"/>
    <x:sheet xmlns:r="http://schemas.openxmlformats.org/officeDocument/2006/relationships" name="Parameter Logic" sheetId="4" r:id="Rd2416c7e4198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b/>
      <x:sz val="11"/>
      <x:name val="Carlito"/>
    </x:font>
    <x:font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14532D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14532D"/>
      </x:patternFill>
    </x:fill>
    <x:fill>
      <x:patternFill patternType="solid">
        <x:fgColor rgb="FF166534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200" fontId="3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200" fontId="3" fillId="6" borderId="0" xfId="0" applyNumberFormat="1" applyFont="1" applyFill="1" applyBorder="1" applyAlignment="1">
      <x:alignment horizontal="center" vertical="center"/>
    </x:xf>
    <x:xf numFmtId="200" fontId="0" fillId="6" borderId="0" xfId="0" applyNumberFormat="1" applyFont="1" applyFill="1" applyBorder="1" applyAlignment="1">
      <x:alignment horizontal="center" vertical="center"/>
    </x:xf>
    <x:xf numFmtId="200" fontId="4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fbbd213564e3f" /><Relationship Type="http://schemas.openxmlformats.org/officeDocument/2006/relationships/theme" Target="/xl/theme/theme1.xml" Id="R477960489e924b23" /><Relationship Type="http://schemas.openxmlformats.org/officeDocument/2006/relationships/sharedStrings" Target="/xl/sharedStrings.xml" Id="R7643b85b99374092" /><Relationship Type="http://schemas.openxmlformats.org/officeDocument/2006/relationships/worksheet" Target="/xl/worksheets/sheet1.xml" Id="Re0c0b21e87a94953" /><Relationship Type="http://schemas.openxmlformats.org/officeDocument/2006/relationships/worksheet" Target="/xl/worksheets/sheet2.xml" Id="R08be1d666bba4570" /><Relationship Type="http://schemas.openxmlformats.org/officeDocument/2006/relationships/worksheet" Target="/xl/worksheets/sheet3.xml" Id="R434dd66eff254975" /><Relationship Type="http://schemas.openxmlformats.org/officeDocument/2006/relationships/worksheet" Target="/xl/worksheets/sheet4.xml" Id="Rd2416c7e419849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ad4bb67c08427b" /><Relationship Type="http://schemas.openxmlformats.org/officeDocument/2006/relationships/chart" Target="/xl/drawings/charts/chart2.xml" Id="R70481960da9043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Height and Biomass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Stage</c:v>
          </c:tx>
          <c:cat>
            <c:strRef>
              <c:f>'Daily Baseline'!$A$2:$A$122</c:f>
              <c:strCache>
                <c:ptCount val="0"/>
              </c:strCache>
            </c:strRef>
          </c:cat>
          <c:val>
            <c:numRef>
              <c:f>'Daily Baseline'!$B$2:$B$122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Height (cm)</c:v>
          </c:tx>
          <c:cat>
            <c:strRef>
              <c:f>'Daily Baseline'!$A$2:$A$122</c:f>
              <c:strCache>
                <c:ptCount val="0"/>
              </c:strCache>
            </c:strRef>
          </c:cat>
          <c:val>
            <c:numRef>
              <c:f>'Daily Baseline'!$C$2:$C$122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Biomass Index</c:v>
          </c:tx>
          <c:cat>
            <c:strRef>
              <c:f>'Daily Baseline'!$A$2:$A$122</c:f>
              <c:strCache>
                <c:ptCount val="0"/>
              </c:strCache>
            </c:strRef>
          </c:cat>
          <c:val>
            <c:numRef>
              <c:f>'Daily Baseline'!$D$2:$D$122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Flowers, Fruits and Fruit Diameter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Flowers</c:v>
          </c:tx>
          <c:cat>
            <c:strRef>
              <c:f>'Daily Baseline'!$K$26:$K$146</c:f>
              <c:strCache>
                <c:ptCount val="0"/>
              </c:strCache>
            </c:strRef>
          </c:cat>
          <c:val>
            <c:numRef>
              <c:f>'Daily Baseline'!$L$26:$L$146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Fruits</c:v>
          </c:tx>
          <c:cat>
            <c:strRef>
              <c:f>'Daily Baseline'!$K$26:$K$146</c:f>
              <c:strCache>
                <c:ptCount val="0"/>
              </c:strCache>
            </c:strRef>
          </c:cat>
          <c:val>
            <c:numRef>
              <c:f>'Daily Baseline'!$M$26:$M$146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Fruit Diameter (mm)</c:v>
          </c:tx>
          <c:cat>
            <c:strRef>
              <c:f>'Daily Baseline'!$K$26:$K$146</c:f>
              <c:strCache>
                <c:ptCount val="0"/>
              </c:strCache>
            </c:strRef>
          </c:cat>
          <c:val>
            <c:numRef>
              <c:f>'Daily Baseline'!$N$26:$N$146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ad4bb67c08427b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19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481960da9043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BaselineTable" displayName="DailyBaselineTable" ref="A1:I122" headerRowCount="1">
  <x:tableColumns count="9">
    <x:tableColumn id="1" name="DAS"/>
    <x:tableColumn id="2" name="Stage"/>
    <x:tableColumn id="3" name="Height (cm)"/>
    <x:tableColumn id="4" name="Biomass Index"/>
    <x:tableColumn id="5" name="Flowers (Model)"/>
    <x:tableColumn id="6" name="Flowers (Display)"/>
    <x:tableColumn id="7" name="Fruits (Model)"/>
    <x:tableColumn id="8" name="Fruits (Display)"/>
    <x:tableColumn id="9" name="Fruit Diameter (mm)"/>
  </x:tableColumns>
  <x:tableStyleInfo name="TableStyleMedium2" showRowStripes="1"/>
</x:table>
</file>

<file path=xl/tables/table2.xml><?xml version="1.0" encoding="utf-8"?>
<x:table xmlns:x="http://schemas.openxmlformats.org/spreadsheetml/2006/main" id="2" name="AnchorPointsTable" displayName="AnchorPointsTable" ref="A1:F9" headerRowCount="1">
  <x:tableColumns count="6">
    <x:tableColumn id="1" name="DAS"/>
    <x:tableColumn id="2" name="Height (cm)"/>
    <x:tableColumn id="3" name="Biomass Index"/>
    <x:tableColumn id="4" name="Flowers"/>
    <x:tableColumn id="5" name="Fruits"/>
    <x:tableColumn id="6" name="Fruit Diameter (mm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1d32b43ad040ea" /><Relationship Type="http://schemas.openxmlformats.org/officeDocument/2006/relationships/table" Target="/xl/tables/table1.xml" Id="R544e1ba057df41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3b112293c246a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20" max="20" width="14" hidden="0" customWidth="1"/>
    <x:col min="21" max="21" width="14" hidden="0" customWidth="1"/>
    <x:col min="22" max="22" width="14" hidden="0" customWidth="1"/>
    <x:col min="16" max="16" width="20" hidden="0" customWidth="1"/>
    <x:col min="17" max="17" width="20" hidden="0" customWidth="1"/>
    <x:col min="18" max="18" width="20" hidden="0" customWidth="1"/>
    <x:col min="23" max="23" width="19" hidden="0" customWidth="1"/>
    <x:col min="24" max="24" width="19" hidden="0" customWidth="1"/>
    <x:col min="19" max="19" width="20" hidden="0" customWidth="1"/>
  </x:cols>
  <x:sheetData>
    <x:row r="1" ht="42" customHeight="1">
      <x:c r="A1" s="24" t="str">
        <x:v>DAS</x:v>
      </x:c>
      <x:c r="B1" s="24" t="str">
        <x:v>Stage</x:v>
      </x:c>
      <x:c r="C1" s="24" t="str">
        <x:v>Height (cm)</x:v>
      </x:c>
      <x:c r="D1" s="24" t="str">
        <x:v>Biomass Index</x:v>
      </x:c>
      <x:c r="E1" s="24" t="str">
        <x:v>Flowers (Model)</x:v>
      </x:c>
      <x:c r="F1" s="24" t="str">
        <x:v>Flowers (Display)</x:v>
      </x:c>
      <x:c r="G1" s="24" t="str">
        <x:v>Fruits (Model)</x:v>
      </x:c>
      <x:c r="H1" s="24" t="str">
        <x:v>Fruits (Display)</x:v>
      </x:c>
      <x:c r="I1" s="24" t="str">
        <x:v>Fruit Diameter (mm)</x:v>
      </x:c>
      <x:c r="J1" s="43" t="str">
        <x:v>Sun Min (h)</x:v>
      </x:c>
      <x:c r="K1" s="57" t="str">
        <x:v>Sun Target (h)</x:v>
      </x:c>
      <x:c r="L1" s="43" t="str">
        <x:v>Sun Max (h)</x:v>
      </x:c>
      <x:c r="M1" s="43" t="str">
        <x:v>RH Min (%)</x:v>
      </x:c>
      <x:c r="N1" s="57" t="str">
        <x:v>RH Target (%)</x:v>
      </x:c>
      <x:c r="O1" s="43" t="str">
        <x:v>RH Max (%)</x:v>
      </x:c>
      <x:c r="P1" s="43" t="str">
        <x:v>Soil Moisture Min (PAW%)</x:v>
      </x:c>
      <x:c r="Q1" s="57" t="str">
        <x:v>Soil Moisture Target (PAW%)</x:v>
      </x:c>
      <x:c r="R1" s="43" t="str">
        <x:v>Soil Moisture Max (PAW%)</x:v>
      </x:c>
      <x:c r="S1" s="43" t="str">
        <x:v>Daily GDD Min</x:v>
      </x:c>
      <x:c r="T1" s="43" t="str">
        <x:v>Daily GDD Target</x:v>
      </x:c>
      <x:c r="U1" s="57" t="str">
        <x:v>Daily GDD Max</x:v>
      </x:c>
      <x:c r="V1" s="43" t="str">
        <x:v>Cumulative GDD Min</x:v>
      </x:c>
      <x:c r="W1" s="57" t="str">
        <x:v>Cumulative GDD Target</x:v>
      </x:c>
      <x:c r="X1" s="43" t="str">
        <x:v>Cumulative GDD Max</x:v>
      </x:c>
    </x:row>
    <x:row r="2">
      <x:c r="A2" s="30" t="n">
        <x:v>0</x:v>
      </x:c>
      <x:c r="B2" s="11" t="str">
        <x:f>IF(A2&lt;=15,"Seedling",IF(A2&lt;=25,"Establishment",IF(A2&lt;=40,"Vegetative Growth",IF(A2&lt;=55,"Flowering &amp; Initial Fruit Set",IF(A2&lt;=80,"Fruit Enlargement",IF(A2&lt;=95,"Ripening","Harvesting"))))))</x:f>
        <x:v>Seedling</x:v>
      </x:c>
      <x:c r="C2" s="28" t="n">
        <x:f>IF(A2&lt;=15,'Anchor Points'!$B$2+(A2-'Anchor Points'!$A$2)/('Anchor Points'!$A$3-'Anchor Points'!$A$2)*('Anchor Points'!$B$3-'Anchor Points'!$B$2),IF(A2&lt;=25,'Anchor Points'!$B$3+(A2-'Anchor Points'!$A$3)/('Anchor Points'!$A$4-'Anchor Points'!$A$3)*('Anchor Points'!$B$4-'Anchor Points'!$B$3),IF(A2&lt;=40,'Anchor Points'!$B$4+(A2-'Anchor Points'!$A$4)/('Anchor Points'!$A$5-'Anchor Points'!$A$4)*('Anchor Points'!$B$5-'Anchor Points'!$B$4),IF(A2&lt;=55,'Anchor Points'!$B$5+(A2-'Anchor Points'!$A$5)/('Anchor Points'!$A$6-'Anchor Points'!$A$5)*('Anchor Points'!$B$6-'Anchor Points'!$B$5),IF(A2&lt;=70,'Anchor Points'!$B$6+(A2-'Anchor Points'!$A$6)/('Anchor Points'!$A$7-'Anchor Points'!$A$6)*('Anchor Points'!$B$7-'Anchor Points'!$B$6),IF(A2&lt;=90,'Anchor Points'!$B$7+(A2-'Anchor Points'!$A$7)/('Anchor Points'!$A$8-'Anchor Points'!$A$7)*('Anchor Points'!$B$8-'Anchor Points'!$B$7),'Anchor Points'!$B$8+(A2-'Anchor Points'!$A$8)/('Anchor Points'!$A$9-'Anchor Points'!$A$8)*('Anchor Points'!$B$9-'Anchor Points'!$B$8)))))))</x:f>
        <x:v>0</x:v>
      </x:c>
      <x:c r="D2" s="28" t="n">
        <x:f>IF(A2&lt;=15,'Anchor Points'!$C$2+(A2-'Anchor Points'!$A$2)/('Anchor Points'!$A$3-'Anchor Points'!$A$2)*('Anchor Points'!$C$3-'Anchor Points'!$C$2),IF(A2&lt;=25,'Anchor Points'!$C$3+(A2-'Anchor Points'!$A$3)/('Anchor Points'!$A$4-'Anchor Points'!$A$3)*('Anchor Points'!$C$4-'Anchor Points'!$C$3),IF(A2&lt;=40,'Anchor Points'!$C$4+(A2-'Anchor Points'!$A$4)/('Anchor Points'!$A$5-'Anchor Points'!$A$4)*('Anchor Points'!$C$5-'Anchor Points'!$C$4),IF(A2&lt;=55,'Anchor Points'!$C$5+(A2-'Anchor Points'!$A$5)/('Anchor Points'!$A$6-'Anchor Points'!$A$5)*('Anchor Points'!$C$6-'Anchor Points'!$C$5),IF(A2&lt;=70,'Anchor Points'!$C$6+(A2-'Anchor Points'!$A$6)/('Anchor Points'!$A$7-'Anchor Points'!$A$6)*('Anchor Points'!$C$7-'Anchor Points'!$C$6),IF(A2&lt;=90,'Anchor Points'!$C$7+(A2-'Anchor Points'!$A$7)/('Anchor Points'!$A$8-'Anchor Points'!$A$7)*('Anchor Points'!$C$8-'Anchor Points'!$C$7),'Anchor Points'!$C$8+(A2-'Anchor Points'!$A$8)/('Anchor Points'!$A$9-'Anchor Points'!$A$8)*('Anchor Points'!$C$9-'Anchor Points'!$C$8)))))))</x:f>
        <x:v>0</x:v>
      </x:c>
      <x:c r="E2" s="28" t="n">
        <x:f>IF(A2&lt;=15,'Anchor Points'!$D$2+(A2-'Anchor Points'!$A$2)/('Anchor Points'!$A$3-'Anchor Points'!$A$2)*('Anchor Points'!$D$3-'Anchor Points'!$D$2),IF(A2&lt;=25,'Anchor Points'!$D$3+(A2-'Anchor Points'!$A$3)/('Anchor Points'!$A$4-'Anchor Points'!$A$3)*('Anchor Points'!$D$4-'Anchor Points'!$D$3),IF(A2&lt;=40,'Anchor Points'!$D$4+(A2-'Anchor Points'!$A$4)/('Anchor Points'!$A$5-'Anchor Points'!$A$4)*('Anchor Points'!$D$5-'Anchor Points'!$D$4),IF(A2&lt;=55,'Anchor Points'!$D$5+(A2-'Anchor Points'!$A$5)/('Anchor Points'!$A$6-'Anchor Points'!$A$5)*('Anchor Points'!$D$6-'Anchor Points'!$D$5),IF(A2&lt;=70,'Anchor Points'!$D$6+(A2-'Anchor Points'!$A$6)/('Anchor Points'!$A$7-'Anchor Points'!$A$6)*('Anchor Points'!$D$7-'Anchor Points'!$D$6),IF(A2&lt;=90,'Anchor Points'!$D$7+(A2-'Anchor Points'!$A$7)/('Anchor Points'!$A$8-'Anchor Points'!$A$7)*('Anchor Points'!$D$8-'Anchor Points'!$D$7),'Anchor Points'!$D$8+(A2-'Anchor Points'!$A$8)/('Anchor Points'!$A$9-'Anchor Points'!$A$8)*('Anchor Points'!$D$9-'Anchor Points'!$D$8)))))))</x:f>
        <x:v>0</x:v>
      </x:c>
      <x:c r="F2" s="30" t="n">
        <x:f>ROUND(E2,0)</x:f>
        <x:v>0</x:v>
      </x:c>
      <x:c r="G2" s="28" t="n">
        <x:f>IF(A2&lt;=15,'Anchor Points'!$E$2+(A2-'Anchor Points'!$A$2)/('Anchor Points'!$A$3-'Anchor Points'!$A$2)*('Anchor Points'!$E$3-'Anchor Points'!$E$2),IF(A2&lt;=25,'Anchor Points'!$E$3+(A2-'Anchor Points'!$A$3)/('Anchor Points'!$A$4-'Anchor Points'!$A$3)*('Anchor Points'!$E$4-'Anchor Points'!$E$3),IF(A2&lt;=40,'Anchor Points'!$E$4+(A2-'Anchor Points'!$A$4)/('Anchor Points'!$A$5-'Anchor Points'!$A$4)*('Anchor Points'!$E$5-'Anchor Points'!$E$4),IF(A2&lt;=55,'Anchor Points'!$E$5+(A2-'Anchor Points'!$A$5)/('Anchor Points'!$A$6-'Anchor Points'!$A$5)*('Anchor Points'!$E$6-'Anchor Points'!$E$5),IF(A2&lt;=70,'Anchor Points'!$E$6+(A2-'Anchor Points'!$A$6)/('Anchor Points'!$A$7-'Anchor Points'!$A$6)*('Anchor Points'!$E$7-'Anchor Points'!$E$6),IF(A2&lt;=90,'Anchor Points'!$E$7+(A2-'Anchor Points'!$A$7)/('Anchor Points'!$A$8-'Anchor Points'!$A$7)*('Anchor Points'!$E$8-'Anchor Points'!$E$7),'Anchor Points'!$E$8+(A2-'Anchor Points'!$A$8)/('Anchor Points'!$A$9-'Anchor Points'!$A$8)*('Anchor Points'!$E$9-'Anchor Points'!$E$8)))))))</x:f>
        <x:v>0</x:v>
      </x:c>
      <x:c r="H2" s="30" t="n">
        <x:f>ROUND(G2,0)</x:f>
        <x:v>0</x:v>
      </x:c>
      <x:c r="I2" s="28" t="n">
        <x:f>IF(A2&lt;=15,'Anchor Points'!$F$2+(A2-'Anchor Points'!$A$2)/('Anchor Points'!$A$3-'Anchor Points'!$A$2)*('Anchor Points'!$F$3-'Anchor Points'!$F$2),IF(A2&lt;=25,'Anchor Points'!$F$3+(A2-'Anchor Points'!$A$3)/('Anchor Points'!$A$4-'Anchor Points'!$A$3)*('Anchor Points'!$F$4-'Anchor Points'!$F$3),IF(A2&lt;=40,'Anchor Points'!$F$4+(A2-'Anchor Points'!$A$4)/('Anchor Points'!$A$5-'Anchor Points'!$A$4)*('Anchor Points'!$F$5-'Anchor Points'!$F$4),IF(A2&lt;=55,'Anchor Points'!$F$5+(A2-'Anchor Points'!$A$5)/('Anchor Points'!$A$6-'Anchor Points'!$A$5)*('Anchor Points'!$F$6-'Anchor Points'!$F$5),IF(A2&lt;=70,'Anchor Points'!$F$6+(A2-'Anchor Points'!$A$6)/('Anchor Points'!$A$7-'Anchor Points'!$A$6)*('Anchor Points'!$F$7-'Anchor Points'!$F$6),IF(A2&lt;=90,'Anchor Points'!$F$7+(A2-'Anchor Points'!$A$7)/('Anchor Points'!$A$8-'Anchor Points'!$A$7)*('Anchor Points'!$F$8-'Anchor Points'!$F$7),'Anchor Points'!$F$8+(A2-'Anchor Points'!$A$8)/('Anchor Points'!$A$9-'Anchor Points'!$A$8)*('Anchor Points'!$F$9-'Anchor Points'!$F$8)))))))</x:f>
        <x:v>0</x:v>
      </x:c>
      <x:c r="J2" s="28" t="n">
        <x:v>6</x:v>
      </x:c>
      <x:c r="K2" s="54" t="n">
        <x:v>7</x:v>
      </x:c>
      <x:c r="L2" s="51" t="n">
        <x:v>8</x:v>
      </x:c>
      <x:c r="M2" s="51" t="n">
        <x:v>65</x:v>
      </x:c>
      <x:c r="N2" s="58" t="n">
        <x:v>70</x:v>
      </x:c>
      <x:c r="O2" s="28" t="n">
        <x:v>75</x:v>
      </x:c>
      <x:c r="P2" s="28" t="n">
        <x:v>70</x:v>
      </x:c>
      <x:c r="Q2" s="55" t="n">
        <x:v>80</x:v>
      </x:c>
      <x:c r="R2" s="28" t="n">
        <x:v>90</x:v>
      </x:c>
      <x:c r="S2" s="28" t="n">
        <x:v>8</x:v>
      </x:c>
      <x:c r="T2" s="28" t="n">
        <x:v>11</x:v>
      </x:c>
      <x:c r="U2" s="55" t="n">
        <x:v>14</x:v>
      </x:c>
      <x:c r="V2" s="28" t="n">
        <x:v>0</x:v>
      </x:c>
      <x:c r="W2" s="55" t="n">
        <x:v>0</x:v>
      </x:c>
      <x:c r="X2" s="28" t="n">
        <x:v>0</x:v>
      </x:c>
    </x:row>
    <x:row r="3">
      <x:c r="A3" s="30" t="n">
        <x:v>1</x:v>
      </x:c>
      <x:c r="B3" s="11" t="str">
        <x:f>IF(A3&lt;=15,"Seedling",IF(A3&lt;=25,"Establishment",IF(A3&lt;=40,"Vegetative Growth",IF(A3&lt;=55,"Flowering &amp; Initial Fruit Set",IF(A3&lt;=80,"Fruit Enlargement",IF(A3&lt;=95,"Ripening","Harvesting"))))))</x:f>
        <x:v>Seedling</x:v>
      </x:c>
      <x:c r="C3" s="28" t="n">
        <x:f>IF(A3&lt;=15,'Anchor Points'!$B$2+(A3-'Anchor Points'!$A$2)/('Anchor Points'!$A$3-'Anchor Points'!$A$2)*('Anchor Points'!$B$3-'Anchor Points'!$B$2),IF(A3&lt;=25,'Anchor Points'!$B$3+(A3-'Anchor Points'!$A$3)/('Anchor Points'!$A$4-'Anchor Points'!$A$3)*('Anchor Points'!$B$4-'Anchor Points'!$B$3),IF(A3&lt;=40,'Anchor Points'!$B$4+(A3-'Anchor Points'!$A$4)/('Anchor Points'!$A$5-'Anchor Points'!$A$4)*('Anchor Points'!$B$5-'Anchor Points'!$B$4),IF(A3&lt;=55,'Anchor Points'!$B$5+(A3-'Anchor Points'!$A$5)/('Anchor Points'!$A$6-'Anchor Points'!$A$5)*('Anchor Points'!$B$6-'Anchor Points'!$B$5),IF(A3&lt;=70,'Anchor Points'!$B$6+(A3-'Anchor Points'!$A$6)/('Anchor Points'!$A$7-'Anchor Points'!$A$6)*('Anchor Points'!$B$7-'Anchor Points'!$B$6),IF(A3&lt;=90,'Anchor Points'!$B$7+(A3-'Anchor Points'!$A$7)/('Anchor Points'!$A$8-'Anchor Points'!$A$7)*('Anchor Points'!$B$8-'Anchor Points'!$B$7),'Anchor Points'!$B$8+(A3-'Anchor Points'!$A$8)/('Anchor Points'!$A$9-'Anchor Points'!$A$8)*('Anchor Points'!$B$9-'Anchor Points'!$B$8)))))))</x:f>
        <x:v>0.6</x:v>
      </x:c>
      <x:c r="D3" s="28" t="n">
        <x:f>IF(A3&lt;=15,'Anchor Points'!$C$2+(A3-'Anchor Points'!$A$2)/('Anchor Points'!$A$3-'Anchor Points'!$A$2)*('Anchor Points'!$C$3-'Anchor Points'!$C$2),IF(A3&lt;=25,'Anchor Points'!$C$3+(A3-'Anchor Points'!$A$3)/('Anchor Points'!$A$4-'Anchor Points'!$A$3)*('Anchor Points'!$C$4-'Anchor Points'!$C$3),IF(A3&lt;=40,'Anchor Points'!$C$4+(A3-'Anchor Points'!$A$4)/('Anchor Points'!$A$5-'Anchor Points'!$A$4)*('Anchor Points'!$C$5-'Anchor Points'!$C$4),IF(A3&lt;=55,'Anchor Points'!$C$5+(A3-'Anchor Points'!$A$5)/('Anchor Points'!$A$6-'Anchor Points'!$A$5)*('Anchor Points'!$C$6-'Anchor Points'!$C$5),IF(A3&lt;=70,'Anchor Points'!$C$6+(A3-'Anchor Points'!$A$6)/('Anchor Points'!$A$7-'Anchor Points'!$A$6)*('Anchor Points'!$C$7-'Anchor Points'!$C$6),IF(A3&lt;=90,'Anchor Points'!$C$7+(A3-'Anchor Points'!$A$7)/('Anchor Points'!$A$8-'Anchor Points'!$A$7)*('Anchor Points'!$C$8-'Anchor Points'!$C$7),'Anchor Points'!$C$8+(A3-'Anchor Points'!$A$8)/('Anchor Points'!$A$9-'Anchor Points'!$A$8)*('Anchor Points'!$C$9-'Anchor Points'!$C$8)))))))</x:f>
        <x:v>0.3333333333333333</x:v>
      </x:c>
      <x:c r="E3" s="28" t="n">
        <x:f>IF(A3&lt;=15,'Anchor Points'!$D$2+(A3-'Anchor Points'!$A$2)/('Anchor Points'!$A$3-'Anchor Points'!$A$2)*('Anchor Points'!$D$3-'Anchor Points'!$D$2),IF(A3&lt;=25,'Anchor Points'!$D$3+(A3-'Anchor Points'!$A$3)/('Anchor Points'!$A$4-'Anchor Points'!$A$3)*('Anchor Points'!$D$4-'Anchor Points'!$D$3),IF(A3&lt;=40,'Anchor Points'!$D$4+(A3-'Anchor Points'!$A$4)/('Anchor Points'!$A$5-'Anchor Points'!$A$4)*('Anchor Points'!$D$5-'Anchor Points'!$D$4),IF(A3&lt;=55,'Anchor Points'!$D$5+(A3-'Anchor Points'!$A$5)/('Anchor Points'!$A$6-'Anchor Points'!$A$5)*('Anchor Points'!$D$6-'Anchor Points'!$D$5),IF(A3&lt;=70,'Anchor Points'!$D$6+(A3-'Anchor Points'!$A$6)/('Anchor Points'!$A$7-'Anchor Points'!$A$6)*('Anchor Points'!$D$7-'Anchor Points'!$D$6),IF(A3&lt;=90,'Anchor Points'!$D$7+(A3-'Anchor Points'!$A$7)/('Anchor Points'!$A$8-'Anchor Points'!$A$7)*('Anchor Points'!$D$8-'Anchor Points'!$D$7),'Anchor Points'!$D$8+(A3-'Anchor Points'!$A$8)/('Anchor Points'!$A$9-'Anchor Points'!$A$8)*('Anchor Points'!$D$9-'Anchor Points'!$D$8)))))))</x:f>
        <x:v>0</x:v>
      </x:c>
      <x:c r="F3" s="30" t="n">
        <x:f>ROUND(E3,0)</x:f>
        <x:v>0</x:v>
      </x:c>
      <x:c r="G3" s="28" t="n">
        <x:f>IF(A3&lt;=15,'Anchor Points'!$E$2+(A3-'Anchor Points'!$A$2)/('Anchor Points'!$A$3-'Anchor Points'!$A$2)*('Anchor Points'!$E$3-'Anchor Points'!$E$2),IF(A3&lt;=25,'Anchor Points'!$E$3+(A3-'Anchor Points'!$A$3)/('Anchor Points'!$A$4-'Anchor Points'!$A$3)*('Anchor Points'!$E$4-'Anchor Points'!$E$3),IF(A3&lt;=40,'Anchor Points'!$E$4+(A3-'Anchor Points'!$A$4)/('Anchor Points'!$A$5-'Anchor Points'!$A$4)*('Anchor Points'!$E$5-'Anchor Points'!$E$4),IF(A3&lt;=55,'Anchor Points'!$E$5+(A3-'Anchor Points'!$A$5)/('Anchor Points'!$A$6-'Anchor Points'!$A$5)*('Anchor Points'!$E$6-'Anchor Points'!$E$5),IF(A3&lt;=70,'Anchor Points'!$E$6+(A3-'Anchor Points'!$A$6)/('Anchor Points'!$A$7-'Anchor Points'!$A$6)*('Anchor Points'!$E$7-'Anchor Points'!$E$6),IF(A3&lt;=90,'Anchor Points'!$E$7+(A3-'Anchor Points'!$A$7)/('Anchor Points'!$A$8-'Anchor Points'!$A$7)*('Anchor Points'!$E$8-'Anchor Points'!$E$7),'Anchor Points'!$E$8+(A3-'Anchor Points'!$A$8)/('Anchor Points'!$A$9-'Anchor Points'!$A$8)*('Anchor Points'!$E$9-'Anchor Points'!$E$8)))))))</x:f>
        <x:v>0</x:v>
      </x:c>
      <x:c r="H3" s="30" t="n">
        <x:f>ROUND(G3,0)</x:f>
        <x:v>0</x:v>
      </x:c>
      <x:c r="I3" s="28" t="n">
        <x:f>IF(A3&lt;=15,'Anchor Points'!$F$2+(A3-'Anchor Points'!$A$2)/('Anchor Points'!$A$3-'Anchor Points'!$A$2)*('Anchor Points'!$F$3-'Anchor Points'!$F$2),IF(A3&lt;=25,'Anchor Points'!$F$3+(A3-'Anchor Points'!$A$3)/('Anchor Points'!$A$4-'Anchor Points'!$A$3)*('Anchor Points'!$F$4-'Anchor Points'!$F$3),IF(A3&lt;=40,'Anchor Points'!$F$4+(A3-'Anchor Points'!$A$4)/('Anchor Points'!$A$5-'Anchor Points'!$A$4)*('Anchor Points'!$F$5-'Anchor Points'!$F$4),IF(A3&lt;=55,'Anchor Points'!$F$5+(A3-'Anchor Points'!$A$5)/('Anchor Points'!$A$6-'Anchor Points'!$A$5)*('Anchor Points'!$F$6-'Anchor Points'!$F$5),IF(A3&lt;=70,'Anchor Points'!$F$6+(A3-'Anchor Points'!$A$6)/('Anchor Points'!$A$7-'Anchor Points'!$A$6)*('Anchor Points'!$F$7-'Anchor Points'!$F$6),IF(A3&lt;=90,'Anchor Points'!$F$7+(A3-'Anchor Points'!$A$7)/('Anchor Points'!$A$8-'Anchor Points'!$A$7)*('Anchor Points'!$F$8-'Anchor Points'!$F$7),'Anchor Points'!$F$8+(A3-'Anchor Points'!$A$8)/('Anchor Points'!$A$9-'Anchor Points'!$A$8)*('Anchor Points'!$F$9-'Anchor Points'!$F$8)))))))</x:f>
        <x:v>0</x:v>
      </x:c>
      <x:c r="J3" s="28" t="n">
        <x:v>6</x:v>
      </x:c>
      <x:c r="K3" s="54" t="n">
        <x:v>7</x:v>
      </x:c>
      <x:c r="L3" s="51" t="n">
        <x:v>8</x:v>
      </x:c>
      <x:c r="M3" s="51" t="n">
        <x:v>65</x:v>
      </x:c>
      <x:c r="N3" s="58" t="n">
        <x:v>70</x:v>
      </x:c>
      <x:c r="O3" s="28" t="n">
        <x:v>75</x:v>
      </x:c>
      <x:c r="P3" s="28" t="n">
        <x:v>70</x:v>
      </x:c>
      <x:c r="Q3" s="55" t="n">
        <x:v>80</x:v>
      </x:c>
      <x:c r="R3" s="28" t="n">
        <x:v>90</x:v>
      </x:c>
      <x:c r="S3" s="28" t="n">
        <x:v>8</x:v>
      </x:c>
      <x:c r="T3" s="28" t="n">
        <x:v>11</x:v>
      </x:c>
      <x:c r="U3" s="55" t="n">
        <x:v>14</x:v>
      </x:c>
      <x:c r="V3" s="28" t="n">
        <x:v>8</x:v>
      </x:c>
      <x:c r="W3" s="55" t="n">
        <x:v>11</x:v>
      </x:c>
      <x:c r="X3" s="28" t="n">
        <x:v>14</x:v>
      </x:c>
    </x:row>
    <x:row r="4">
      <x:c r="A4" s="30" t="n">
        <x:v>2</x:v>
      </x:c>
      <x:c r="B4" s="11" t="str">
        <x:f>IF(A4&lt;=15,"Seedling",IF(A4&lt;=25,"Establishment",IF(A4&lt;=40,"Vegetative Growth",IF(A4&lt;=55,"Flowering &amp; Initial Fruit Set",IF(A4&lt;=80,"Fruit Enlargement",IF(A4&lt;=95,"Ripening","Harvesting"))))))</x:f>
        <x:v>Seedling</x:v>
      </x:c>
      <x:c r="C4" s="28" t="n">
        <x:f>IF(A4&lt;=15,'Anchor Points'!$B$2+(A4-'Anchor Points'!$A$2)/('Anchor Points'!$A$3-'Anchor Points'!$A$2)*('Anchor Points'!$B$3-'Anchor Points'!$B$2),IF(A4&lt;=25,'Anchor Points'!$B$3+(A4-'Anchor Points'!$A$3)/('Anchor Points'!$A$4-'Anchor Points'!$A$3)*('Anchor Points'!$B$4-'Anchor Points'!$B$3),IF(A4&lt;=40,'Anchor Points'!$B$4+(A4-'Anchor Points'!$A$4)/('Anchor Points'!$A$5-'Anchor Points'!$A$4)*('Anchor Points'!$B$5-'Anchor Points'!$B$4),IF(A4&lt;=55,'Anchor Points'!$B$5+(A4-'Anchor Points'!$A$5)/('Anchor Points'!$A$6-'Anchor Points'!$A$5)*('Anchor Points'!$B$6-'Anchor Points'!$B$5),IF(A4&lt;=70,'Anchor Points'!$B$6+(A4-'Anchor Points'!$A$6)/('Anchor Points'!$A$7-'Anchor Points'!$A$6)*('Anchor Points'!$B$7-'Anchor Points'!$B$6),IF(A4&lt;=90,'Anchor Points'!$B$7+(A4-'Anchor Points'!$A$7)/('Anchor Points'!$A$8-'Anchor Points'!$A$7)*('Anchor Points'!$B$8-'Anchor Points'!$B$7),'Anchor Points'!$B$8+(A4-'Anchor Points'!$A$8)/('Anchor Points'!$A$9-'Anchor Points'!$A$8)*('Anchor Points'!$B$9-'Anchor Points'!$B$8)))))))</x:f>
        <x:v>1.2</x:v>
      </x:c>
      <x:c r="D4" s="28" t="n">
        <x:f>IF(A4&lt;=15,'Anchor Points'!$C$2+(A4-'Anchor Points'!$A$2)/('Anchor Points'!$A$3-'Anchor Points'!$A$2)*('Anchor Points'!$C$3-'Anchor Points'!$C$2),IF(A4&lt;=25,'Anchor Points'!$C$3+(A4-'Anchor Points'!$A$3)/('Anchor Points'!$A$4-'Anchor Points'!$A$3)*('Anchor Points'!$C$4-'Anchor Points'!$C$3),IF(A4&lt;=40,'Anchor Points'!$C$4+(A4-'Anchor Points'!$A$4)/('Anchor Points'!$A$5-'Anchor Points'!$A$4)*('Anchor Points'!$C$5-'Anchor Points'!$C$4),IF(A4&lt;=55,'Anchor Points'!$C$5+(A4-'Anchor Points'!$A$5)/('Anchor Points'!$A$6-'Anchor Points'!$A$5)*('Anchor Points'!$C$6-'Anchor Points'!$C$5),IF(A4&lt;=70,'Anchor Points'!$C$6+(A4-'Anchor Points'!$A$6)/('Anchor Points'!$A$7-'Anchor Points'!$A$6)*('Anchor Points'!$C$7-'Anchor Points'!$C$6),IF(A4&lt;=90,'Anchor Points'!$C$7+(A4-'Anchor Points'!$A$7)/('Anchor Points'!$A$8-'Anchor Points'!$A$7)*('Anchor Points'!$C$8-'Anchor Points'!$C$7),'Anchor Points'!$C$8+(A4-'Anchor Points'!$A$8)/('Anchor Points'!$A$9-'Anchor Points'!$A$8)*('Anchor Points'!$C$9-'Anchor Points'!$C$8)))))))</x:f>
        <x:v>0.6666666666666666</x:v>
      </x:c>
      <x:c r="E4" s="28" t="n">
        <x:f>IF(A4&lt;=15,'Anchor Points'!$D$2+(A4-'Anchor Points'!$A$2)/('Anchor Points'!$A$3-'Anchor Points'!$A$2)*('Anchor Points'!$D$3-'Anchor Points'!$D$2),IF(A4&lt;=25,'Anchor Points'!$D$3+(A4-'Anchor Points'!$A$3)/('Anchor Points'!$A$4-'Anchor Points'!$A$3)*('Anchor Points'!$D$4-'Anchor Points'!$D$3),IF(A4&lt;=40,'Anchor Points'!$D$4+(A4-'Anchor Points'!$A$4)/('Anchor Points'!$A$5-'Anchor Points'!$A$4)*('Anchor Points'!$D$5-'Anchor Points'!$D$4),IF(A4&lt;=55,'Anchor Points'!$D$5+(A4-'Anchor Points'!$A$5)/('Anchor Points'!$A$6-'Anchor Points'!$A$5)*('Anchor Points'!$D$6-'Anchor Points'!$D$5),IF(A4&lt;=70,'Anchor Points'!$D$6+(A4-'Anchor Points'!$A$6)/('Anchor Points'!$A$7-'Anchor Points'!$A$6)*('Anchor Points'!$D$7-'Anchor Points'!$D$6),IF(A4&lt;=90,'Anchor Points'!$D$7+(A4-'Anchor Points'!$A$7)/('Anchor Points'!$A$8-'Anchor Points'!$A$7)*('Anchor Points'!$D$8-'Anchor Points'!$D$7),'Anchor Points'!$D$8+(A4-'Anchor Points'!$A$8)/('Anchor Points'!$A$9-'Anchor Points'!$A$8)*('Anchor Points'!$D$9-'Anchor Points'!$D$8)))))))</x:f>
        <x:v>0</x:v>
      </x:c>
      <x:c r="F4" s="30" t="n">
        <x:f>ROUND(E4,0)</x:f>
        <x:v>0</x:v>
      </x:c>
      <x:c r="G4" s="28" t="n">
        <x:f>IF(A4&lt;=15,'Anchor Points'!$E$2+(A4-'Anchor Points'!$A$2)/('Anchor Points'!$A$3-'Anchor Points'!$A$2)*('Anchor Points'!$E$3-'Anchor Points'!$E$2),IF(A4&lt;=25,'Anchor Points'!$E$3+(A4-'Anchor Points'!$A$3)/('Anchor Points'!$A$4-'Anchor Points'!$A$3)*('Anchor Points'!$E$4-'Anchor Points'!$E$3),IF(A4&lt;=40,'Anchor Points'!$E$4+(A4-'Anchor Points'!$A$4)/('Anchor Points'!$A$5-'Anchor Points'!$A$4)*('Anchor Points'!$E$5-'Anchor Points'!$E$4),IF(A4&lt;=55,'Anchor Points'!$E$5+(A4-'Anchor Points'!$A$5)/('Anchor Points'!$A$6-'Anchor Points'!$A$5)*('Anchor Points'!$E$6-'Anchor Points'!$E$5),IF(A4&lt;=70,'Anchor Points'!$E$6+(A4-'Anchor Points'!$A$6)/('Anchor Points'!$A$7-'Anchor Points'!$A$6)*('Anchor Points'!$E$7-'Anchor Points'!$E$6),IF(A4&lt;=90,'Anchor Points'!$E$7+(A4-'Anchor Points'!$A$7)/('Anchor Points'!$A$8-'Anchor Points'!$A$7)*('Anchor Points'!$E$8-'Anchor Points'!$E$7),'Anchor Points'!$E$8+(A4-'Anchor Points'!$A$8)/('Anchor Points'!$A$9-'Anchor Points'!$A$8)*('Anchor Points'!$E$9-'Anchor Points'!$E$8)))))))</x:f>
        <x:v>0</x:v>
      </x:c>
      <x:c r="H4" s="30" t="n">
        <x:f>ROUND(G4,0)</x:f>
        <x:v>0</x:v>
      </x:c>
      <x:c r="I4" s="28" t="n">
        <x:f>IF(A4&lt;=15,'Anchor Points'!$F$2+(A4-'Anchor Points'!$A$2)/('Anchor Points'!$A$3-'Anchor Points'!$A$2)*('Anchor Points'!$F$3-'Anchor Points'!$F$2),IF(A4&lt;=25,'Anchor Points'!$F$3+(A4-'Anchor Points'!$A$3)/('Anchor Points'!$A$4-'Anchor Points'!$A$3)*('Anchor Points'!$F$4-'Anchor Points'!$F$3),IF(A4&lt;=40,'Anchor Points'!$F$4+(A4-'Anchor Points'!$A$4)/('Anchor Points'!$A$5-'Anchor Points'!$A$4)*('Anchor Points'!$F$5-'Anchor Points'!$F$4),IF(A4&lt;=55,'Anchor Points'!$F$5+(A4-'Anchor Points'!$A$5)/('Anchor Points'!$A$6-'Anchor Points'!$A$5)*('Anchor Points'!$F$6-'Anchor Points'!$F$5),IF(A4&lt;=70,'Anchor Points'!$F$6+(A4-'Anchor Points'!$A$6)/('Anchor Points'!$A$7-'Anchor Points'!$A$6)*('Anchor Points'!$F$7-'Anchor Points'!$F$6),IF(A4&lt;=90,'Anchor Points'!$F$7+(A4-'Anchor Points'!$A$7)/('Anchor Points'!$A$8-'Anchor Points'!$A$7)*('Anchor Points'!$F$8-'Anchor Points'!$F$7),'Anchor Points'!$F$8+(A4-'Anchor Points'!$A$8)/('Anchor Points'!$A$9-'Anchor Points'!$A$8)*('Anchor Points'!$F$9-'Anchor Points'!$F$8)))))))</x:f>
        <x:v>0</x:v>
      </x:c>
      <x:c r="J4" s="28" t="n">
        <x:v>6</x:v>
      </x:c>
      <x:c r="K4" s="54" t="n">
        <x:v>7</x:v>
      </x:c>
      <x:c r="L4" s="51" t="n">
        <x:v>8</x:v>
      </x:c>
      <x:c r="M4" s="51" t="n">
        <x:v>65</x:v>
      </x:c>
      <x:c r="N4" s="58" t="n">
        <x:v>70</x:v>
      </x:c>
      <x:c r="O4" s="28" t="n">
        <x:v>75</x:v>
      </x:c>
      <x:c r="P4" s="28" t="n">
        <x:v>70</x:v>
      </x:c>
      <x:c r="Q4" s="55" t="n">
        <x:v>80</x:v>
      </x:c>
      <x:c r="R4" s="28" t="n">
        <x:v>90</x:v>
      </x:c>
      <x:c r="S4" s="28" t="n">
        <x:v>8</x:v>
      </x:c>
      <x:c r="T4" s="28" t="n">
        <x:v>11</x:v>
      </x:c>
      <x:c r="U4" s="55" t="n">
        <x:v>14</x:v>
      </x:c>
      <x:c r="V4" s="28" t="n">
        <x:v>16</x:v>
      </x:c>
      <x:c r="W4" s="55" t="n">
        <x:v>22</x:v>
      </x:c>
      <x:c r="X4" s="28" t="n">
        <x:v>28</x:v>
      </x:c>
    </x:row>
    <x:row r="5">
      <x:c r="A5" s="30" t="n">
        <x:v>3</x:v>
      </x:c>
      <x:c r="B5" s="11" t="str">
        <x:f>IF(A5&lt;=15,"Seedling",IF(A5&lt;=25,"Establishment",IF(A5&lt;=40,"Vegetative Growth",IF(A5&lt;=55,"Flowering &amp; Initial Fruit Set",IF(A5&lt;=80,"Fruit Enlargement",IF(A5&lt;=95,"Ripening","Harvesting"))))))</x:f>
        <x:v>Seedling</x:v>
      </x:c>
      <x:c r="C5" s="28" t="n">
        <x:f>IF(A5&lt;=15,'Anchor Points'!$B$2+(A5-'Anchor Points'!$A$2)/('Anchor Points'!$A$3-'Anchor Points'!$A$2)*('Anchor Points'!$B$3-'Anchor Points'!$B$2),IF(A5&lt;=25,'Anchor Points'!$B$3+(A5-'Anchor Points'!$A$3)/('Anchor Points'!$A$4-'Anchor Points'!$A$3)*('Anchor Points'!$B$4-'Anchor Points'!$B$3),IF(A5&lt;=40,'Anchor Points'!$B$4+(A5-'Anchor Points'!$A$4)/('Anchor Points'!$A$5-'Anchor Points'!$A$4)*('Anchor Points'!$B$5-'Anchor Points'!$B$4),IF(A5&lt;=55,'Anchor Points'!$B$5+(A5-'Anchor Points'!$A$5)/('Anchor Points'!$A$6-'Anchor Points'!$A$5)*('Anchor Points'!$B$6-'Anchor Points'!$B$5),IF(A5&lt;=70,'Anchor Points'!$B$6+(A5-'Anchor Points'!$A$6)/('Anchor Points'!$A$7-'Anchor Points'!$A$6)*('Anchor Points'!$B$7-'Anchor Points'!$B$6),IF(A5&lt;=90,'Anchor Points'!$B$7+(A5-'Anchor Points'!$A$7)/('Anchor Points'!$A$8-'Anchor Points'!$A$7)*('Anchor Points'!$B$8-'Anchor Points'!$B$7),'Anchor Points'!$B$8+(A5-'Anchor Points'!$A$8)/('Anchor Points'!$A$9-'Anchor Points'!$A$8)*('Anchor Points'!$B$9-'Anchor Points'!$B$8)))))))</x:f>
        <x:v>1.8</x:v>
      </x:c>
      <x:c r="D5" s="28" t="n">
        <x:f>IF(A5&lt;=15,'Anchor Points'!$C$2+(A5-'Anchor Points'!$A$2)/('Anchor Points'!$A$3-'Anchor Points'!$A$2)*('Anchor Points'!$C$3-'Anchor Points'!$C$2),IF(A5&lt;=25,'Anchor Points'!$C$3+(A5-'Anchor Points'!$A$3)/('Anchor Points'!$A$4-'Anchor Points'!$A$3)*('Anchor Points'!$C$4-'Anchor Points'!$C$3),IF(A5&lt;=40,'Anchor Points'!$C$4+(A5-'Anchor Points'!$A$4)/('Anchor Points'!$A$5-'Anchor Points'!$A$4)*('Anchor Points'!$C$5-'Anchor Points'!$C$4),IF(A5&lt;=55,'Anchor Points'!$C$5+(A5-'Anchor Points'!$A$5)/('Anchor Points'!$A$6-'Anchor Points'!$A$5)*('Anchor Points'!$C$6-'Anchor Points'!$C$5),IF(A5&lt;=70,'Anchor Points'!$C$6+(A5-'Anchor Points'!$A$6)/('Anchor Points'!$A$7-'Anchor Points'!$A$6)*('Anchor Points'!$C$7-'Anchor Points'!$C$6),IF(A5&lt;=90,'Anchor Points'!$C$7+(A5-'Anchor Points'!$A$7)/('Anchor Points'!$A$8-'Anchor Points'!$A$7)*('Anchor Points'!$C$8-'Anchor Points'!$C$7),'Anchor Points'!$C$8+(A5-'Anchor Points'!$A$8)/('Anchor Points'!$A$9-'Anchor Points'!$A$8)*('Anchor Points'!$C$9-'Anchor Points'!$C$8)))))))</x:f>
        <x:v>1</x:v>
      </x:c>
      <x:c r="E5" s="28" t="n">
        <x:f>IF(A5&lt;=15,'Anchor Points'!$D$2+(A5-'Anchor Points'!$A$2)/('Anchor Points'!$A$3-'Anchor Points'!$A$2)*('Anchor Points'!$D$3-'Anchor Points'!$D$2),IF(A5&lt;=25,'Anchor Points'!$D$3+(A5-'Anchor Points'!$A$3)/('Anchor Points'!$A$4-'Anchor Points'!$A$3)*('Anchor Points'!$D$4-'Anchor Points'!$D$3),IF(A5&lt;=40,'Anchor Points'!$D$4+(A5-'Anchor Points'!$A$4)/('Anchor Points'!$A$5-'Anchor Points'!$A$4)*('Anchor Points'!$D$5-'Anchor Points'!$D$4),IF(A5&lt;=55,'Anchor Points'!$D$5+(A5-'Anchor Points'!$A$5)/('Anchor Points'!$A$6-'Anchor Points'!$A$5)*('Anchor Points'!$D$6-'Anchor Points'!$D$5),IF(A5&lt;=70,'Anchor Points'!$D$6+(A5-'Anchor Points'!$A$6)/('Anchor Points'!$A$7-'Anchor Points'!$A$6)*('Anchor Points'!$D$7-'Anchor Points'!$D$6),IF(A5&lt;=90,'Anchor Points'!$D$7+(A5-'Anchor Points'!$A$7)/('Anchor Points'!$A$8-'Anchor Points'!$A$7)*('Anchor Points'!$D$8-'Anchor Points'!$D$7),'Anchor Points'!$D$8+(A5-'Anchor Points'!$A$8)/('Anchor Points'!$A$9-'Anchor Points'!$A$8)*('Anchor Points'!$D$9-'Anchor Points'!$D$8)))))))</x:f>
        <x:v>0</x:v>
      </x:c>
      <x:c r="F5" s="30" t="n">
        <x:f>ROUND(E5,0)</x:f>
        <x:v>0</x:v>
      </x:c>
      <x:c r="G5" s="28" t="n">
        <x:f>IF(A5&lt;=15,'Anchor Points'!$E$2+(A5-'Anchor Points'!$A$2)/('Anchor Points'!$A$3-'Anchor Points'!$A$2)*('Anchor Points'!$E$3-'Anchor Points'!$E$2),IF(A5&lt;=25,'Anchor Points'!$E$3+(A5-'Anchor Points'!$A$3)/('Anchor Points'!$A$4-'Anchor Points'!$A$3)*('Anchor Points'!$E$4-'Anchor Points'!$E$3),IF(A5&lt;=40,'Anchor Points'!$E$4+(A5-'Anchor Points'!$A$4)/('Anchor Points'!$A$5-'Anchor Points'!$A$4)*('Anchor Points'!$E$5-'Anchor Points'!$E$4),IF(A5&lt;=55,'Anchor Points'!$E$5+(A5-'Anchor Points'!$A$5)/('Anchor Points'!$A$6-'Anchor Points'!$A$5)*('Anchor Points'!$E$6-'Anchor Points'!$E$5),IF(A5&lt;=70,'Anchor Points'!$E$6+(A5-'Anchor Points'!$A$6)/('Anchor Points'!$A$7-'Anchor Points'!$A$6)*('Anchor Points'!$E$7-'Anchor Points'!$E$6),IF(A5&lt;=90,'Anchor Points'!$E$7+(A5-'Anchor Points'!$A$7)/('Anchor Points'!$A$8-'Anchor Points'!$A$7)*('Anchor Points'!$E$8-'Anchor Points'!$E$7),'Anchor Points'!$E$8+(A5-'Anchor Points'!$A$8)/('Anchor Points'!$A$9-'Anchor Points'!$A$8)*('Anchor Points'!$E$9-'Anchor Points'!$E$8)))))))</x:f>
        <x:v>0</x:v>
      </x:c>
      <x:c r="H5" s="30" t="n">
        <x:f>ROUND(G5,0)</x:f>
        <x:v>0</x:v>
      </x:c>
      <x:c r="I5" s="28" t="n">
        <x:f>IF(A5&lt;=15,'Anchor Points'!$F$2+(A5-'Anchor Points'!$A$2)/('Anchor Points'!$A$3-'Anchor Points'!$A$2)*('Anchor Points'!$F$3-'Anchor Points'!$F$2),IF(A5&lt;=25,'Anchor Points'!$F$3+(A5-'Anchor Points'!$A$3)/('Anchor Points'!$A$4-'Anchor Points'!$A$3)*('Anchor Points'!$F$4-'Anchor Points'!$F$3),IF(A5&lt;=40,'Anchor Points'!$F$4+(A5-'Anchor Points'!$A$4)/('Anchor Points'!$A$5-'Anchor Points'!$A$4)*('Anchor Points'!$F$5-'Anchor Points'!$F$4),IF(A5&lt;=55,'Anchor Points'!$F$5+(A5-'Anchor Points'!$A$5)/('Anchor Points'!$A$6-'Anchor Points'!$A$5)*('Anchor Points'!$F$6-'Anchor Points'!$F$5),IF(A5&lt;=70,'Anchor Points'!$F$6+(A5-'Anchor Points'!$A$6)/('Anchor Points'!$A$7-'Anchor Points'!$A$6)*('Anchor Points'!$F$7-'Anchor Points'!$F$6),IF(A5&lt;=90,'Anchor Points'!$F$7+(A5-'Anchor Points'!$A$7)/('Anchor Points'!$A$8-'Anchor Points'!$A$7)*('Anchor Points'!$F$8-'Anchor Points'!$F$7),'Anchor Points'!$F$8+(A5-'Anchor Points'!$A$8)/('Anchor Points'!$A$9-'Anchor Points'!$A$8)*('Anchor Points'!$F$9-'Anchor Points'!$F$8)))))))</x:f>
        <x:v>0</x:v>
      </x:c>
      <x:c r="J5" s="28" t="n">
        <x:v>6</x:v>
      </x:c>
      <x:c r="K5" s="54" t="n">
        <x:v>7</x:v>
      </x:c>
      <x:c r="L5" s="51" t="n">
        <x:v>8</x:v>
      </x:c>
      <x:c r="M5" s="51" t="n">
        <x:v>65</x:v>
      </x:c>
      <x:c r="N5" s="58" t="n">
        <x:v>70</x:v>
      </x:c>
      <x:c r="O5" s="28" t="n">
        <x:v>75</x:v>
      </x:c>
      <x:c r="P5" s="28" t="n">
        <x:v>70</x:v>
      </x:c>
      <x:c r="Q5" s="55" t="n">
        <x:v>80</x:v>
      </x:c>
      <x:c r="R5" s="28" t="n">
        <x:v>90</x:v>
      </x:c>
      <x:c r="S5" s="28" t="n">
        <x:v>8</x:v>
      </x:c>
      <x:c r="T5" s="28" t="n">
        <x:v>11</x:v>
      </x:c>
      <x:c r="U5" s="55" t="n">
        <x:v>14</x:v>
      </x:c>
      <x:c r="V5" s="28" t="n">
        <x:v>24</x:v>
      </x:c>
      <x:c r="W5" s="55" t="n">
        <x:v>33</x:v>
      </x:c>
      <x:c r="X5" s="28" t="n">
        <x:v>42</x:v>
      </x:c>
    </x:row>
    <x:row r="6">
      <x:c r="A6" s="30" t="n">
        <x:v>4</x:v>
      </x:c>
      <x:c r="B6" s="11" t="str">
        <x:f>IF(A6&lt;=15,"Seedling",IF(A6&lt;=25,"Establishment",IF(A6&lt;=40,"Vegetative Growth",IF(A6&lt;=55,"Flowering &amp; Initial Fruit Set",IF(A6&lt;=80,"Fruit Enlargement",IF(A6&lt;=95,"Ripening","Harvesting"))))))</x:f>
        <x:v>Seedling</x:v>
      </x:c>
      <x:c r="C6" s="28" t="n">
        <x:f>IF(A6&lt;=15,'Anchor Points'!$B$2+(A6-'Anchor Points'!$A$2)/('Anchor Points'!$A$3-'Anchor Points'!$A$2)*('Anchor Points'!$B$3-'Anchor Points'!$B$2),IF(A6&lt;=25,'Anchor Points'!$B$3+(A6-'Anchor Points'!$A$3)/('Anchor Points'!$A$4-'Anchor Points'!$A$3)*('Anchor Points'!$B$4-'Anchor Points'!$B$3),IF(A6&lt;=40,'Anchor Points'!$B$4+(A6-'Anchor Points'!$A$4)/('Anchor Points'!$A$5-'Anchor Points'!$A$4)*('Anchor Points'!$B$5-'Anchor Points'!$B$4),IF(A6&lt;=55,'Anchor Points'!$B$5+(A6-'Anchor Points'!$A$5)/('Anchor Points'!$A$6-'Anchor Points'!$A$5)*('Anchor Points'!$B$6-'Anchor Points'!$B$5),IF(A6&lt;=70,'Anchor Points'!$B$6+(A6-'Anchor Points'!$A$6)/('Anchor Points'!$A$7-'Anchor Points'!$A$6)*('Anchor Points'!$B$7-'Anchor Points'!$B$6),IF(A6&lt;=90,'Anchor Points'!$B$7+(A6-'Anchor Points'!$A$7)/('Anchor Points'!$A$8-'Anchor Points'!$A$7)*('Anchor Points'!$B$8-'Anchor Points'!$B$7),'Anchor Points'!$B$8+(A6-'Anchor Points'!$A$8)/('Anchor Points'!$A$9-'Anchor Points'!$A$8)*('Anchor Points'!$B$9-'Anchor Points'!$B$8)))))))</x:f>
        <x:v>2.4</x:v>
      </x:c>
      <x:c r="D6" s="28" t="n">
        <x:f>IF(A6&lt;=15,'Anchor Points'!$C$2+(A6-'Anchor Points'!$A$2)/('Anchor Points'!$A$3-'Anchor Points'!$A$2)*('Anchor Points'!$C$3-'Anchor Points'!$C$2),IF(A6&lt;=25,'Anchor Points'!$C$3+(A6-'Anchor Points'!$A$3)/('Anchor Points'!$A$4-'Anchor Points'!$A$3)*('Anchor Points'!$C$4-'Anchor Points'!$C$3),IF(A6&lt;=40,'Anchor Points'!$C$4+(A6-'Anchor Points'!$A$4)/('Anchor Points'!$A$5-'Anchor Points'!$A$4)*('Anchor Points'!$C$5-'Anchor Points'!$C$4),IF(A6&lt;=55,'Anchor Points'!$C$5+(A6-'Anchor Points'!$A$5)/('Anchor Points'!$A$6-'Anchor Points'!$A$5)*('Anchor Points'!$C$6-'Anchor Points'!$C$5),IF(A6&lt;=70,'Anchor Points'!$C$6+(A6-'Anchor Points'!$A$6)/('Anchor Points'!$A$7-'Anchor Points'!$A$6)*('Anchor Points'!$C$7-'Anchor Points'!$C$6),IF(A6&lt;=90,'Anchor Points'!$C$7+(A6-'Anchor Points'!$A$7)/('Anchor Points'!$A$8-'Anchor Points'!$A$7)*('Anchor Points'!$C$8-'Anchor Points'!$C$7),'Anchor Points'!$C$8+(A6-'Anchor Points'!$A$8)/('Anchor Points'!$A$9-'Anchor Points'!$A$8)*('Anchor Points'!$C$9-'Anchor Points'!$C$8)))))))</x:f>
        <x:v>1.3333333333333333</x:v>
      </x:c>
      <x:c r="E6" s="28" t="n">
        <x:f>IF(A6&lt;=15,'Anchor Points'!$D$2+(A6-'Anchor Points'!$A$2)/('Anchor Points'!$A$3-'Anchor Points'!$A$2)*('Anchor Points'!$D$3-'Anchor Points'!$D$2),IF(A6&lt;=25,'Anchor Points'!$D$3+(A6-'Anchor Points'!$A$3)/('Anchor Points'!$A$4-'Anchor Points'!$A$3)*('Anchor Points'!$D$4-'Anchor Points'!$D$3),IF(A6&lt;=40,'Anchor Points'!$D$4+(A6-'Anchor Points'!$A$4)/('Anchor Points'!$A$5-'Anchor Points'!$A$4)*('Anchor Points'!$D$5-'Anchor Points'!$D$4),IF(A6&lt;=55,'Anchor Points'!$D$5+(A6-'Anchor Points'!$A$5)/('Anchor Points'!$A$6-'Anchor Points'!$A$5)*('Anchor Points'!$D$6-'Anchor Points'!$D$5),IF(A6&lt;=70,'Anchor Points'!$D$6+(A6-'Anchor Points'!$A$6)/('Anchor Points'!$A$7-'Anchor Points'!$A$6)*('Anchor Points'!$D$7-'Anchor Points'!$D$6),IF(A6&lt;=90,'Anchor Points'!$D$7+(A6-'Anchor Points'!$A$7)/('Anchor Points'!$A$8-'Anchor Points'!$A$7)*('Anchor Points'!$D$8-'Anchor Points'!$D$7),'Anchor Points'!$D$8+(A6-'Anchor Points'!$A$8)/('Anchor Points'!$A$9-'Anchor Points'!$A$8)*('Anchor Points'!$D$9-'Anchor Points'!$D$8)))))))</x:f>
        <x:v>0</x:v>
      </x:c>
      <x:c r="F6" s="30" t="n">
        <x:f>ROUND(E6,0)</x:f>
        <x:v>0</x:v>
      </x:c>
      <x:c r="G6" s="28" t="n">
        <x:f>IF(A6&lt;=15,'Anchor Points'!$E$2+(A6-'Anchor Points'!$A$2)/('Anchor Points'!$A$3-'Anchor Points'!$A$2)*('Anchor Points'!$E$3-'Anchor Points'!$E$2),IF(A6&lt;=25,'Anchor Points'!$E$3+(A6-'Anchor Points'!$A$3)/('Anchor Points'!$A$4-'Anchor Points'!$A$3)*('Anchor Points'!$E$4-'Anchor Points'!$E$3),IF(A6&lt;=40,'Anchor Points'!$E$4+(A6-'Anchor Points'!$A$4)/('Anchor Points'!$A$5-'Anchor Points'!$A$4)*('Anchor Points'!$E$5-'Anchor Points'!$E$4),IF(A6&lt;=55,'Anchor Points'!$E$5+(A6-'Anchor Points'!$A$5)/('Anchor Points'!$A$6-'Anchor Points'!$A$5)*('Anchor Points'!$E$6-'Anchor Points'!$E$5),IF(A6&lt;=70,'Anchor Points'!$E$6+(A6-'Anchor Points'!$A$6)/('Anchor Points'!$A$7-'Anchor Points'!$A$6)*('Anchor Points'!$E$7-'Anchor Points'!$E$6),IF(A6&lt;=90,'Anchor Points'!$E$7+(A6-'Anchor Points'!$A$7)/('Anchor Points'!$A$8-'Anchor Points'!$A$7)*('Anchor Points'!$E$8-'Anchor Points'!$E$7),'Anchor Points'!$E$8+(A6-'Anchor Points'!$A$8)/('Anchor Points'!$A$9-'Anchor Points'!$A$8)*('Anchor Points'!$E$9-'Anchor Points'!$E$8)))))))</x:f>
        <x:v>0</x:v>
      </x:c>
      <x:c r="H6" s="30" t="n">
        <x:f>ROUND(G6,0)</x:f>
        <x:v>0</x:v>
      </x:c>
      <x:c r="I6" s="28" t="n">
        <x:f>IF(A6&lt;=15,'Anchor Points'!$F$2+(A6-'Anchor Points'!$A$2)/('Anchor Points'!$A$3-'Anchor Points'!$A$2)*('Anchor Points'!$F$3-'Anchor Points'!$F$2),IF(A6&lt;=25,'Anchor Points'!$F$3+(A6-'Anchor Points'!$A$3)/('Anchor Points'!$A$4-'Anchor Points'!$A$3)*('Anchor Points'!$F$4-'Anchor Points'!$F$3),IF(A6&lt;=40,'Anchor Points'!$F$4+(A6-'Anchor Points'!$A$4)/('Anchor Points'!$A$5-'Anchor Points'!$A$4)*('Anchor Points'!$F$5-'Anchor Points'!$F$4),IF(A6&lt;=55,'Anchor Points'!$F$5+(A6-'Anchor Points'!$A$5)/('Anchor Points'!$A$6-'Anchor Points'!$A$5)*('Anchor Points'!$F$6-'Anchor Points'!$F$5),IF(A6&lt;=70,'Anchor Points'!$F$6+(A6-'Anchor Points'!$A$6)/('Anchor Points'!$A$7-'Anchor Points'!$A$6)*('Anchor Points'!$F$7-'Anchor Points'!$F$6),IF(A6&lt;=90,'Anchor Points'!$F$7+(A6-'Anchor Points'!$A$7)/('Anchor Points'!$A$8-'Anchor Points'!$A$7)*('Anchor Points'!$F$8-'Anchor Points'!$F$7),'Anchor Points'!$F$8+(A6-'Anchor Points'!$A$8)/('Anchor Points'!$A$9-'Anchor Points'!$A$8)*('Anchor Points'!$F$9-'Anchor Points'!$F$8)))))))</x:f>
        <x:v>0</x:v>
      </x:c>
      <x:c r="J6" s="28" t="n">
        <x:v>6</x:v>
      </x:c>
      <x:c r="K6" s="55" t="n">
        <x:v>7</x:v>
      </x:c>
      <x:c r="L6" s="28" t="n">
        <x:v>8</x:v>
      </x:c>
      <x:c r="M6" s="28" t="n">
        <x:v>65</x:v>
      </x:c>
      <x:c r="N6" s="55" t="n">
        <x:v>70</x:v>
      </x:c>
      <x:c r="O6" s="28" t="n">
        <x:v>75</x:v>
      </x:c>
      <x:c r="P6" s="28" t="n">
        <x:v>70</x:v>
      </x:c>
      <x:c r="Q6" s="55" t="n">
        <x:v>80</x:v>
      </x:c>
      <x:c r="R6" s="28" t="n">
        <x:v>90</x:v>
      </x:c>
      <x:c r="S6" s="28" t="n">
        <x:v>8</x:v>
      </x:c>
      <x:c r="T6" s="28" t="n">
        <x:v>11</x:v>
      </x:c>
      <x:c r="U6" s="55" t="n">
        <x:v>14</x:v>
      </x:c>
      <x:c r="V6" s="28" t="n">
        <x:v>32</x:v>
      </x:c>
      <x:c r="W6" s="55" t="n">
        <x:v>44</x:v>
      </x:c>
      <x:c r="X6" s="28" t="n">
        <x:v>56</x:v>
      </x:c>
    </x:row>
    <x:row r="7">
      <x:c r="A7" s="30" t="n">
        <x:v>5</x:v>
      </x:c>
      <x:c r="B7" s="11" t="str">
        <x:f>IF(A7&lt;=15,"Seedling",IF(A7&lt;=25,"Establishment",IF(A7&lt;=40,"Vegetative Growth",IF(A7&lt;=55,"Flowering &amp; Initial Fruit Set",IF(A7&lt;=80,"Fruit Enlargement",IF(A7&lt;=95,"Ripening","Harvesting"))))))</x:f>
        <x:v>Seedling</x:v>
      </x:c>
      <x:c r="C7" s="28" t="n">
        <x:f>IF(A7&lt;=15,'Anchor Points'!$B$2+(A7-'Anchor Points'!$A$2)/('Anchor Points'!$A$3-'Anchor Points'!$A$2)*('Anchor Points'!$B$3-'Anchor Points'!$B$2),IF(A7&lt;=25,'Anchor Points'!$B$3+(A7-'Anchor Points'!$A$3)/('Anchor Points'!$A$4-'Anchor Points'!$A$3)*('Anchor Points'!$B$4-'Anchor Points'!$B$3),IF(A7&lt;=40,'Anchor Points'!$B$4+(A7-'Anchor Points'!$A$4)/('Anchor Points'!$A$5-'Anchor Points'!$A$4)*('Anchor Points'!$B$5-'Anchor Points'!$B$4),IF(A7&lt;=55,'Anchor Points'!$B$5+(A7-'Anchor Points'!$A$5)/('Anchor Points'!$A$6-'Anchor Points'!$A$5)*('Anchor Points'!$B$6-'Anchor Points'!$B$5),IF(A7&lt;=70,'Anchor Points'!$B$6+(A7-'Anchor Points'!$A$6)/('Anchor Points'!$A$7-'Anchor Points'!$A$6)*('Anchor Points'!$B$7-'Anchor Points'!$B$6),IF(A7&lt;=90,'Anchor Points'!$B$7+(A7-'Anchor Points'!$A$7)/('Anchor Points'!$A$8-'Anchor Points'!$A$7)*('Anchor Points'!$B$8-'Anchor Points'!$B$7),'Anchor Points'!$B$8+(A7-'Anchor Points'!$A$8)/('Anchor Points'!$A$9-'Anchor Points'!$A$8)*('Anchor Points'!$B$9-'Anchor Points'!$B$8)))))))</x:f>
        <x:v>3</x:v>
      </x:c>
      <x:c r="D7" s="28" t="n">
        <x:f>IF(A7&lt;=15,'Anchor Points'!$C$2+(A7-'Anchor Points'!$A$2)/('Anchor Points'!$A$3-'Anchor Points'!$A$2)*('Anchor Points'!$C$3-'Anchor Points'!$C$2),IF(A7&lt;=25,'Anchor Points'!$C$3+(A7-'Anchor Points'!$A$3)/('Anchor Points'!$A$4-'Anchor Points'!$A$3)*('Anchor Points'!$C$4-'Anchor Points'!$C$3),IF(A7&lt;=40,'Anchor Points'!$C$4+(A7-'Anchor Points'!$A$4)/('Anchor Points'!$A$5-'Anchor Points'!$A$4)*('Anchor Points'!$C$5-'Anchor Points'!$C$4),IF(A7&lt;=55,'Anchor Points'!$C$5+(A7-'Anchor Points'!$A$5)/('Anchor Points'!$A$6-'Anchor Points'!$A$5)*('Anchor Points'!$C$6-'Anchor Points'!$C$5),IF(A7&lt;=70,'Anchor Points'!$C$6+(A7-'Anchor Points'!$A$6)/('Anchor Points'!$A$7-'Anchor Points'!$A$6)*('Anchor Points'!$C$7-'Anchor Points'!$C$6),IF(A7&lt;=90,'Anchor Points'!$C$7+(A7-'Anchor Points'!$A$7)/('Anchor Points'!$A$8-'Anchor Points'!$A$7)*('Anchor Points'!$C$8-'Anchor Points'!$C$7),'Anchor Points'!$C$8+(A7-'Anchor Points'!$A$8)/('Anchor Points'!$A$9-'Anchor Points'!$A$8)*('Anchor Points'!$C$9-'Anchor Points'!$C$8)))))))</x:f>
        <x:v>1.6666666666666665</x:v>
      </x:c>
      <x:c r="E7" s="28" t="n">
        <x:f>IF(A7&lt;=15,'Anchor Points'!$D$2+(A7-'Anchor Points'!$A$2)/('Anchor Points'!$A$3-'Anchor Points'!$A$2)*('Anchor Points'!$D$3-'Anchor Points'!$D$2),IF(A7&lt;=25,'Anchor Points'!$D$3+(A7-'Anchor Points'!$A$3)/('Anchor Points'!$A$4-'Anchor Points'!$A$3)*('Anchor Points'!$D$4-'Anchor Points'!$D$3),IF(A7&lt;=40,'Anchor Points'!$D$4+(A7-'Anchor Points'!$A$4)/('Anchor Points'!$A$5-'Anchor Points'!$A$4)*('Anchor Points'!$D$5-'Anchor Points'!$D$4),IF(A7&lt;=55,'Anchor Points'!$D$5+(A7-'Anchor Points'!$A$5)/('Anchor Points'!$A$6-'Anchor Points'!$A$5)*('Anchor Points'!$D$6-'Anchor Points'!$D$5),IF(A7&lt;=70,'Anchor Points'!$D$6+(A7-'Anchor Points'!$A$6)/('Anchor Points'!$A$7-'Anchor Points'!$A$6)*('Anchor Points'!$D$7-'Anchor Points'!$D$6),IF(A7&lt;=90,'Anchor Points'!$D$7+(A7-'Anchor Points'!$A$7)/('Anchor Points'!$A$8-'Anchor Points'!$A$7)*('Anchor Points'!$D$8-'Anchor Points'!$D$7),'Anchor Points'!$D$8+(A7-'Anchor Points'!$A$8)/('Anchor Points'!$A$9-'Anchor Points'!$A$8)*('Anchor Points'!$D$9-'Anchor Points'!$D$8)))))))</x:f>
        <x:v>0</x:v>
      </x:c>
      <x:c r="F7" s="30" t="n">
        <x:f>ROUND(E7,0)</x:f>
        <x:v>0</x:v>
      </x:c>
      <x:c r="G7" s="28" t="n">
        <x:f>IF(A7&lt;=15,'Anchor Points'!$E$2+(A7-'Anchor Points'!$A$2)/('Anchor Points'!$A$3-'Anchor Points'!$A$2)*('Anchor Points'!$E$3-'Anchor Points'!$E$2),IF(A7&lt;=25,'Anchor Points'!$E$3+(A7-'Anchor Points'!$A$3)/('Anchor Points'!$A$4-'Anchor Points'!$A$3)*('Anchor Points'!$E$4-'Anchor Points'!$E$3),IF(A7&lt;=40,'Anchor Points'!$E$4+(A7-'Anchor Points'!$A$4)/('Anchor Points'!$A$5-'Anchor Points'!$A$4)*('Anchor Points'!$E$5-'Anchor Points'!$E$4),IF(A7&lt;=55,'Anchor Points'!$E$5+(A7-'Anchor Points'!$A$5)/('Anchor Points'!$A$6-'Anchor Points'!$A$5)*('Anchor Points'!$E$6-'Anchor Points'!$E$5),IF(A7&lt;=70,'Anchor Points'!$E$6+(A7-'Anchor Points'!$A$6)/('Anchor Points'!$A$7-'Anchor Points'!$A$6)*('Anchor Points'!$E$7-'Anchor Points'!$E$6),IF(A7&lt;=90,'Anchor Points'!$E$7+(A7-'Anchor Points'!$A$7)/('Anchor Points'!$A$8-'Anchor Points'!$A$7)*('Anchor Points'!$E$8-'Anchor Points'!$E$7),'Anchor Points'!$E$8+(A7-'Anchor Points'!$A$8)/('Anchor Points'!$A$9-'Anchor Points'!$A$8)*('Anchor Points'!$E$9-'Anchor Points'!$E$8)))))))</x:f>
        <x:v>0</x:v>
      </x:c>
      <x:c r="H7" s="30" t="n">
        <x:f>ROUND(G7,0)</x:f>
        <x:v>0</x:v>
      </x:c>
      <x:c r="I7" s="28" t="n">
        <x:f>IF(A7&lt;=15,'Anchor Points'!$F$2+(A7-'Anchor Points'!$A$2)/('Anchor Points'!$A$3-'Anchor Points'!$A$2)*('Anchor Points'!$F$3-'Anchor Points'!$F$2),IF(A7&lt;=25,'Anchor Points'!$F$3+(A7-'Anchor Points'!$A$3)/('Anchor Points'!$A$4-'Anchor Points'!$A$3)*('Anchor Points'!$F$4-'Anchor Points'!$F$3),IF(A7&lt;=40,'Anchor Points'!$F$4+(A7-'Anchor Points'!$A$4)/('Anchor Points'!$A$5-'Anchor Points'!$A$4)*('Anchor Points'!$F$5-'Anchor Points'!$F$4),IF(A7&lt;=55,'Anchor Points'!$F$5+(A7-'Anchor Points'!$A$5)/('Anchor Points'!$A$6-'Anchor Points'!$A$5)*('Anchor Points'!$F$6-'Anchor Points'!$F$5),IF(A7&lt;=70,'Anchor Points'!$F$6+(A7-'Anchor Points'!$A$6)/('Anchor Points'!$A$7-'Anchor Points'!$A$6)*('Anchor Points'!$F$7-'Anchor Points'!$F$6),IF(A7&lt;=90,'Anchor Points'!$F$7+(A7-'Anchor Points'!$A$7)/('Anchor Points'!$A$8-'Anchor Points'!$A$7)*('Anchor Points'!$F$8-'Anchor Points'!$F$7),'Anchor Points'!$F$8+(A7-'Anchor Points'!$A$8)/('Anchor Points'!$A$9-'Anchor Points'!$A$8)*('Anchor Points'!$F$9-'Anchor Points'!$F$8)))))))</x:f>
        <x:v>0</x:v>
      </x:c>
      <x:c r="J7" s="28" t="n">
        <x:v>6</x:v>
      </x:c>
      <x:c r="K7" s="55" t="n">
        <x:v>7</x:v>
      </x:c>
      <x:c r="L7" s="28" t="n">
        <x:v>8</x:v>
      </x:c>
      <x:c r="M7" s="28" t="n">
        <x:v>65</x:v>
      </x:c>
      <x:c r="N7" s="55" t="n">
        <x:v>70</x:v>
      </x:c>
      <x:c r="O7" s="28" t="n">
        <x:v>75</x:v>
      </x:c>
      <x:c r="P7" s="28" t="n">
        <x:v>70</x:v>
      </x:c>
      <x:c r="Q7" s="55" t="n">
        <x:v>80</x:v>
      </x:c>
      <x:c r="R7" s="28" t="n">
        <x:v>90</x:v>
      </x:c>
      <x:c r="S7" s="28" t="n">
        <x:v>8</x:v>
      </x:c>
      <x:c r="T7" s="28" t="n">
        <x:v>11</x:v>
      </x:c>
      <x:c r="U7" s="55" t="n">
        <x:v>14</x:v>
      </x:c>
      <x:c r="V7" s="28" t="n">
        <x:v>40</x:v>
      </x:c>
      <x:c r="W7" s="55" t="n">
        <x:v>55</x:v>
      </x:c>
      <x:c r="X7" s="28" t="n">
        <x:v>70</x:v>
      </x:c>
    </x:row>
    <x:row r="8">
      <x:c r="A8" s="30" t="n">
        <x:v>6</x:v>
      </x:c>
      <x:c r="B8" s="11" t="str">
        <x:f>IF(A8&lt;=15,"Seedling",IF(A8&lt;=25,"Establishment",IF(A8&lt;=40,"Vegetative Growth",IF(A8&lt;=55,"Flowering &amp; Initial Fruit Set",IF(A8&lt;=80,"Fruit Enlargement",IF(A8&lt;=95,"Ripening","Harvesting"))))))</x:f>
        <x:v>Seedling</x:v>
      </x:c>
      <x:c r="C8" s="28" t="n">
        <x:f>IF(A8&lt;=15,'Anchor Points'!$B$2+(A8-'Anchor Points'!$A$2)/('Anchor Points'!$A$3-'Anchor Points'!$A$2)*('Anchor Points'!$B$3-'Anchor Points'!$B$2),IF(A8&lt;=25,'Anchor Points'!$B$3+(A8-'Anchor Points'!$A$3)/('Anchor Points'!$A$4-'Anchor Points'!$A$3)*('Anchor Points'!$B$4-'Anchor Points'!$B$3),IF(A8&lt;=40,'Anchor Points'!$B$4+(A8-'Anchor Points'!$A$4)/('Anchor Points'!$A$5-'Anchor Points'!$A$4)*('Anchor Points'!$B$5-'Anchor Points'!$B$4),IF(A8&lt;=55,'Anchor Points'!$B$5+(A8-'Anchor Points'!$A$5)/('Anchor Points'!$A$6-'Anchor Points'!$A$5)*('Anchor Points'!$B$6-'Anchor Points'!$B$5),IF(A8&lt;=70,'Anchor Points'!$B$6+(A8-'Anchor Points'!$A$6)/('Anchor Points'!$A$7-'Anchor Points'!$A$6)*('Anchor Points'!$B$7-'Anchor Points'!$B$6),IF(A8&lt;=90,'Anchor Points'!$B$7+(A8-'Anchor Points'!$A$7)/('Anchor Points'!$A$8-'Anchor Points'!$A$7)*('Anchor Points'!$B$8-'Anchor Points'!$B$7),'Anchor Points'!$B$8+(A8-'Anchor Points'!$A$8)/('Anchor Points'!$A$9-'Anchor Points'!$A$8)*('Anchor Points'!$B$9-'Anchor Points'!$B$8)))))))</x:f>
        <x:v>3.6</x:v>
      </x:c>
      <x:c r="D8" s="28" t="n">
        <x:f>IF(A8&lt;=15,'Anchor Points'!$C$2+(A8-'Anchor Points'!$A$2)/('Anchor Points'!$A$3-'Anchor Points'!$A$2)*('Anchor Points'!$C$3-'Anchor Points'!$C$2),IF(A8&lt;=25,'Anchor Points'!$C$3+(A8-'Anchor Points'!$A$3)/('Anchor Points'!$A$4-'Anchor Points'!$A$3)*('Anchor Points'!$C$4-'Anchor Points'!$C$3),IF(A8&lt;=40,'Anchor Points'!$C$4+(A8-'Anchor Points'!$A$4)/('Anchor Points'!$A$5-'Anchor Points'!$A$4)*('Anchor Points'!$C$5-'Anchor Points'!$C$4),IF(A8&lt;=55,'Anchor Points'!$C$5+(A8-'Anchor Points'!$A$5)/('Anchor Points'!$A$6-'Anchor Points'!$A$5)*('Anchor Points'!$C$6-'Anchor Points'!$C$5),IF(A8&lt;=70,'Anchor Points'!$C$6+(A8-'Anchor Points'!$A$6)/('Anchor Points'!$A$7-'Anchor Points'!$A$6)*('Anchor Points'!$C$7-'Anchor Points'!$C$6),IF(A8&lt;=90,'Anchor Points'!$C$7+(A8-'Anchor Points'!$A$7)/('Anchor Points'!$A$8-'Anchor Points'!$A$7)*('Anchor Points'!$C$8-'Anchor Points'!$C$7),'Anchor Points'!$C$8+(A8-'Anchor Points'!$A$8)/('Anchor Points'!$A$9-'Anchor Points'!$A$8)*('Anchor Points'!$C$9-'Anchor Points'!$C$8)))))))</x:f>
        <x:v>2</x:v>
      </x:c>
      <x:c r="E8" s="28" t="n">
        <x:f>IF(A8&lt;=15,'Anchor Points'!$D$2+(A8-'Anchor Points'!$A$2)/('Anchor Points'!$A$3-'Anchor Points'!$A$2)*('Anchor Points'!$D$3-'Anchor Points'!$D$2),IF(A8&lt;=25,'Anchor Points'!$D$3+(A8-'Anchor Points'!$A$3)/('Anchor Points'!$A$4-'Anchor Points'!$A$3)*('Anchor Points'!$D$4-'Anchor Points'!$D$3),IF(A8&lt;=40,'Anchor Points'!$D$4+(A8-'Anchor Points'!$A$4)/('Anchor Points'!$A$5-'Anchor Points'!$A$4)*('Anchor Points'!$D$5-'Anchor Points'!$D$4),IF(A8&lt;=55,'Anchor Points'!$D$5+(A8-'Anchor Points'!$A$5)/('Anchor Points'!$A$6-'Anchor Points'!$A$5)*('Anchor Points'!$D$6-'Anchor Points'!$D$5),IF(A8&lt;=70,'Anchor Points'!$D$6+(A8-'Anchor Points'!$A$6)/('Anchor Points'!$A$7-'Anchor Points'!$A$6)*('Anchor Points'!$D$7-'Anchor Points'!$D$6),IF(A8&lt;=90,'Anchor Points'!$D$7+(A8-'Anchor Points'!$A$7)/('Anchor Points'!$A$8-'Anchor Points'!$A$7)*('Anchor Points'!$D$8-'Anchor Points'!$D$7),'Anchor Points'!$D$8+(A8-'Anchor Points'!$A$8)/('Anchor Points'!$A$9-'Anchor Points'!$A$8)*('Anchor Points'!$D$9-'Anchor Points'!$D$8)))))))</x:f>
        <x:v>0</x:v>
      </x:c>
      <x:c r="F8" s="30" t="n">
        <x:f>ROUND(E8,0)</x:f>
        <x:v>0</x:v>
      </x:c>
      <x:c r="G8" s="28" t="n">
        <x:f>IF(A8&lt;=15,'Anchor Points'!$E$2+(A8-'Anchor Points'!$A$2)/('Anchor Points'!$A$3-'Anchor Points'!$A$2)*('Anchor Points'!$E$3-'Anchor Points'!$E$2),IF(A8&lt;=25,'Anchor Points'!$E$3+(A8-'Anchor Points'!$A$3)/('Anchor Points'!$A$4-'Anchor Points'!$A$3)*('Anchor Points'!$E$4-'Anchor Points'!$E$3),IF(A8&lt;=40,'Anchor Points'!$E$4+(A8-'Anchor Points'!$A$4)/('Anchor Points'!$A$5-'Anchor Points'!$A$4)*('Anchor Points'!$E$5-'Anchor Points'!$E$4),IF(A8&lt;=55,'Anchor Points'!$E$5+(A8-'Anchor Points'!$A$5)/('Anchor Points'!$A$6-'Anchor Points'!$A$5)*('Anchor Points'!$E$6-'Anchor Points'!$E$5),IF(A8&lt;=70,'Anchor Points'!$E$6+(A8-'Anchor Points'!$A$6)/('Anchor Points'!$A$7-'Anchor Points'!$A$6)*('Anchor Points'!$E$7-'Anchor Points'!$E$6),IF(A8&lt;=90,'Anchor Points'!$E$7+(A8-'Anchor Points'!$A$7)/('Anchor Points'!$A$8-'Anchor Points'!$A$7)*('Anchor Points'!$E$8-'Anchor Points'!$E$7),'Anchor Points'!$E$8+(A8-'Anchor Points'!$A$8)/('Anchor Points'!$A$9-'Anchor Points'!$A$8)*('Anchor Points'!$E$9-'Anchor Points'!$E$8)))))))</x:f>
        <x:v>0</x:v>
      </x:c>
      <x:c r="H8" s="30" t="n">
        <x:f>ROUND(G8,0)</x:f>
        <x:v>0</x:v>
      </x:c>
      <x:c r="I8" s="28" t="n">
        <x:f>IF(A8&lt;=15,'Anchor Points'!$F$2+(A8-'Anchor Points'!$A$2)/('Anchor Points'!$A$3-'Anchor Points'!$A$2)*('Anchor Points'!$F$3-'Anchor Points'!$F$2),IF(A8&lt;=25,'Anchor Points'!$F$3+(A8-'Anchor Points'!$A$3)/('Anchor Points'!$A$4-'Anchor Points'!$A$3)*('Anchor Points'!$F$4-'Anchor Points'!$F$3),IF(A8&lt;=40,'Anchor Points'!$F$4+(A8-'Anchor Points'!$A$4)/('Anchor Points'!$A$5-'Anchor Points'!$A$4)*('Anchor Points'!$F$5-'Anchor Points'!$F$4),IF(A8&lt;=55,'Anchor Points'!$F$5+(A8-'Anchor Points'!$A$5)/('Anchor Points'!$A$6-'Anchor Points'!$A$5)*('Anchor Points'!$F$6-'Anchor Points'!$F$5),IF(A8&lt;=70,'Anchor Points'!$F$6+(A8-'Anchor Points'!$A$6)/('Anchor Points'!$A$7-'Anchor Points'!$A$6)*('Anchor Points'!$F$7-'Anchor Points'!$F$6),IF(A8&lt;=90,'Anchor Points'!$F$7+(A8-'Anchor Points'!$A$7)/('Anchor Points'!$A$8-'Anchor Points'!$A$7)*('Anchor Points'!$F$8-'Anchor Points'!$F$7),'Anchor Points'!$F$8+(A8-'Anchor Points'!$A$8)/('Anchor Points'!$A$9-'Anchor Points'!$A$8)*('Anchor Points'!$F$9-'Anchor Points'!$F$8)))))))</x:f>
        <x:v>0</x:v>
      </x:c>
      <x:c r="J8" s="28" t="n">
        <x:v>6</x:v>
      </x:c>
      <x:c r="K8" s="55" t="n">
        <x:v>7</x:v>
      </x:c>
      <x:c r="L8" s="28" t="n">
        <x:v>8</x:v>
      </x:c>
      <x:c r="M8" s="28" t="n">
        <x:v>65</x:v>
      </x:c>
      <x:c r="N8" s="55" t="n">
        <x:v>70</x:v>
      </x:c>
      <x:c r="O8" s="28" t="n">
        <x:v>75</x:v>
      </x:c>
      <x:c r="P8" s="28" t="n">
        <x:v>70</x:v>
      </x:c>
      <x:c r="Q8" s="55" t="n">
        <x:v>80</x:v>
      </x:c>
      <x:c r="R8" s="28" t="n">
        <x:v>90</x:v>
      </x:c>
      <x:c r="S8" s="28" t="n">
        <x:v>8</x:v>
      </x:c>
      <x:c r="T8" s="28" t="n">
        <x:v>11</x:v>
      </x:c>
      <x:c r="U8" s="55" t="n">
        <x:v>14</x:v>
      </x:c>
      <x:c r="V8" s="28" t="n">
        <x:v>48</x:v>
      </x:c>
      <x:c r="W8" s="55" t="n">
        <x:v>66</x:v>
      </x:c>
      <x:c r="X8" s="28" t="n">
        <x:v>84</x:v>
      </x:c>
    </x:row>
    <x:row r="9">
      <x:c r="A9" s="30" t="n">
        <x:v>7</x:v>
      </x:c>
      <x:c r="B9" s="11" t="str">
        <x:f>IF(A9&lt;=15,"Seedling",IF(A9&lt;=25,"Establishment",IF(A9&lt;=40,"Vegetative Growth",IF(A9&lt;=55,"Flowering &amp; Initial Fruit Set",IF(A9&lt;=80,"Fruit Enlargement",IF(A9&lt;=95,"Ripening","Harvesting"))))))</x:f>
        <x:v>Seedling</x:v>
      </x:c>
      <x:c r="C9" s="28" t="n">
        <x:f>IF(A9&lt;=15,'Anchor Points'!$B$2+(A9-'Anchor Points'!$A$2)/('Anchor Points'!$A$3-'Anchor Points'!$A$2)*('Anchor Points'!$B$3-'Anchor Points'!$B$2),IF(A9&lt;=25,'Anchor Points'!$B$3+(A9-'Anchor Points'!$A$3)/('Anchor Points'!$A$4-'Anchor Points'!$A$3)*('Anchor Points'!$B$4-'Anchor Points'!$B$3),IF(A9&lt;=40,'Anchor Points'!$B$4+(A9-'Anchor Points'!$A$4)/('Anchor Points'!$A$5-'Anchor Points'!$A$4)*('Anchor Points'!$B$5-'Anchor Points'!$B$4),IF(A9&lt;=55,'Anchor Points'!$B$5+(A9-'Anchor Points'!$A$5)/('Anchor Points'!$A$6-'Anchor Points'!$A$5)*('Anchor Points'!$B$6-'Anchor Points'!$B$5),IF(A9&lt;=70,'Anchor Points'!$B$6+(A9-'Anchor Points'!$A$6)/('Anchor Points'!$A$7-'Anchor Points'!$A$6)*('Anchor Points'!$B$7-'Anchor Points'!$B$6),IF(A9&lt;=90,'Anchor Points'!$B$7+(A9-'Anchor Points'!$A$7)/('Anchor Points'!$A$8-'Anchor Points'!$A$7)*('Anchor Points'!$B$8-'Anchor Points'!$B$7),'Anchor Points'!$B$8+(A9-'Anchor Points'!$A$8)/('Anchor Points'!$A$9-'Anchor Points'!$A$8)*('Anchor Points'!$B$9-'Anchor Points'!$B$8)))))))</x:f>
        <x:v>4.2</x:v>
      </x:c>
      <x:c r="D9" s="28" t="n">
        <x:f>IF(A9&lt;=15,'Anchor Points'!$C$2+(A9-'Anchor Points'!$A$2)/('Anchor Points'!$A$3-'Anchor Points'!$A$2)*('Anchor Points'!$C$3-'Anchor Points'!$C$2),IF(A9&lt;=25,'Anchor Points'!$C$3+(A9-'Anchor Points'!$A$3)/('Anchor Points'!$A$4-'Anchor Points'!$A$3)*('Anchor Points'!$C$4-'Anchor Points'!$C$3),IF(A9&lt;=40,'Anchor Points'!$C$4+(A9-'Anchor Points'!$A$4)/('Anchor Points'!$A$5-'Anchor Points'!$A$4)*('Anchor Points'!$C$5-'Anchor Points'!$C$4),IF(A9&lt;=55,'Anchor Points'!$C$5+(A9-'Anchor Points'!$A$5)/('Anchor Points'!$A$6-'Anchor Points'!$A$5)*('Anchor Points'!$C$6-'Anchor Points'!$C$5),IF(A9&lt;=70,'Anchor Points'!$C$6+(A9-'Anchor Points'!$A$6)/('Anchor Points'!$A$7-'Anchor Points'!$A$6)*('Anchor Points'!$C$7-'Anchor Points'!$C$6),IF(A9&lt;=90,'Anchor Points'!$C$7+(A9-'Anchor Points'!$A$7)/('Anchor Points'!$A$8-'Anchor Points'!$A$7)*('Anchor Points'!$C$8-'Anchor Points'!$C$7),'Anchor Points'!$C$8+(A9-'Anchor Points'!$A$8)/('Anchor Points'!$A$9-'Anchor Points'!$A$8)*('Anchor Points'!$C$9-'Anchor Points'!$C$8)))))))</x:f>
        <x:v>2.3333333333333335</x:v>
      </x:c>
      <x:c r="E9" s="28" t="n">
        <x:f>IF(A9&lt;=15,'Anchor Points'!$D$2+(A9-'Anchor Points'!$A$2)/('Anchor Points'!$A$3-'Anchor Points'!$A$2)*('Anchor Points'!$D$3-'Anchor Points'!$D$2),IF(A9&lt;=25,'Anchor Points'!$D$3+(A9-'Anchor Points'!$A$3)/('Anchor Points'!$A$4-'Anchor Points'!$A$3)*('Anchor Points'!$D$4-'Anchor Points'!$D$3),IF(A9&lt;=40,'Anchor Points'!$D$4+(A9-'Anchor Points'!$A$4)/('Anchor Points'!$A$5-'Anchor Points'!$A$4)*('Anchor Points'!$D$5-'Anchor Points'!$D$4),IF(A9&lt;=55,'Anchor Points'!$D$5+(A9-'Anchor Points'!$A$5)/('Anchor Points'!$A$6-'Anchor Points'!$A$5)*('Anchor Points'!$D$6-'Anchor Points'!$D$5),IF(A9&lt;=70,'Anchor Points'!$D$6+(A9-'Anchor Points'!$A$6)/('Anchor Points'!$A$7-'Anchor Points'!$A$6)*('Anchor Points'!$D$7-'Anchor Points'!$D$6),IF(A9&lt;=90,'Anchor Points'!$D$7+(A9-'Anchor Points'!$A$7)/('Anchor Points'!$A$8-'Anchor Points'!$A$7)*('Anchor Points'!$D$8-'Anchor Points'!$D$7),'Anchor Points'!$D$8+(A9-'Anchor Points'!$A$8)/('Anchor Points'!$A$9-'Anchor Points'!$A$8)*('Anchor Points'!$D$9-'Anchor Points'!$D$8)))))))</x:f>
        <x:v>0</x:v>
      </x:c>
      <x:c r="F9" s="30" t="n">
        <x:f>ROUND(E9,0)</x:f>
        <x:v>0</x:v>
      </x:c>
      <x:c r="G9" s="28" t="n">
        <x:f>IF(A9&lt;=15,'Anchor Points'!$E$2+(A9-'Anchor Points'!$A$2)/('Anchor Points'!$A$3-'Anchor Points'!$A$2)*('Anchor Points'!$E$3-'Anchor Points'!$E$2),IF(A9&lt;=25,'Anchor Points'!$E$3+(A9-'Anchor Points'!$A$3)/('Anchor Points'!$A$4-'Anchor Points'!$A$3)*('Anchor Points'!$E$4-'Anchor Points'!$E$3),IF(A9&lt;=40,'Anchor Points'!$E$4+(A9-'Anchor Points'!$A$4)/('Anchor Points'!$A$5-'Anchor Points'!$A$4)*('Anchor Points'!$E$5-'Anchor Points'!$E$4),IF(A9&lt;=55,'Anchor Points'!$E$5+(A9-'Anchor Points'!$A$5)/('Anchor Points'!$A$6-'Anchor Points'!$A$5)*('Anchor Points'!$E$6-'Anchor Points'!$E$5),IF(A9&lt;=70,'Anchor Points'!$E$6+(A9-'Anchor Points'!$A$6)/('Anchor Points'!$A$7-'Anchor Points'!$A$6)*('Anchor Points'!$E$7-'Anchor Points'!$E$6),IF(A9&lt;=90,'Anchor Points'!$E$7+(A9-'Anchor Points'!$A$7)/('Anchor Points'!$A$8-'Anchor Points'!$A$7)*('Anchor Points'!$E$8-'Anchor Points'!$E$7),'Anchor Points'!$E$8+(A9-'Anchor Points'!$A$8)/('Anchor Points'!$A$9-'Anchor Points'!$A$8)*('Anchor Points'!$E$9-'Anchor Points'!$E$8)))))))</x:f>
        <x:v>0</x:v>
      </x:c>
      <x:c r="H9" s="30" t="n">
        <x:f>ROUND(G9,0)</x:f>
        <x:v>0</x:v>
      </x:c>
      <x:c r="I9" s="28" t="n">
        <x:f>IF(A9&lt;=15,'Anchor Points'!$F$2+(A9-'Anchor Points'!$A$2)/('Anchor Points'!$A$3-'Anchor Points'!$A$2)*('Anchor Points'!$F$3-'Anchor Points'!$F$2),IF(A9&lt;=25,'Anchor Points'!$F$3+(A9-'Anchor Points'!$A$3)/('Anchor Points'!$A$4-'Anchor Points'!$A$3)*('Anchor Points'!$F$4-'Anchor Points'!$F$3),IF(A9&lt;=40,'Anchor Points'!$F$4+(A9-'Anchor Points'!$A$4)/('Anchor Points'!$A$5-'Anchor Points'!$A$4)*('Anchor Points'!$F$5-'Anchor Points'!$F$4),IF(A9&lt;=55,'Anchor Points'!$F$5+(A9-'Anchor Points'!$A$5)/('Anchor Points'!$A$6-'Anchor Points'!$A$5)*('Anchor Points'!$F$6-'Anchor Points'!$F$5),IF(A9&lt;=70,'Anchor Points'!$F$6+(A9-'Anchor Points'!$A$6)/('Anchor Points'!$A$7-'Anchor Points'!$A$6)*('Anchor Points'!$F$7-'Anchor Points'!$F$6),IF(A9&lt;=90,'Anchor Points'!$F$7+(A9-'Anchor Points'!$A$7)/('Anchor Points'!$A$8-'Anchor Points'!$A$7)*('Anchor Points'!$F$8-'Anchor Points'!$F$7),'Anchor Points'!$F$8+(A9-'Anchor Points'!$A$8)/('Anchor Points'!$A$9-'Anchor Points'!$A$8)*('Anchor Points'!$F$9-'Anchor Points'!$F$8)))))))</x:f>
        <x:v>0</x:v>
      </x:c>
      <x:c r="J9" s="28" t="n">
        <x:v>6</x:v>
      </x:c>
      <x:c r="K9" s="55" t="n">
        <x:v>7</x:v>
      </x:c>
      <x:c r="L9" s="28" t="n">
        <x:v>8</x:v>
      </x:c>
      <x:c r="M9" s="28" t="n">
        <x:v>65</x:v>
      </x:c>
      <x:c r="N9" s="55" t="n">
        <x:v>70</x:v>
      </x:c>
      <x:c r="O9" s="28" t="n">
        <x:v>75</x:v>
      </x:c>
      <x:c r="P9" s="28" t="n">
        <x:v>70</x:v>
      </x:c>
      <x:c r="Q9" s="55" t="n">
        <x:v>80</x:v>
      </x:c>
      <x:c r="R9" s="28" t="n">
        <x:v>90</x:v>
      </x:c>
      <x:c r="S9" s="28" t="n">
        <x:v>8</x:v>
      </x:c>
      <x:c r="T9" s="28" t="n">
        <x:v>11</x:v>
      </x:c>
      <x:c r="U9" s="55" t="n">
        <x:v>14</x:v>
      </x:c>
      <x:c r="V9" s="28" t="n">
        <x:v>56</x:v>
      </x:c>
      <x:c r="W9" s="55" t="n">
        <x:v>77</x:v>
      </x:c>
      <x:c r="X9" s="28" t="n">
        <x:v>98</x:v>
      </x:c>
    </x:row>
    <x:row r="10">
      <x:c r="A10" s="30" t="n">
        <x:v>8</x:v>
      </x:c>
      <x:c r="B10" s="11" t="str">
        <x:f>IF(A10&lt;=15,"Seedling",IF(A10&lt;=25,"Establishment",IF(A10&lt;=40,"Vegetative Growth",IF(A10&lt;=55,"Flowering &amp; Initial Fruit Set",IF(A10&lt;=80,"Fruit Enlargement",IF(A10&lt;=95,"Ripening","Harvesting"))))))</x:f>
        <x:v>Seedling</x:v>
      </x:c>
      <x:c r="C10" s="28" t="n">
        <x:f>IF(A10&lt;=15,'Anchor Points'!$B$2+(A10-'Anchor Points'!$A$2)/('Anchor Points'!$A$3-'Anchor Points'!$A$2)*('Anchor Points'!$B$3-'Anchor Points'!$B$2),IF(A10&lt;=25,'Anchor Points'!$B$3+(A10-'Anchor Points'!$A$3)/('Anchor Points'!$A$4-'Anchor Points'!$A$3)*('Anchor Points'!$B$4-'Anchor Points'!$B$3),IF(A10&lt;=40,'Anchor Points'!$B$4+(A10-'Anchor Points'!$A$4)/('Anchor Points'!$A$5-'Anchor Points'!$A$4)*('Anchor Points'!$B$5-'Anchor Points'!$B$4),IF(A10&lt;=55,'Anchor Points'!$B$5+(A10-'Anchor Points'!$A$5)/('Anchor Points'!$A$6-'Anchor Points'!$A$5)*('Anchor Points'!$B$6-'Anchor Points'!$B$5),IF(A10&lt;=70,'Anchor Points'!$B$6+(A10-'Anchor Points'!$A$6)/('Anchor Points'!$A$7-'Anchor Points'!$A$6)*('Anchor Points'!$B$7-'Anchor Points'!$B$6),IF(A10&lt;=90,'Anchor Points'!$B$7+(A10-'Anchor Points'!$A$7)/('Anchor Points'!$A$8-'Anchor Points'!$A$7)*('Anchor Points'!$B$8-'Anchor Points'!$B$7),'Anchor Points'!$B$8+(A10-'Anchor Points'!$A$8)/('Anchor Points'!$A$9-'Anchor Points'!$A$8)*('Anchor Points'!$B$9-'Anchor Points'!$B$8)))))))</x:f>
        <x:v>4.8</x:v>
      </x:c>
      <x:c r="D10" s="28" t="n">
        <x:f>IF(A10&lt;=15,'Anchor Points'!$C$2+(A10-'Anchor Points'!$A$2)/('Anchor Points'!$A$3-'Anchor Points'!$A$2)*('Anchor Points'!$C$3-'Anchor Points'!$C$2),IF(A10&lt;=25,'Anchor Points'!$C$3+(A10-'Anchor Points'!$A$3)/('Anchor Points'!$A$4-'Anchor Points'!$A$3)*('Anchor Points'!$C$4-'Anchor Points'!$C$3),IF(A10&lt;=40,'Anchor Points'!$C$4+(A10-'Anchor Points'!$A$4)/('Anchor Points'!$A$5-'Anchor Points'!$A$4)*('Anchor Points'!$C$5-'Anchor Points'!$C$4),IF(A10&lt;=55,'Anchor Points'!$C$5+(A10-'Anchor Points'!$A$5)/('Anchor Points'!$A$6-'Anchor Points'!$A$5)*('Anchor Points'!$C$6-'Anchor Points'!$C$5),IF(A10&lt;=70,'Anchor Points'!$C$6+(A10-'Anchor Points'!$A$6)/('Anchor Points'!$A$7-'Anchor Points'!$A$6)*('Anchor Points'!$C$7-'Anchor Points'!$C$6),IF(A10&lt;=90,'Anchor Points'!$C$7+(A10-'Anchor Points'!$A$7)/('Anchor Points'!$A$8-'Anchor Points'!$A$7)*('Anchor Points'!$C$8-'Anchor Points'!$C$7),'Anchor Points'!$C$8+(A10-'Anchor Points'!$A$8)/('Anchor Points'!$A$9-'Anchor Points'!$A$8)*('Anchor Points'!$C$9-'Anchor Points'!$C$8)))))))</x:f>
        <x:v>2.6666666666666665</x:v>
      </x:c>
      <x:c r="E10" s="28" t="n">
        <x:f>IF(A10&lt;=15,'Anchor Points'!$D$2+(A10-'Anchor Points'!$A$2)/('Anchor Points'!$A$3-'Anchor Points'!$A$2)*('Anchor Points'!$D$3-'Anchor Points'!$D$2),IF(A10&lt;=25,'Anchor Points'!$D$3+(A10-'Anchor Points'!$A$3)/('Anchor Points'!$A$4-'Anchor Points'!$A$3)*('Anchor Points'!$D$4-'Anchor Points'!$D$3),IF(A10&lt;=40,'Anchor Points'!$D$4+(A10-'Anchor Points'!$A$4)/('Anchor Points'!$A$5-'Anchor Points'!$A$4)*('Anchor Points'!$D$5-'Anchor Points'!$D$4),IF(A10&lt;=55,'Anchor Points'!$D$5+(A10-'Anchor Points'!$A$5)/('Anchor Points'!$A$6-'Anchor Points'!$A$5)*('Anchor Points'!$D$6-'Anchor Points'!$D$5),IF(A10&lt;=70,'Anchor Points'!$D$6+(A10-'Anchor Points'!$A$6)/('Anchor Points'!$A$7-'Anchor Points'!$A$6)*('Anchor Points'!$D$7-'Anchor Points'!$D$6),IF(A10&lt;=90,'Anchor Points'!$D$7+(A10-'Anchor Points'!$A$7)/('Anchor Points'!$A$8-'Anchor Points'!$A$7)*('Anchor Points'!$D$8-'Anchor Points'!$D$7),'Anchor Points'!$D$8+(A10-'Anchor Points'!$A$8)/('Anchor Points'!$A$9-'Anchor Points'!$A$8)*('Anchor Points'!$D$9-'Anchor Points'!$D$8)))))))</x:f>
        <x:v>0</x:v>
      </x:c>
      <x:c r="F10" s="30" t="n">
        <x:f>ROUND(E10,0)</x:f>
        <x:v>0</x:v>
      </x:c>
      <x:c r="G10" s="28" t="n">
        <x:f>IF(A10&lt;=15,'Anchor Points'!$E$2+(A10-'Anchor Points'!$A$2)/('Anchor Points'!$A$3-'Anchor Points'!$A$2)*('Anchor Points'!$E$3-'Anchor Points'!$E$2),IF(A10&lt;=25,'Anchor Points'!$E$3+(A10-'Anchor Points'!$A$3)/('Anchor Points'!$A$4-'Anchor Points'!$A$3)*('Anchor Points'!$E$4-'Anchor Points'!$E$3),IF(A10&lt;=40,'Anchor Points'!$E$4+(A10-'Anchor Points'!$A$4)/('Anchor Points'!$A$5-'Anchor Points'!$A$4)*('Anchor Points'!$E$5-'Anchor Points'!$E$4),IF(A10&lt;=55,'Anchor Points'!$E$5+(A10-'Anchor Points'!$A$5)/('Anchor Points'!$A$6-'Anchor Points'!$A$5)*('Anchor Points'!$E$6-'Anchor Points'!$E$5),IF(A10&lt;=70,'Anchor Points'!$E$6+(A10-'Anchor Points'!$A$6)/('Anchor Points'!$A$7-'Anchor Points'!$A$6)*('Anchor Points'!$E$7-'Anchor Points'!$E$6),IF(A10&lt;=90,'Anchor Points'!$E$7+(A10-'Anchor Points'!$A$7)/('Anchor Points'!$A$8-'Anchor Points'!$A$7)*('Anchor Points'!$E$8-'Anchor Points'!$E$7),'Anchor Points'!$E$8+(A10-'Anchor Points'!$A$8)/('Anchor Points'!$A$9-'Anchor Points'!$A$8)*('Anchor Points'!$E$9-'Anchor Points'!$E$8)))))))</x:f>
        <x:v>0</x:v>
      </x:c>
      <x:c r="H10" s="30" t="n">
        <x:f>ROUND(G10,0)</x:f>
        <x:v>0</x:v>
      </x:c>
      <x:c r="I10" s="28" t="n">
        <x:f>IF(A10&lt;=15,'Anchor Points'!$F$2+(A10-'Anchor Points'!$A$2)/('Anchor Points'!$A$3-'Anchor Points'!$A$2)*('Anchor Points'!$F$3-'Anchor Points'!$F$2),IF(A10&lt;=25,'Anchor Points'!$F$3+(A10-'Anchor Points'!$A$3)/('Anchor Points'!$A$4-'Anchor Points'!$A$3)*('Anchor Points'!$F$4-'Anchor Points'!$F$3),IF(A10&lt;=40,'Anchor Points'!$F$4+(A10-'Anchor Points'!$A$4)/('Anchor Points'!$A$5-'Anchor Points'!$A$4)*('Anchor Points'!$F$5-'Anchor Points'!$F$4),IF(A10&lt;=55,'Anchor Points'!$F$5+(A10-'Anchor Points'!$A$5)/('Anchor Points'!$A$6-'Anchor Points'!$A$5)*('Anchor Points'!$F$6-'Anchor Points'!$F$5),IF(A10&lt;=70,'Anchor Points'!$F$6+(A10-'Anchor Points'!$A$6)/('Anchor Points'!$A$7-'Anchor Points'!$A$6)*('Anchor Points'!$F$7-'Anchor Points'!$F$6),IF(A10&lt;=90,'Anchor Points'!$F$7+(A10-'Anchor Points'!$A$7)/('Anchor Points'!$A$8-'Anchor Points'!$A$7)*('Anchor Points'!$F$8-'Anchor Points'!$F$7),'Anchor Points'!$F$8+(A10-'Anchor Points'!$A$8)/('Anchor Points'!$A$9-'Anchor Points'!$A$8)*('Anchor Points'!$F$9-'Anchor Points'!$F$8)))))))</x:f>
        <x:v>0</x:v>
      </x:c>
      <x:c r="J10" s="28" t="n">
        <x:v>6</x:v>
      </x:c>
      <x:c r="K10" s="55" t="n">
        <x:v>7</x:v>
      </x:c>
      <x:c r="L10" s="28" t="n">
        <x:v>8</x:v>
      </x:c>
      <x:c r="M10" s="28" t="n">
        <x:v>65</x:v>
      </x:c>
      <x:c r="N10" s="55" t="n">
        <x:v>70</x:v>
      </x:c>
      <x:c r="O10" s="28" t="n">
        <x:v>75</x:v>
      </x:c>
      <x:c r="P10" s="28" t="n">
        <x:v>70</x:v>
      </x:c>
      <x:c r="Q10" s="55" t="n">
        <x:v>80</x:v>
      </x:c>
      <x:c r="R10" s="28" t="n">
        <x:v>90</x:v>
      </x:c>
      <x:c r="S10" s="28" t="n">
        <x:v>8</x:v>
      </x:c>
      <x:c r="T10" s="28" t="n">
        <x:v>11</x:v>
      </x:c>
      <x:c r="U10" s="55" t="n">
        <x:v>14</x:v>
      </x:c>
      <x:c r="V10" s="28" t="n">
        <x:v>64</x:v>
      </x:c>
      <x:c r="W10" s="55" t="n">
        <x:v>88</x:v>
      </x:c>
      <x:c r="X10" s="28" t="n">
        <x:v>112</x:v>
      </x:c>
    </x:row>
    <x:row r="11">
      <x:c r="A11" s="30" t="n">
        <x:v>9</x:v>
      </x:c>
      <x:c r="B11" s="11" t="str">
        <x:f>IF(A11&lt;=15,"Seedling",IF(A11&lt;=25,"Establishment",IF(A11&lt;=40,"Vegetative Growth",IF(A11&lt;=55,"Flowering &amp; Initial Fruit Set",IF(A11&lt;=80,"Fruit Enlargement",IF(A11&lt;=95,"Ripening","Harvesting"))))))</x:f>
        <x:v>Seedling</x:v>
      </x:c>
      <x:c r="C11" s="28" t="n">
        <x:f>IF(A11&lt;=15,'Anchor Points'!$B$2+(A11-'Anchor Points'!$A$2)/('Anchor Points'!$A$3-'Anchor Points'!$A$2)*('Anchor Points'!$B$3-'Anchor Points'!$B$2),IF(A11&lt;=25,'Anchor Points'!$B$3+(A11-'Anchor Points'!$A$3)/('Anchor Points'!$A$4-'Anchor Points'!$A$3)*('Anchor Points'!$B$4-'Anchor Points'!$B$3),IF(A11&lt;=40,'Anchor Points'!$B$4+(A11-'Anchor Points'!$A$4)/('Anchor Points'!$A$5-'Anchor Points'!$A$4)*('Anchor Points'!$B$5-'Anchor Points'!$B$4),IF(A11&lt;=55,'Anchor Points'!$B$5+(A11-'Anchor Points'!$A$5)/('Anchor Points'!$A$6-'Anchor Points'!$A$5)*('Anchor Points'!$B$6-'Anchor Points'!$B$5),IF(A11&lt;=70,'Anchor Points'!$B$6+(A11-'Anchor Points'!$A$6)/('Anchor Points'!$A$7-'Anchor Points'!$A$6)*('Anchor Points'!$B$7-'Anchor Points'!$B$6),IF(A11&lt;=90,'Anchor Points'!$B$7+(A11-'Anchor Points'!$A$7)/('Anchor Points'!$A$8-'Anchor Points'!$A$7)*('Anchor Points'!$B$8-'Anchor Points'!$B$7),'Anchor Points'!$B$8+(A11-'Anchor Points'!$A$8)/('Anchor Points'!$A$9-'Anchor Points'!$A$8)*('Anchor Points'!$B$9-'Anchor Points'!$B$8)))))))</x:f>
        <x:v>5.3999999999999995</x:v>
      </x:c>
      <x:c r="D11" s="28" t="n">
        <x:f>IF(A11&lt;=15,'Anchor Points'!$C$2+(A11-'Anchor Points'!$A$2)/('Anchor Points'!$A$3-'Anchor Points'!$A$2)*('Anchor Points'!$C$3-'Anchor Points'!$C$2),IF(A11&lt;=25,'Anchor Points'!$C$3+(A11-'Anchor Points'!$A$3)/('Anchor Points'!$A$4-'Anchor Points'!$A$3)*('Anchor Points'!$C$4-'Anchor Points'!$C$3),IF(A11&lt;=40,'Anchor Points'!$C$4+(A11-'Anchor Points'!$A$4)/('Anchor Points'!$A$5-'Anchor Points'!$A$4)*('Anchor Points'!$C$5-'Anchor Points'!$C$4),IF(A11&lt;=55,'Anchor Points'!$C$5+(A11-'Anchor Points'!$A$5)/('Anchor Points'!$A$6-'Anchor Points'!$A$5)*('Anchor Points'!$C$6-'Anchor Points'!$C$5),IF(A11&lt;=70,'Anchor Points'!$C$6+(A11-'Anchor Points'!$A$6)/('Anchor Points'!$A$7-'Anchor Points'!$A$6)*('Anchor Points'!$C$7-'Anchor Points'!$C$6),IF(A11&lt;=90,'Anchor Points'!$C$7+(A11-'Anchor Points'!$A$7)/('Anchor Points'!$A$8-'Anchor Points'!$A$7)*('Anchor Points'!$C$8-'Anchor Points'!$C$7),'Anchor Points'!$C$8+(A11-'Anchor Points'!$A$8)/('Anchor Points'!$A$9-'Anchor Points'!$A$8)*('Anchor Points'!$C$9-'Anchor Points'!$C$8)))))))</x:f>
        <x:v>3</x:v>
      </x:c>
      <x:c r="E11" s="28" t="n">
        <x:f>IF(A11&lt;=15,'Anchor Points'!$D$2+(A11-'Anchor Points'!$A$2)/('Anchor Points'!$A$3-'Anchor Points'!$A$2)*('Anchor Points'!$D$3-'Anchor Points'!$D$2),IF(A11&lt;=25,'Anchor Points'!$D$3+(A11-'Anchor Points'!$A$3)/('Anchor Points'!$A$4-'Anchor Points'!$A$3)*('Anchor Points'!$D$4-'Anchor Points'!$D$3),IF(A11&lt;=40,'Anchor Points'!$D$4+(A11-'Anchor Points'!$A$4)/('Anchor Points'!$A$5-'Anchor Points'!$A$4)*('Anchor Points'!$D$5-'Anchor Points'!$D$4),IF(A11&lt;=55,'Anchor Points'!$D$5+(A11-'Anchor Points'!$A$5)/('Anchor Points'!$A$6-'Anchor Points'!$A$5)*('Anchor Points'!$D$6-'Anchor Points'!$D$5),IF(A11&lt;=70,'Anchor Points'!$D$6+(A11-'Anchor Points'!$A$6)/('Anchor Points'!$A$7-'Anchor Points'!$A$6)*('Anchor Points'!$D$7-'Anchor Points'!$D$6),IF(A11&lt;=90,'Anchor Points'!$D$7+(A11-'Anchor Points'!$A$7)/('Anchor Points'!$A$8-'Anchor Points'!$A$7)*('Anchor Points'!$D$8-'Anchor Points'!$D$7),'Anchor Points'!$D$8+(A11-'Anchor Points'!$A$8)/('Anchor Points'!$A$9-'Anchor Points'!$A$8)*('Anchor Points'!$D$9-'Anchor Points'!$D$8)))))))</x:f>
        <x:v>0</x:v>
      </x:c>
      <x:c r="F11" s="30" t="n">
        <x:f>ROUND(E11,0)</x:f>
        <x:v>0</x:v>
      </x:c>
      <x:c r="G11" s="28" t="n">
        <x:f>IF(A11&lt;=15,'Anchor Points'!$E$2+(A11-'Anchor Points'!$A$2)/('Anchor Points'!$A$3-'Anchor Points'!$A$2)*('Anchor Points'!$E$3-'Anchor Points'!$E$2),IF(A11&lt;=25,'Anchor Points'!$E$3+(A11-'Anchor Points'!$A$3)/('Anchor Points'!$A$4-'Anchor Points'!$A$3)*('Anchor Points'!$E$4-'Anchor Points'!$E$3),IF(A11&lt;=40,'Anchor Points'!$E$4+(A11-'Anchor Points'!$A$4)/('Anchor Points'!$A$5-'Anchor Points'!$A$4)*('Anchor Points'!$E$5-'Anchor Points'!$E$4),IF(A11&lt;=55,'Anchor Points'!$E$5+(A11-'Anchor Points'!$A$5)/('Anchor Points'!$A$6-'Anchor Points'!$A$5)*('Anchor Points'!$E$6-'Anchor Points'!$E$5),IF(A11&lt;=70,'Anchor Points'!$E$6+(A11-'Anchor Points'!$A$6)/('Anchor Points'!$A$7-'Anchor Points'!$A$6)*('Anchor Points'!$E$7-'Anchor Points'!$E$6),IF(A11&lt;=90,'Anchor Points'!$E$7+(A11-'Anchor Points'!$A$7)/('Anchor Points'!$A$8-'Anchor Points'!$A$7)*('Anchor Points'!$E$8-'Anchor Points'!$E$7),'Anchor Points'!$E$8+(A11-'Anchor Points'!$A$8)/('Anchor Points'!$A$9-'Anchor Points'!$A$8)*('Anchor Points'!$E$9-'Anchor Points'!$E$8)))))))</x:f>
        <x:v>0</x:v>
      </x:c>
      <x:c r="H11" s="30" t="n">
        <x:f>ROUND(G11,0)</x:f>
        <x:v>0</x:v>
      </x:c>
      <x:c r="I11" s="28" t="n">
        <x:f>IF(A11&lt;=15,'Anchor Points'!$F$2+(A11-'Anchor Points'!$A$2)/('Anchor Points'!$A$3-'Anchor Points'!$A$2)*('Anchor Points'!$F$3-'Anchor Points'!$F$2),IF(A11&lt;=25,'Anchor Points'!$F$3+(A11-'Anchor Points'!$A$3)/('Anchor Points'!$A$4-'Anchor Points'!$A$3)*('Anchor Points'!$F$4-'Anchor Points'!$F$3),IF(A11&lt;=40,'Anchor Points'!$F$4+(A11-'Anchor Points'!$A$4)/('Anchor Points'!$A$5-'Anchor Points'!$A$4)*('Anchor Points'!$F$5-'Anchor Points'!$F$4),IF(A11&lt;=55,'Anchor Points'!$F$5+(A11-'Anchor Points'!$A$5)/('Anchor Points'!$A$6-'Anchor Points'!$A$5)*('Anchor Points'!$F$6-'Anchor Points'!$F$5),IF(A11&lt;=70,'Anchor Points'!$F$6+(A11-'Anchor Points'!$A$6)/('Anchor Points'!$A$7-'Anchor Points'!$A$6)*('Anchor Points'!$F$7-'Anchor Points'!$F$6),IF(A11&lt;=90,'Anchor Points'!$F$7+(A11-'Anchor Points'!$A$7)/('Anchor Points'!$A$8-'Anchor Points'!$A$7)*('Anchor Points'!$F$8-'Anchor Points'!$F$7),'Anchor Points'!$F$8+(A11-'Anchor Points'!$A$8)/('Anchor Points'!$A$9-'Anchor Points'!$A$8)*('Anchor Points'!$F$9-'Anchor Points'!$F$8)))))))</x:f>
        <x:v>0</x:v>
      </x:c>
      <x:c r="J11" s="28" t="n">
        <x:v>6</x:v>
      </x:c>
      <x:c r="K11" s="55" t="n">
        <x:v>7</x:v>
      </x:c>
      <x:c r="L11" s="28" t="n">
        <x:v>8</x:v>
      </x:c>
      <x:c r="M11" s="28" t="n">
        <x:v>65</x:v>
      </x:c>
      <x:c r="N11" s="55" t="n">
        <x:v>70</x:v>
      </x:c>
      <x:c r="O11" s="28" t="n">
        <x:v>75</x:v>
      </x:c>
      <x:c r="P11" s="28" t="n">
        <x:v>70</x:v>
      </x:c>
      <x:c r="Q11" s="55" t="n">
        <x:v>80</x:v>
      </x:c>
      <x:c r="R11" s="28" t="n">
        <x:v>90</x:v>
      </x:c>
      <x:c r="S11" s="28" t="n">
        <x:v>8</x:v>
      </x:c>
      <x:c r="T11" s="28" t="n">
        <x:v>11</x:v>
      </x:c>
      <x:c r="U11" s="55" t="n">
        <x:v>14</x:v>
      </x:c>
      <x:c r="V11" s="28" t="n">
        <x:v>72</x:v>
      </x:c>
      <x:c r="W11" s="55" t="n">
        <x:v>99</x:v>
      </x:c>
      <x:c r="X11" s="28" t="n">
        <x:v>126</x:v>
      </x:c>
    </x:row>
    <x:row r="12">
      <x:c r="A12" s="30" t="n">
        <x:v>10</x:v>
      </x:c>
      <x:c r="B12" s="11" t="str">
        <x:f>IF(A12&lt;=15,"Seedling",IF(A12&lt;=25,"Establishment",IF(A12&lt;=40,"Vegetative Growth",IF(A12&lt;=55,"Flowering &amp; Initial Fruit Set",IF(A12&lt;=80,"Fruit Enlargement",IF(A12&lt;=95,"Ripening","Harvesting"))))))</x:f>
        <x:v>Seedling</x:v>
      </x:c>
      <x:c r="C12" s="28" t="n">
        <x:f>IF(A12&lt;=15,'Anchor Points'!$B$2+(A12-'Anchor Points'!$A$2)/('Anchor Points'!$A$3-'Anchor Points'!$A$2)*('Anchor Points'!$B$3-'Anchor Points'!$B$2),IF(A12&lt;=25,'Anchor Points'!$B$3+(A12-'Anchor Points'!$A$3)/('Anchor Points'!$A$4-'Anchor Points'!$A$3)*('Anchor Points'!$B$4-'Anchor Points'!$B$3),IF(A12&lt;=40,'Anchor Points'!$B$4+(A12-'Anchor Points'!$A$4)/('Anchor Points'!$A$5-'Anchor Points'!$A$4)*('Anchor Points'!$B$5-'Anchor Points'!$B$4),IF(A12&lt;=55,'Anchor Points'!$B$5+(A12-'Anchor Points'!$A$5)/('Anchor Points'!$A$6-'Anchor Points'!$A$5)*('Anchor Points'!$B$6-'Anchor Points'!$B$5),IF(A12&lt;=70,'Anchor Points'!$B$6+(A12-'Anchor Points'!$A$6)/('Anchor Points'!$A$7-'Anchor Points'!$A$6)*('Anchor Points'!$B$7-'Anchor Points'!$B$6),IF(A12&lt;=90,'Anchor Points'!$B$7+(A12-'Anchor Points'!$A$7)/('Anchor Points'!$A$8-'Anchor Points'!$A$7)*('Anchor Points'!$B$8-'Anchor Points'!$B$7),'Anchor Points'!$B$8+(A12-'Anchor Points'!$A$8)/('Anchor Points'!$A$9-'Anchor Points'!$A$8)*('Anchor Points'!$B$9-'Anchor Points'!$B$8)))))))</x:f>
        <x:v>6</x:v>
      </x:c>
      <x:c r="D12" s="28" t="n">
        <x:f>IF(A12&lt;=15,'Anchor Points'!$C$2+(A12-'Anchor Points'!$A$2)/('Anchor Points'!$A$3-'Anchor Points'!$A$2)*('Anchor Points'!$C$3-'Anchor Points'!$C$2),IF(A12&lt;=25,'Anchor Points'!$C$3+(A12-'Anchor Points'!$A$3)/('Anchor Points'!$A$4-'Anchor Points'!$A$3)*('Anchor Points'!$C$4-'Anchor Points'!$C$3),IF(A12&lt;=40,'Anchor Points'!$C$4+(A12-'Anchor Points'!$A$4)/('Anchor Points'!$A$5-'Anchor Points'!$A$4)*('Anchor Points'!$C$5-'Anchor Points'!$C$4),IF(A12&lt;=55,'Anchor Points'!$C$5+(A12-'Anchor Points'!$A$5)/('Anchor Points'!$A$6-'Anchor Points'!$A$5)*('Anchor Points'!$C$6-'Anchor Points'!$C$5),IF(A12&lt;=70,'Anchor Points'!$C$6+(A12-'Anchor Points'!$A$6)/('Anchor Points'!$A$7-'Anchor Points'!$A$6)*('Anchor Points'!$C$7-'Anchor Points'!$C$6),IF(A12&lt;=90,'Anchor Points'!$C$7+(A12-'Anchor Points'!$A$7)/('Anchor Points'!$A$8-'Anchor Points'!$A$7)*('Anchor Points'!$C$8-'Anchor Points'!$C$7),'Anchor Points'!$C$8+(A12-'Anchor Points'!$A$8)/('Anchor Points'!$A$9-'Anchor Points'!$A$8)*('Anchor Points'!$C$9-'Anchor Points'!$C$8)))))))</x:f>
        <x:v>3.333333333333333</x:v>
      </x:c>
      <x:c r="E12" s="28" t="n">
        <x:f>IF(A12&lt;=15,'Anchor Points'!$D$2+(A12-'Anchor Points'!$A$2)/('Anchor Points'!$A$3-'Anchor Points'!$A$2)*('Anchor Points'!$D$3-'Anchor Points'!$D$2),IF(A12&lt;=25,'Anchor Points'!$D$3+(A12-'Anchor Points'!$A$3)/('Anchor Points'!$A$4-'Anchor Points'!$A$3)*('Anchor Points'!$D$4-'Anchor Points'!$D$3),IF(A12&lt;=40,'Anchor Points'!$D$4+(A12-'Anchor Points'!$A$4)/('Anchor Points'!$A$5-'Anchor Points'!$A$4)*('Anchor Points'!$D$5-'Anchor Points'!$D$4),IF(A12&lt;=55,'Anchor Points'!$D$5+(A12-'Anchor Points'!$A$5)/('Anchor Points'!$A$6-'Anchor Points'!$A$5)*('Anchor Points'!$D$6-'Anchor Points'!$D$5),IF(A12&lt;=70,'Anchor Points'!$D$6+(A12-'Anchor Points'!$A$6)/('Anchor Points'!$A$7-'Anchor Points'!$A$6)*('Anchor Points'!$D$7-'Anchor Points'!$D$6),IF(A12&lt;=90,'Anchor Points'!$D$7+(A12-'Anchor Points'!$A$7)/('Anchor Points'!$A$8-'Anchor Points'!$A$7)*('Anchor Points'!$D$8-'Anchor Points'!$D$7),'Anchor Points'!$D$8+(A12-'Anchor Points'!$A$8)/('Anchor Points'!$A$9-'Anchor Points'!$A$8)*('Anchor Points'!$D$9-'Anchor Points'!$D$8)))))))</x:f>
        <x:v>0</x:v>
      </x:c>
      <x:c r="F12" s="30" t="n">
        <x:f>ROUND(E12,0)</x:f>
        <x:v>0</x:v>
      </x:c>
      <x:c r="G12" s="28" t="n">
        <x:f>IF(A12&lt;=15,'Anchor Points'!$E$2+(A12-'Anchor Points'!$A$2)/('Anchor Points'!$A$3-'Anchor Points'!$A$2)*('Anchor Points'!$E$3-'Anchor Points'!$E$2),IF(A12&lt;=25,'Anchor Points'!$E$3+(A12-'Anchor Points'!$A$3)/('Anchor Points'!$A$4-'Anchor Points'!$A$3)*('Anchor Points'!$E$4-'Anchor Points'!$E$3),IF(A12&lt;=40,'Anchor Points'!$E$4+(A12-'Anchor Points'!$A$4)/('Anchor Points'!$A$5-'Anchor Points'!$A$4)*('Anchor Points'!$E$5-'Anchor Points'!$E$4),IF(A12&lt;=55,'Anchor Points'!$E$5+(A12-'Anchor Points'!$A$5)/('Anchor Points'!$A$6-'Anchor Points'!$A$5)*('Anchor Points'!$E$6-'Anchor Points'!$E$5),IF(A12&lt;=70,'Anchor Points'!$E$6+(A12-'Anchor Points'!$A$6)/('Anchor Points'!$A$7-'Anchor Points'!$A$6)*('Anchor Points'!$E$7-'Anchor Points'!$E$6),IF(A12&lt;=90,'Anchor Points'!$E$7+(A12-'Anchor Points'!$A$7)/('Anchor Points'!$A$8-'Anchor Points'!$A$7)*('Anchor Points'!$E$8-'Anchor Points'!$E$7),'Anchor Points'!$E$8+(A12-'Anchor Points'!$A$8)/('Anchor Points'!$A$9-'Anchor Points'!$A$8)*('Anchor Points'!$E$9-'Anchor Points'!$E$8)))))))</x:f>
        <x:v>0</x:v>
      </x:c>
      <x:c r="H12" s="30" t="n">
        <x:f>ROUND(G12,0)</x:f>
        <x:v>0</x:v>
      </x:c>
      <x:c r="I12" s="28" t="n">
        <x:f>IF(A12&lt;=15,'Anchor Points'!$F$2+(A12-'Anchor Points'!$A$2)/('Anchor Points'!$A$3-'Anchor Points'!$A$2)*('Anchor Points'!$F$3-'Anchor Points'!$F$2),IF(A12&lt;=25,'Anchor Points'!$F$3+(A12-'Anchor Points'!$A$3)/('Anchor Points'!$A$4-'Anchor Points'!$A$3)*('Anchor Points'!$F$4-'Anchor Points'!$F$3),IF(A12&lt;=40,'Anchor Points'!$F$4+(A12-'Anchor Points'!$A$4)/('Anchor Points'!$A$5-'Anchor Points'!$A$4)*('Anchor Points'!$F$5-'Anchor Points'!$F$4),IF(A12&lt;=55,'Anchor Points'!$F$5+(A12-'Anchor Points'!$A$5)/('Anchor Points'!$A$6-'Anchor Points'!$A$5)*('Anchor Points'!$F$6-'Anchor Points'!$F$5),IF(A12&lt;=70,'Anchor Points'!$F$6+(A12-'Anchor Points'!$A$6)/('Anchor Points'!$A$7-'Anchor Points'!$A$6)*('Anchor Points'!$F$7-'Anchor Points'!$F$6),IF(A12&lt;=90,'Anchor Points'!$F$7+(A12-'Anchor Points'!$A$7)/('Anchor Points'!$A$8-'Anchor Points'!$A$7)*('Anchor Points'!$F$8-'Anchor Points'!$F$7),'Anchor Points'!$F$8+(A12-'Anchor Points'!$A$8)/('Anchor Points'!$A$9-'Anchor Points'!$A$8)*('Anchor Points'!$F$9-'Anchor Points'!$F$8)))))))</x:f>
        <x:v>0</x:v>
      </x:c>
      <x:c r="J12" s="28" t="n">
        <x:v>6</x:v>
      </x:c>
      <x:c r="K12" s="55" t="n">
        <x:v>7</x:v>
      </x:c>
      <x:c r="L12" s="28" t="n">
        <x:v>8</x:v>
      </x:c>
      <x:c r="M12" s="28" t="n">
        <x:v>65</x:v>
      </x:c>
      <x:c r="N12" s="55" t="n">
        <x:v>70</x:v>
      </x:c>
      <x:c r="O12" s="28" t="n">
        <x:v>75</x:v>
      </x:c>
      <x:c r="P12" s="28" t="n">
        <x:v>70</x:v>
      </x:c>
      <x:c r="Q12" s="55" t="n">
        <x:v>80</x:v>
      </x:c>
      <x:c r="R12" s="28" t="n">
        <x:v>90</x:v>
      </x:c>
      <x:c r="S12" s="28" t="n">
        <x:v>8</x:v>
      </x:c>
      <x:c r="T12" s="28" t="n">
        <x:v>11</x:v>
      </x:c>
      <x:c r="U12" s="55" t="n">
        <x:v>14</x:v>
      </x:c>
      <x:c r="V12" s="28" t="n">
        <x:v>80</x:v>
      </x:c>
      <x:c r="W12" s="55" t="n">
        <x:v>110</x:v>
      </x:c>
      <x:c r="X12" s="28" t="n">
        <x:v>140</x:v>
      </x:c>
    </x:row>
    <x:row r="13">
      <x:c r="A13" s="30" t="n">
        <x:v>11</x:v>
      </x:c>
      <x:c r="B13" s="11" t="str">
        <x:f>IF(A13&lt;=15,"Seedling",IF(A13&lt;=25,"Establishment",IF(A13&lt;=40,"Vegetative Growth",IF(A13&lt;=55,"Flowering &amp; Initial Fruit Set",IF(A13&lt;=80,"Fruit Enlargement",IF(A13&lt;=95,"Ripening","Harvesting"))))))</x:f>
        <x:v>Seedling</x:v>
      </x:c>
      <x:c r="C13" s="28" t="n">
        <x:f>IF(A13&lt;=15,'Anchor Points'!$B$2+(A13-'Anchor Points'!$A$2)/('Anchor Points'!$A$3-'Anchor Points'!$A$2)*('Anchor Points'!$B$3-'Anchor Points'!$B$2),IF(A13&lt;=25,'Anchor Points'!$B$3+(A13-'Anchor Points'!$A$3)/('Anchor Points'!$A$4-'Anchor Points'!$A$3)*('Anchor Points'!$B$4-'Anchor Points'!$B$3),IF(A13&lt;=40,'Anchor Points'!$B$4+(A13-'Anchor Points'!$A$4)/('Anchor Points'!$A$5-'Anchor Points'!$A$4)*('Anchor Points'!$B$5-'Anchor Points'!$B$4),IF(A13&lt;=55,'Anchor Points'!$B$5+(A13-'Anchor Points'!$A$5)/('Anchor Points'!$A$6-'Anchor Points'!$A$5)*('Anchor Points'!$B$6-'Anchor Points'!$B$5),IF(A13&lt;=70,'Anchor Points'!$B$6+(A13-'Anchor Points'!$A$6)/('Anchor Points'!$A$7-'Anchor Points'!$A$6)*('Anchor Points'!$B$7-'Anchor Points'!$B$6),IF(A13&lt;=90,'Anchor Points'!$B$7+(A13-'Anchor Points'!$A$7)/('Anchor Points'!$A$8-'Anchor Points'!$A$7)*('Anchor Points'!$B$8-'Anchor Points'!$B$7),'Anchor Points'!$B$8+(A13-'Anchor Points'!$A$8)/('Anchor Points'!$A$9-'Anchor Points'!$A$8)*('Anchor Points'!$B$9-'Anchor Points'!$B$8)))))))</x:f>
        <x:v>6.6</x:v>
      </x:c>
      <x:c r="D13" s="28" t="n">
        <x:f>IF(A13&lt;=15,'Anchor Points'!$C$2+(A13-'Anchor Points'!$A$2)/('Anchor Points'!$A$3-'Anchor Points'!$A$2)*('Anchor Points'!$C$3-'Anchor Points'!$C$2),IF(A13&lt;=25,'Anchor Points'!$C$3+(A13-'Anchor Points'!$A$3)/('Anchor Points'!$A$4-'Anchor Points'!$A$3)*('Anchor Points'!$C$4-'Anchor Points'!$C$3),IF(A13&lt;=40,'Anchor Points'!$C$4+(A13-'Anchor Points'!$A$4)/('Anchor Points'!$A$5-'Anchor Points'!$A$4)*('Anchor Points'!$C$5-'Anchor Points'!$C$4),IF(A13&lt;=55,'Anchor Points'!$C$5+(A13-'Anchor Points'!$A$5)/('Anchor Points'!$A$6-'Anchor Points'!$A$5)*('Anchor Points'!$C$6-'Anchor Points'!$C$5),IF(A13&lt;=70,'Anchor Points'!$C$6+(A13-'Anchor Points'!$A$6)/('Anchor Points'!$A$7-'Anchor Points'!$A$6)*('Anchor Points'!$C$7-'Anchor Points'!$C$6),IF(A13&lt;=90,'Anchor Points'!$C$7+(A13-'Anchor Points'!$A$7)/('Anchor Points'!$A$8-'Anchor Points'!$A$7)*('Anchor Points'!$C$8-'Anchor Points'!$C$7),'Anchor Points'!$C$8+(A13-'Anchor Points'!$A$8)/('Anchor Points'!$A$9-'Anchor Points'!$A$8)*('Anchor Points'!$C$9-'Anchor Points'!$C$8)))))))</x:f>
        <x:v>3.6666666666666665</x:v>
      </x:c>
      <x:c r="E13" s="28" t="n">
        <x:f>IF(A13&lt;=15,'Anchor Points'!$D$2+(A13-'Anchor Points'!$A$2)/('Anchor Points'!$A$3-'Anchor Points'!$A$2)*('Anchor Points'!$D$3-'Anchor Points'!$D$2),IF(A13&lt;=25,'Anchor Points'!$D$3+(A13-'Anchor Points'!$A$3)/('Anchor Points'!$A$4-'Anchor Points'!$A$3)*('Anchor Points'!$D$4-'Anchor Points'!$D$3),IF(A13&lt;=40,'Anchor Points'!$D$4+(A13-'Anchor Points'!$A$4)/('Anchor Points'!$A$5-'Anchor Points'!$A$4)*('Anchor Points'!$D$5-'Anchor Points'!$D$4),IF(A13&lt;=55,'Anchor Points'!$D$5+(A13-'Anchor Points'!$A$5)/('Anchor Points'!$A$6-'Anchor Points'!$A$5)*('Anchor Points'!$D$6-'Anchor Points'!$D$5),IF(A13&lt;=70,'Anchor Points'!$D$6+(A13-'Anchor Points'!$A$6)/('Anchor Points'!$A$7-'Anchor Points'!$A$6)*('Anchor Points'!$D$7-'Anchor Points'!$D$6),IF(A13&lt;=90,'Anchor Points'!$D$7+(A13-'Anchor Points'!$A$7)/('Anchor Points'!$A$8-'Anchor Points'!$A$7)*('Anchor Points'!$D$8-'Anchor Points'!$D$7),'Anchor Points'!$D$8+(A13-'Anchor Points'!$A$8)/('Anchor Points'!$A$9-'Anchor Points'!$A$8)*('Anchor Points'!$D$9-'Anchor Points'!$D$8)))))))</x:f>
        <x:v>0</x:v>
      </x:c>
      <x:c r="F13" s="30" t="n">
        <x:f>ROUND(E13,0)</x:f>
        <x:v>0</x:v>
      </x:c>
      <x:c r="G13" s="28" t="n">
        <x:f>IF(A13&lt;=15,'Anchor Points'!$E$2+(A13-'Anchor Points'!$A$2)/('Anchor Points'!$A$3-'Anchor Points'!$A$2)*('Anchor Points'!$E$3-'Anchor Points'!$E$2),IF(A13&lt;=25,'Anchor Points'!$E$3+(A13-'Anchor Points'!$A$3)/('Anchor Points'!$A$4-'Anchor Points'!$A$3)*('Anchor Points'!$E$4-'Anchor Points'!$E$3),IF(A13&lt;=40,'Anchor Points'!$E$4+(A13-'Anchor Points'!$A$4)/('Anchor Points'!$A$5-'Anchor Points'!$A$4)*('Anchor Points'!$E$5-'Anchor Points'!$E$4),IF(A13&lt;=55,'Anchor Points'!$E$5+(A13-'Anchor Points'!$A$5)/('Anchor Points'!$A$6-'Anchor Points'!$A$5)*('Anchor Points'!$E$6-'Anchor Points'!$E$5),IF(A13&lt;=70,'Anchor Points'!$E$6+(A13-'Anchor Points'!$A$6)/('Anchor Points'!$A$7-'Anchor Points'!$A$6)*('Anchor Points'!$E$7-'Anchor Points'!$E$6),IF(A13&lt;=90,'Anchor Points'!$E$7+(A13-'Anchor Points'!$A$7)/('Anchor Points'!$A$8-'Anchor Points'!$A$7)*('Anchor Points'!$E$8-'Anchor Points'!$E$7),'Anchor Points'!$E$8+(A13-'Anchor Points'!$A$8)/('Anchor Points'!$A$9-'Anchor Points'!$A$8)*('Anchor Points'!$E$9-'Anchor Points'!$E$8)))))))</x:f>
        <x:v>0</x:v>
      </x:c>
      <x:c r="H13" s="30" t="n">
        <x:f>ROUND(G13,0)</x:f>
        <x:v>0</x:v>
      </x:c>
      <x:c r="I13" s="28" t="n">
        <x:f>IF(A13&lt;=15,'Anchor Points'!$F$2+(A13-'Anchor Points'!$A$2)/('Anchor Points'!$A$3-'Anchor Points'!$A$2)*('Anchor Points'!$F$3-'Anchor Points'!$F$2),IF(A13&lt;=25,'Anchor Points'!$F$3+(A13-'Anchor Points'!$A$3)/('Anchor Points'!$A$4-'Anchor Points'!$A$3)*('Anchor Points'!$F$4-'Anchor Points'!$F$3),IF(A13&lt;=40,'Anchor Points'!$F$4+(A13-'Anchor Points'!$A$4)/('Anchor Points'!$A$5-'Anchor Points'!$A$4)*('Anchor Points'!$F$5-'Anchor Points'!$F$4),IF(A13&lt;=55,'Anchor Points'!$F$5+(A13-'Anchor Points'!$A$5)/('Anchor Points'!$A$6-'Anchor Points'!$A$5)*('Anchor Points'!$F$6-'Anchor Points'!$F$5),IF(A13&lt;=70,'Anchor Points'!$F$6+(A13-'Anchor Points'!$A$6)/('Anchor Points'!$A$7-'Anchor Points'!$A$6)*('Anchor Points'!$F$7-'Anchor Points'!$F$6),IF(A13&lt;=90,'Anchor Points'!$F$7+(A13-'Anchor Points'!$A$7)/('Anchor Points'!$A$8-'Anchor Points'!$A$7)*('Anchor Points'!$F$8-'Anchor Points'!$F$7),'Anchor Points'!$F$8+(A13-'Anchor Points'!$A$8)/('Anchor Points'!$A$9-'Anchor Points'!$A$8)*('Anchor Points'!$F$9-'Anchor Points'!$F$8)))))))</x:f>
        <x:v>0</x:v>
      </x:c>
      <x:c r="J13" s="28" t="n">
        <x:v>6</x:v>
      </x:c>
      <x:c r="K13" s="55" t="n">
        <x:v>7</x:v>
      </x:c>
      <x:c r="L13" s="28" t="n">
        <x:v>8</x:v>
      </x:c>
      <x:c r="M13" s="28" t="n">
        <x:v>65</x:v>
      </x:c>
      <x:c r="N13" s="55" t="n">
        <x:v>70</x:v>
      </x:c>
      <x:c r="O13" s="28" t="n">
        <x:v>75</x:v>
      </x:c>
      <x:c r="P13" s="28" t="n">
        <x:v>70</x:v>
      </x:c>
      <x:c r="Q13" s="55" t="n">
        <x:v>80</x:v>
      </x:c>
      <x:c r="R13" s="28" t="n">
        <x:v>90</x:v>
      </x:c>
      <x:c r="S13" s="28" t="n">
        <x:v>8</x:v>
      </x:c>
      <x:c r="T13" s="28" t="n">
        <x:v>11</x:v>
      </x:c>
      <x:c r="U13" s="55" t="n">
        <x:v>14</x:v>
      </x:c>
      <x:c r="V13" s="28" t="n">
        <x:v>88</x:v>
      </x:c>
      <x:c r="W13" s="55" t="n">
        <x:v>121</x:v>
      </x:c>
      <x:c r="X13" s="28" t="n">
        <x:v>154</x:v>
      </x:c>
    </x:row>
    <x:row r="14">
      <x:c r="A14" s="30" t="n">
        <x:v>12</x:v>
      </x:c>
      <x:c r="B14" s="11" t="str">
        <x:f>IF(A14&lt;=15,"Seedling",IF(A14&lt;=25,"Establishment",IF(A14&lt;=40,"Vegetative Growth",IF(A14&lt;=55,"Flowering &amp; Initial Fruit Set",IF(A14&lt;=80,"Fruit Enlargement",IF(A14&lt;=95,"Ripening","Harvesting"))))))</x:f>
        <x:v>Seedling</x:v>
      </x:c>
      <x:c r="C14" s="28" t="n">
        <x:f>IF(A14&lt;=15,'Anchor Points'!$B$2+(A14-'Anchor Points'!$A$2)/('Anchor Points'!$A$3-'Anchor Points'!$A$2)*('Anchor Points'!$B$3-'Anchor Points'!$B$2),IF(A14&lt;=25,'Anchor Points'!$B$3+(A14-'Anchor Points'!$A$3)/('Anchor Points'!$A$4-'Anchor Points'!$A$3)*('Anchor Points'!$B$4-'Anchor Points'!$B$3),IF(A14&lt;=40,'Anchor Points'!$B$4+(A14-'Anchor Points'!$A$4)/('Anchor Points'!$A$5-'Anchor Points'!$A$4)*('Anchor Points'!$B$5-'Anchor Points'!$B$4),IF(A14&lt;=55,'Anchor Points'!$B$5+(A14-'Anchor Points'!$A$5)/('Anchor Points'!$A$6-'Anchor Points'!$A$5)*('Anchor Points'!$B$6-'Anchor Points'!$B$5),IF(A14&lt;=70,'Anchor Points'!$B$6+(A14-'Anchor Points'!$A$6)/('Anchor Points'!$A$7-'Anchor Points'!$A$6)*('Anchor Points'!$B$7-'Anchor Points'!$B$6),IF(A14&lt;=90,'Anchor Points'!$B$7+(A14-'Anchor Points'!$A$7)/('Anchor Points'!$A$8-'Anchor Points'!$A$7)*('Anchor Points'!$B$8-'Anchor Points'!$B$7),'Anchor Points'!$B$8+(A14-'Anchor Points'!$A$8)/('Anchor Points'!$A$9-'Anchor Points'!$A$8)*('Anchor Points'!$B$9-'Anchor Points'!$B$8)))))))</x:f>
        <x:v>7.2</x:v>
      </x:c>
      <x:c r="D14" s="28" t="n">
        <x:f>IF(A14&lt;=15,'Anchor Points'!$C$2+(A14-'Anchor Points'!$A$2)/('Anchor Points'!$A$3-'Anchor Points'!$A$2)*('Anchor Points'!$C$3-'Anchor Points'!$C$2),IF(A14&lt;=25,'Anchor Points'!$C$3+(A14-'Anchor Points'!$A$3)/('Anchor Points'!$A$4-'Anchor Points'!$A$3)*('Anchor Points'!$C$4-'Anchor Points'!$C$3),IF(A14&lt;=40,'Anchor Points'!$C$4+(A14-'Anchor Points'!$A$4)/('Anchor Points'!$A$5-'Anchor Points'!$A$4)*('Anchor Points'!$C$5-'Anchor Points'!$C$4),IF(A14&lt;=55,'Anchor Points'!$C$5+(A14-'Anchor Points'!$A$5)/('Anchor Points'!$A$6-'Anchor Points'!$A$5)*('Anchor Points'!$C$6-'Anchor Points'!$C$5),IF(A14&lt;=70,'Anchor Points'!$C$6+(A14-'Anchor Points'!$A$6)/('Anchor Points'!$A$7-'Anchor Points'!$A$6)*('Anchor Points'!$C$7-'Anchor Points'!$C$6),IF(A14&lt;=90,'Anchor Points'!$C$7+(A14-'Anchor Points'!$A$7)/('Anchor Points'!$A$8-'Anchor Points'!$A$7)*('Anchor Points'!$C$8-'Anchor Points'!$C$7),'Anchor Points'!$C$8+(A14-'Anchor Points'!$A$8)/('Anchor Points'!$A$9-'Anchor Points'!$A$8)*('Anchor Points'!$C$9-'Anchor Points'!$C$8)))))))</x:f>
        <x:v>4</x:v>
      </x:c>
      <x:c r="E14" s="28" t="n">
        <x:f>IF(A14&lt;=15,'Anchor Points'!$D$2+(A14-'Anchor Points'!$A$2)/('Anchor Points'!$A$3-'Anchor Points'!$A$2)*('Anchor Points'!$D$3-'Anchor Points'!$D$2),IF(A14&lt;=25,'Anchor Points'!$D$3+(A14-'Anchor Points'!$A$3)/('Anchor Points'!$A$4-'Anchor Points'!$A$3)*('Anchor Points'!$D$4-'Anchor Points'!$D$3),IF(A14&lt;=40,'Anchor Points'!$D$4+(A14-'Anchor Points'!$A$4)/('Anchor Points'!$A$5-'Anchor Points'!$A$4)*('Anchor Points'!$D$5-'Anchor Points'!$D$4),IF(A14&lt;=55,'Anchor Points'!$D$5+(A14-'Anchor Points'!$A$5)/('Anchor Points'!$A$6-'Anchor Points'!$A$5)*('Anchor Points'!$D$6-'Anchor Points'!$D$5),IF(A14&lt;=70,'Anchor Points'!$D$6+(A14-'Anchor Points'!$A$6)/('Anchor Points'!$A$7-'Anchor Points'!$A$6)*('Anchor Points'!$D$7-'Anchor Points'!$D$6),IF(A14&lt;=90,'Anchor Points'!$D$7+(A14-'Anchor Points'!$A$7)/('Anchor Points'!$A$8-'Anchor Points'!$A$7)*('Anchor Points'!$D$8-'Anchor Points'!$D$7),'Anchor Points'!$D$8+(A14-'Anchor Points'!$A$8)/('Anchor Points'!$A$9-'Anchor Points'!$A$8)*('Anchor Points'!$D$9-'Anchor Points'!$D$8)))))))</x:f>
        <x:v>0</x:v>
      </x:c>
      <x:c r="F14" s="30" t="n">
        <x:f>ROUND(E14,0)</x:f>
        <x:v>0</x:v>
      </x:c>
      <x:c r="G14" s="28" t="n">
        <x:f>IF(A14&lt;=15,'Anchor Points'!$E$2+(A14-'Anchor Points'!$A$2)/('Anchor Points'!$A$3-'Anchor Points'!$A$2)*('Anchor Points'!$E$3-'Anchor Points'!$E$2),IF(A14&lt;=25,'Anchor Points'!$E$3+(A14-'Anchor Points'!$A$3)/('Anchor Points'!$A$4-'Anchor Points'!$A$3)*('Anchor Points'!$E$4-'Anchor Points'!$E$3),IF(A14&lt;=40,'Anchor Points'!$E$4+(A14-'Anchor Points'!$A$4)/('Anchor Points'!$A$5-'Anchor Points'!$A$4)*('Anchor Points'!$E$5-'Anchor Points'!$E$4),IF(A14&lt;=55,'Anchor Points'!$E$5+(A14-'Anchor Points'!$A$5)/('Anchor Points'!$A$6-'Anchor Points'!$A$5)*('Anchor Points'!$E$6-'Anchor Points'!$E$5),IF(A14&lt;=70,'Anchor Points'!$E$6+(A14-'Anchor Points'!$A$6)/('Anchor Points'!$A$7-'Anchor Points'!$A$6)*('Anchor Points'!$E$7-'Anchor Points'!$E$6),IF(A14&lt;=90,'Anchor Points'!$E$7+(A14-'Anchor Points'!$A$7)/('Anchor Points'!$A$8-'Anchor Points'!$A$7)*('Anchor Points'!$E$8-'Anchor Points'!$E$7),'Anchor Points'!$E$8+(A14-'Anchor Points'!$A$8)/('Anchor Points'!$A$9-'Anchor Points'!$A$8)*('Anchor Points'!$E$9-'Anchor Points'!$E$8)))))))</x:f>
        <x:v>0</x:v>
      </x:c>
      <x:c r="H14" s="30" t="n">
        <x:f>ROUND(G14,0)</x:f>
        <x:v>0</x:v>
      </x:c>
      <x:c r="I14" s="28" t="n">
        <x:f>IF(A14&lt;=15,'Anchor Points'!$F$2+(A14-'Anchor Points'!$A$2)/('Anchor Points'!$A$3-'Anchor Points'!$A$2)*('Anchor Points'!$F$3-'Anchor Points'!$F$2),IF(A14&lt;=25,'Anchor Points'!$F$3+(A14-'Anchor Points'!$A$3)/('Anchor Points'!$A$4-'Anchor Points'!$A$3)*('Anchor Points'!$F$4-'Anchor Points'!$F$3),IF(A14&lt;=40,'Anchor Points'!$F$4+(A14-'Anchor Points'!$A$4)/('Anchor Points'!$A$5-'Anchor Points'!$A$4)*('Anchor Points'!$F$5-'Anchor Points'!$F$4),IF(A14&lt;=55,'Anchor Points'!$F$5+(A14-'Anchor Points'!$A$5)/('Anchor Points'!$A$6-'Anchor Points'!$A$5)*('Anchor Points'!$F$6-'Anchor Points'!$F$5),IF(A14&lt;=70,'Anchor Points'!$F$6+(A14-'Anchor Points'!$A$6)/('Anchor Points'!$A$7-'Anchor Points'!$A$6)*('Anchor Points'!$F$7-'Anchor Points'!$F$6),IF(A14&lt;=90,'Anchor Points'!$F$7+(A14-'Anchor Points'!$A$7)/('Anchor Points'!$A$8-'Anchor Points'!$A$7)*('Anchor Points'!$F$8-'Anchor Points'!$F$7),'Anchor Points'!$F$8+(A14-'Anchor Points'!$A$8)/('Anchor Points'!$A$9-'Anchor Points'!$A$8)*('Anchor Points'!$F$9-'Anchor Points'!$F$8)))))))</x:f>
        <x:v>0</x:v>
      </x:c>
      <x:c r="J14" s="28" t="n">
        <x:v>6</x:v>
      </x:c>
      <x:c r="K14" s="55" t="n">
        <x:v>7</x:v>
      </x:c>
      <x:c r="L14" s="28" t="n">
        <x:v>8</x:v>
      </x:c>
      <x:c r="M14" s="28" t="n">
        <x:v>65</x:v>
      </x:c>
      <x:c r="N14" s="55" t="n">
        <x:v>70</x:v>
      </x:c>
      <x:c r="O14" s="28" t="n">
        <x:v>75</x:v>
      </x:c>
      <x:c r="P14" s="28" t="n">
        <x:v>70</x:v>
      </x:c>
      <x:c r="Q14" s="55" t="n">
        <x:v>80</x:v>
      </x:c>
      <x:c r="R14" s="28" t="n">
        <x:v>90</x:v>
      </x:c>
      <x:c r="S14" s="28" t="n">
        <x:v>8</x:v>
      </x:c>
      <x:c r="T14" s="28" t="n">
        <x:v>11</x:v>
      </x:c>
      <x:c r="U14" s="55" t="n">
        <x:v>14</x:v>
      </x:c>
      <x:c r="V14" s="28" t="n">
        <x:v>96</x:v>
      </x:c>
      <x:c r="W14" s="55" t="n">
        <x:v>132</x:v>
      </x:c>
      <x:c r="X14" s="28" t="n">
        <x:v>168</x:v>
      </x:c>
    </x:row>
    <x:row r="15">
      <x:c r="A15" s="30" t="n">
        <x:v>13</x:v>
      </x:c>
      <x:c r="B15" s="11" t="str">
        <x:f>IF(A15&lt;=15,"Seedling",IF(A15&lt;=25,"Establishment",IF(A15&lt;=40,"Vegetative Growth",IF(A15&lt;=55,"Flowering &amp; Initial Fruit Set",IF(A15&lt;=80,"Fruit Enlargement",IF(A15&lt;=95,"Ripening","Harvesting"))))))</x:f>
        <x:v>Seedling</x:v>
      </x:c>
      <x:c r="C15" s="28" t="n">
        <x:f>IF(A15&lt;=15,'Anchor Points'!$B$2+(A15-'Anchor Points'!$A$2)/('Anchor Points'!$A$3-'Anchor Points'!$A$2)*('Anchor Points'!$B$3-'Anchor Points'!$B$2),IF(A15&lt;=25,'Anchor Points'!$B$3+(A15-'Anchor Points'!$A$3)/('Anchor Points'!$A$4-'Anchor Points'!$A$3)*('Anchor Points'!$B$4-'Anchor Points'!$B$3),IF(A15&lt;=40,'Anchor Points'!$B$4+(A15-'Anchor Points'!$A$4)/('Anchor Points'!$A$5-'Anchor Points'!$A$4)*('Anchor Points'!$B$5-'Anchor Points'!$B$4),IF(A15&lt;=55,'Anchor Points'!$B$5+(A15-'Anchor Points'!$A$5)/('Anchor Points'!$A$6-'Anchor Points'!$A$5)*('Anchor Points'!$B$6-'Anchor Points'!$B$5),IF(A15&lt;=70,'Anchor Points'!$B$6+(A15-'Anchor Points'!$A$6)/('Anchor Points'!$A$7-'Anchor Points'!$A$6)*('Anchor Points'!$B$7-'Anchor Points'!$B$6),IF(A15&lt;=90,'Anchor Points'!$B$7+(A15-'Anchor Points'!$A$7)/('Anchor Points'!$A$8-'Anchor Points'!$A$7)*('Anchor Points'!$B$8-'Anchor Points'!$B$7),'Anchor Points'!$B$8+(A15-'Anchor Points'!$A$8)/('Anchor Points'!$A$9-'Anchor Points'!$A$8)*('Anchor Points'!$B$9-'Anchor Points'!$B$8)))))))</x:f>
        <x:v>7.800000000000001</x:v>
      </x:c>
      <x:c r="D15" s="28" t="n">
        <x:f>IF(A15&lt;=15,'Anchor Points'!$C$2+(A15-'Anchor Points'!$A$2)/('Anchor Points'!$A$3-'Anchor Points'!$A$2)*('Anchor Points'!$C$3-'Anchor Points'!$C$2),IF(A15&lt;=25,'Anchor Points'!$C$3+(A15-'Anchor Points'!$A$3)/('Anchor Points'!$A$4-'Anchor Points'!$A$3)*('Anchor Points'!$C$4-'Anchor Points'!$C$3),IF(A15&lt;=40,'Anchor Points'!$C$4+(A15-'Anchor Points'!$A$4)/('Anchor Points'!$A$5-'Anchor Points'!$A$4)*('Anchor Points'!$C$5-'Anchor Points'!$C$4),IF(A15&lt;=55,'Anchor Points'!$C$5+(A15-'Anchor Points'!$A$5)/('Anchor Points'!$A$6-'Anchor Points'!$A$5)*('Anchor Points'!$C$6-'Anchor Points'!$C$5),IF(A15&lt;=70,'Anchor Points'!$C$6+(A15-'Anchor Points'!$A$6)/('Anchor Points'!$A$7-'Anchor Points'!$A$6)*('Anchor Points'!$C$7-'Anchor Points'!$C$6),IF(A15&lt;=90,'Anchor Points'!$C$7+(A15-'Anchor Points'!$A$7)/('Anchor Points'!$A$8-'Anchor Points'!$A$7)*('Anchor Points'!$C$8-'Anchor Points'!$C$7),'Anchor Points'!$C$8+(A15-'Anchor Points'!$A$8)/('Anchor Points'!$A$9-'Anchor Points'!$A$8)*('Anchor Points'!$C$9-'Anchor Points'!$C$8)))))))</x:f>
        <x:v>4.333333333333334</x:v>
      </x:c>
      <x:c r="E15" s="28" t="n">
        <x:f>IF(A15&lt;=15,'Anchor Points'!$D$2+(A15-'Anchor Points'!$A$2)/('Anchor Points'!$A$3-'Anchor Points'!$A$2)*('Anchor Points'!$D$3-'Anchor Points'!$D$2),IF(A15&lt;=25,'Anchor Points'!$D$3+(A15-'Anchor Points'!$A$3)/('Anchor Points'!$A$4-'Anchor Points'!$A$3)*('Anchor Points'!$D$4-'Anchor Points'!$D$3),IF(A15&lt;=40,'Anchor Points'!$D$4+(A15-'Anchor Points'!$A$4)/('Anchor Points'!$A$5-'Anchor Points'!$A$4)*('Anchor Points'!$D$5-'Anchor Points'!$D$4),IF(A15&lt;=55,'Anchor Points'!$D$5+(A15-'Anchor Points'!$A$5)/('Anchor Points'!$A$6-'Anchor Points'!$A$5)*('Anchor Points'!$D$6-'Anchor Points'!$D$5),IF(A15&lt;=70,'Anchor Points'!$D$6+(A15-'Anchor Points'!$A$6)/('Anchor Points'!$A$7-'Anchor Points'!$A$6)*('Anchor Points'!$D$7-'Anchor Points'!$D$6),IF(A15&lt;=90,'Anchor Points'!$D$7+(A15-'Anchor Points'!$A$7)/('Anchor Points'!$A$8-'Anchor Points'!$A$7)*('Anchor Points'!$D$8-'Anchor Points'!$D$7),'Anchor Points'!$D$8+(A15-'Anchor Points'!$A$8)/('Anchor Points'!$A$9-'Anchor Points'!$A$8)*('Anchor Points'!$D$9-'Anchor Points'!$D$8)))))))</x:f>
        <x:v>0</x:v>
      </x:c>
      <x:c r="F15" s="30" t="n">
        <x:f>ROUND(E15,0)</x:f>
        <x:v>0</x:v>
      </x:c>
      <x:c r="G15" s="28" t="n">
        <x:f>IF(A15&lt;=15,'Anchor Points'!$E$2+(A15-'Anchor Points'!$A$2)/('Anchor Points'!$A$3-'Anchor Points'!$A$2)*('Anchor Points'!$E$3-'Anchor Points'!$E$2),IF(A15&lt;=25,'Anchor Points'!$E$3+(A15-'Anchor Points'!$A$3)/('Anchor Points'!$A$4-'Anchor Points'!$A$3)*('Anchor Points'!$E$4-'Anchor Points'!$E$3),IF(A15&lt;=40,'Anchor Points'!$E$4+(A15-'Anchor Points'!$A$4)/('Anchor Points'!$A$5-'Anchor Points'!$A$4)*('Anchor Points'!$E$5-'Anchor Points'!$E$4),IF(A15&lt;=55,'Anchor Points'!$E$5+(A15-'Anchor Points'!$A$5)/('Anchor Points'!$A$6-'Anchor Points'!$A$5)*('Anchor Points'!$E$6-'Anchor Points'!$E$5),IF(A15&lt;=70,'Anchor Points'!$E$6+(A15-'Anchor Points'!$A$6)/('Anchor Points'!$A$7-'Anchor Points'!$A$6)*('Anchor Points'!$E$7-'Anchor Points'!$E$6),IF(A15&lt;=90,'Anchor Points'!$E$7+(A15-'Anchor Points'!$A$7)/('Anchor Points'!$A$8-'Anchor Points'!$A$7)*('Anchor Points'!$E$8-'Anchor Points'!$E$7),'Anchor Points'!$E$8+(A15-'Anchor Points'!$A$8)/('Anchor Points'!$A$9-'Anchor Points'!$A$8)*('Anchor Points'!$E$9-'Anchor Points'!$E$8)))))))</x:f>
        <x:v>0</x:v>
      </x:c>
      <x:c r="H15" s="30" t="n">
        <x:f>ROUND(G15,0)</x:f>
        <x:v>0</x:v>
      </x:c>
      <x:c r="I15" s="28" t="n">
        <x:f>IF(A15&lt;=15,'Anchor Points'!$F$2+(A15-'Anchor Points'!$A$2)/('Anchor Points'!$A$3-'Anchor Points'!$A$2)*('Anchor Points'!$F$3-'Anchor Points'!$F$2),IF(A15&lt;=25,'Anchor Points'!$F$3+(A15-'Anchor Points'!$A$3)/('Anchor Points'!$A$4-'Anchor Points'!$A$3)*('Anchor Points'!$F$4-'Anchor Points'!$F$3),IF(A15&lt;=40,'Anchor Points'!$F$4+(A15-'Anchor Points'!$A$4)/('Anchor Points'!$A$5-'Anchor Points'!$A$4)*('Anchor Points'!$F$5-'Anchor Points'!$F$4),IF(A15&lt;=55,'Anchor Points'!$F$5+(A15-'Anchor Points'!$A$5)/('Anchor Points'!$A$6-'Anchor Points'!$A$5)*('Anchor Points'!$F$6-'Anchor Points'!$F$5),IF(A15&lt;=70,'Anchor Points'!$F$6+(A15-'Anchor Points'!$A$6)/('Anchor Points'!$A$7-'Anchor Points'!$A$6)*('Anchor Points'!$F$7-'Anchor Points'!$F$6),IF(A15&lt;=90,'Anchor Points'!$F$7+(A15-'Anchor Points'!$A$7)/('Anchor Points'!$A$8-'Anchor Points'!$A$7)*('Anchor Points'!$F$8-'Anchor Points'!$F$7),'Anchor Points'!$F$8+(A15-'Anchor Points'!$A$8)/('Anchor Points'!$A$9-'Anchor Points'!$A$8)*('Anchor Points'!$F$9-'Anchor Points'!$F$8)))))))</x:f>
        <x:v>0</x:v>
      </x:c>
      <x:c r="J15" s="28" t="n">
        <x:v>6</x:v>
      </x:c>
      <x:c r="K15" s="55" t="n">
        <x:v>7</x:v>
      </x:c>
      <x:c r="L15" s="28" t="n">
        <x:v>8</x:v>
      </x:c>
      <x:c r="M15" s="28" t="n">
        <x:v>65</x:v>
      </x:c>
      <x:c r="N15" s="55" t="n">
        <x:v>70</x:v>
      </x:c>
      <x:c r="O15" s="28" t="n">
        <x:v>75</x:v>
      </x:c>
      <x:c r="P15" s="28" t="n">
        <x:v>70</x:v>
      </x:c>
      <x:c r="Q15" s="55" t="n">
        <x:v>80</x:v>
      </x:c>
      <x:c r="R15" s="28" t="n">
        <x:v>90</x:v>
      </x:c>
      <x:c r="S15" s="28" t="n">
        <x:v>8</x:v>
      </x:c>
      <x:c r="T15" s="28" t="n">
        <x:v>11</x:v>
      </x:c>
      <x:c r="U15" s="55" t="n">
        <x:v>14</x:v>
      </x:c>
      <x:c r="V15" s="28" t="n">
        <x:v>104</x:v>
      </x:c>
      <x:c r="W15" s="55" t="n">
        <x:v>143</x:v>
      </x:c>
      <x:c r="X15" s="28" t="n">
        <x:v>182</x:v>
      </x:c>
    </x:row>
    <x:row r="16">
      <x:c r="A16" s="30" t="n">
        <x:v>14</x:v>
      </x:c>
      <x:c r="B16" s="11" t="str">
        <x:f>IF(A16&lt;=15,"Seedling",IF(A16&lt;=25,"Establishment",IF(A16&lt;=40,"Vegetative Growth",IF(A16&lt;=55,"Flowering &amp; Initial Fruit Set",IF(A16&lt;=80,"Fruit Enlargement",IF(A16&lt;=95,"Ripening","Harvesting"))))))</x:f>
        <x:v>Seedling</x:v>
      </x:c>
      <x:c r="C16" s="28" t="n">
        <x:f>IF(A16&lt;=15,'Anchor Points'!$B$2+(A16-'Anchor Points'!$A$2)/('Anchor Points'!$A$3-'Anchor Points'!$A$2)*('Anchor Points'!$B$3-'Anchor Points'!$B$2),IF(A16&lt;=25,'Anchor Points'!$B$3+(A16-'Anchor Points'!$A$3)/('Anchor Points'!$A$4-'Anchor Points'!$A$3)*('Anchor Points'!$B$4-'Anchor Points'!$B$3),IF(A16&lt;=40,'Anchor Points'!$B$4+(A16-'Anchor Points'!$A$4)/('Anchor Points'!$A$5-'Anchor Points'!$A$4)*('Anchor Points'!$B$5-'Anchor Points'!$B$4),IF(A16&lt;=55,'Anchor Points'!$B$5+(A16-'Anchor Points'!$A$5)/('Anchor Points'!$A$6-'Anchor Points'!$A$5)*('Anchor Points'!$B$6-'Anchor Points'!$B$5),IF(A16&lt;=70,'Anchor Points'!$B$6+(A16-'Anchor Points'!$A$6)/('Anchor Points'!$A$7-'Anchor Points'!$A$6)*('Anchor Points'!$B$7-'Anchor Points'!$B$6),IF(A16&lt;=90,'Anchor Points'!$B$7+(A16-'Anchor Points'!$A$7)/('Anchor Points'!$A$8-'Anchor Points'!$A$7)*('Anchor Points'!$B$8-'Anchor Points'!$B$7),'Anchor Points'!$B$8+(A16-'Anchor Points'!$A$8)/('Anchor Points'!$A$9-'Anchor Points'!$A$8)*('Anchor Points'!$B$9-'Anchor Points'!$B$8)))))))</x:f>
        <x:v>8.4</x:v>
      </x:c>
      <x:c r="D16" s="28" t="n">
        <x:f>IF(A16&lt;=15,'Anchor Points'!$C$2+(A16-'Anchor Points'!$A$2)/('Anchor Points'!$A$3-'Anchor Points'!$A$2)*('Anchor Points'!$C$3-'Anchor Points'!$C$2),IF(A16&lt;=25,'Anchor Points'!$C$3+(A16-'Anchor Points'!$A$3)/('Anchor Points'!$A$4-'Anchor Points'!$A$3)*('Anchor Points'!$C$4-'Anchor Points'!$C$3),IF(A16&lt;=40,'Anchor Points'!$C$4+(A16-'Anchor Points'!$A$4)/('Anchor Points'!$A$5-'Anchor Points'!$A$4)*('Anchor Points'!$C$5-'Anchor Points'!$C$4),IF(A16&lt;=55,'Anchor Points'!$C$5+(A16-'Anchor Points'!$A$5)/('Anchor Points'!$A$6-'Anchor Points'!$A$5)*('Anchor Points'!$C$6-'Anchor Points'!$C$5),IF(A16&lt;=70,'Anchor Points'!$C$6+(A16-'Anchor Points'!$A$6)/('Anchor Points'!$A$7-'Anchor Points'!$A$6)*('Anchor Points'!$C$7-'Anchor Points'!$C$6),IF(A16&lt;=90,'Anchor Points'!$C$7+(A16-'Anchor Points'!$A$7)/('Anchor Points'!$A$8-'Anchor Points'!$A$7)*('Anchor Points'!$C$8-'Anchor Points'!$C$7),'Anchor Points'!$C$8+(A16-'Anchor Points'!$A$8)/('Anchor Points'!$A$9-'Anchor Points'!$A$8)*('Anchor Points'!$C$9-'Anchor Points'!$C$8)))))))</x:f>
        <x:v>4.666666666666667</x:v>
      </x:c>
      <x:c r="E16" s="28" t="n">
        <x:f>IF(A16&lt;=15,'Anchor Points'!$D$2+(A16-'Anchor Points'!$A$2)/('Anchor Points'!$A$3-'Anchor Points'!$A$2)*('Anchor Points'!$D$3-'Anchor Points'!$D$2),IF(A16&lt;=25,'Anchor Points'!$D$3+(A16-'Anchor Points'!$A$3)/('Anchor Points'!$A$4-'Anchor Points'!$A$3)*('Anchor Points'!$D$4-'Anchor Points'!$D$3),IF(A16&lt;=40,'Anchor Points'!$D$4+(A16-'Anchor Points'!$A$4)/('Anchor Points'!$A$5-'Anchor Points'!$A$4)*('Anchor Points'!$D$5-'Anchor Points'!$D$4),IF(A16&lt;=55,'Anchor Points'!$D$5+(A16-'Anchor Points'!$A$5)/('Anchor Points'!$A$6-'Anchor Points'!$A$5)*('Anchor Points'!$D$6-'Anchor Points'!$D$5),IF(A16&lt;=70,'Anchor Points'!$D$6+(A16-'Anchor Points'!$A$6)/('Anchor Points'!$A$7-'Anchor Points'!$A$6)*('Anchor Points'!$D$7-'Anchor Points'!$D$6),IF(A16&lt;=90,'Anchor Points'!$D$7+(A16-'Anchor Points'!$A$7)/('Anchor Points'!$A$8-'Anchor Points'!$A$7)*('Anchor Points'!$D$8-'Anchor Points'!$D$7),'Anchor Points'!$D$8+(A16-'Anchor Points'!$A$8)/('Anchor Points'!$A$9-'Anchor Points'!$A$8)*('Anchor Points'!$D$9-'Anchor Points'!$D$8)))))))</x:f>
        <x:v>0</x:v>
      </x:c>
      <x:c r="F16" s="30" t="n">
        <x:f>ROUND(E16,0)</x:f>
        <x:v>0</x:v>
      </x:c>
      <x:c r="G16" s="28" t="n">
        <x:f>IF(A16&lt;=15,'Anchor Points'!$E$2+(A16-'Anchor Points'!$A$2)/('Anchor Points'!$A$3-'Anchor Points'!$A$2)*('Anchor Points'!$E$3-'Anchor Points'!$E$2),IF(A16&lt;=25,'Anchor Points'!$E$3+(A16-'Anchor Points'!$A$3)/('Anchor Points'!$A$4-'Anchor Points'!$A$3)*('Anchor Points'!$E$4-'Anchor Points'!$E$3),IF(A16&lt;=40,'Anchor Points'!$E$4+(A16-'Anchor Points'!$A$4)/('Anchor Points'!$A$5-'Anchor Points'!$A$4)*('Anchor Points'!$E$5-'Anchor Points'!$E$4),IF(A16&lt;=55,'Anchor Points'!$E$5+(A16-'Anchor Points'!$A$5)/('Anchor Points'!$A$6-'Anchor Points'!$A$5)*('Anchor Points'!$E$6-'Anchor Points'!$E$5),IF(A16&lt;=70,'Anchor Points'!$E$6+(A16-'Anchor Points'!$A$6)/('Anchor Points'!$A$7-'Anchor Points'!$A$6)*('Anchor Points'!$E$7-'Anchor Points'!$E$6),IF(A16&lt;=90,'Anchor Points'!$E$7+(A16-'Anchor Points'!$A$7)/('Anchor Points'!$A$8-'Anchor Points'!$A$7)*('Anchor Points'!$E$8-'Anchor Points'!$E$7),'Anchor Points'!$E$8+(A16-'Anchor Points'!$A$8)/('Anchor Points'!$A$9-'Anchor Points'!$A$8)*('Anchor Points'!$E$9-'Anchor Points'!$E$8)))))))</x:f>
        <x:v>0</x:v>
      </x:c>
      <x:c r="H16" s="30" t="n">
        <x:f>ROUND(G16,0)</x:f>
        <x:v>0</x:v>
      </x:c>
      <x:c r="I16" s="28" t="n">
        <x:f>IF(A16&lt;=15,'Anchor Points'!$F$2+(A16-'Anchor Points'!$A$2)/('Anchor Points'!$A$3-'Anchor Points'!$A$2)*('Anchor Points'!$F$3-'Anchor Points'!$F$2),IF(A16&lt;=25,'Anchor Points'!$F$3+(A16-'Anchor Points'!$A$3)/('Anchor Points'!$A$4-'Anchor Points'!$A$3)*('Anchor Points'!$F$4-'Anchor Points'!$F$3),IF(A16&lt;=40,'Anchor Points'!$F$4+(A16-'Anchor Points'!$A$4)/('Anchor Points'!$A$5-'Anchor Points'!$A$4)*('Anchor Points'!$F$5-'Anchor Points'!$F$4),IF(A16&lt;=55,'Anchor Points'!$F$5+(A16-'Anchor Points'!$A$5)/('Anchor Points'!$A$6-'Anchor Points'!$A$5)*('Anchor Points'!$F$6-'Anchor Points'!$F$5),IF(A16&lt;=70,'Anchor Points'!$F$6+(A16-'Anchor Points'!$A$6)/('Anchor Points'!$A$7-'Anchor Points'!$A$6)*('Anchor Points'!$F$7-'Anchor Points'!$F$6),IF(A16&lt;=90,'Anchor Points'!$F$7+(A16-'Anchor Points'!$A$7)/('Anchor Points'!$A$8-'Anchor Points'!$A$7)*('Anchor Points'!$F$8-'Anchor Points'!$F$7),'Anchor Points'!$F$8+(A16-'Anchor Points'!$A$8)/('Anchor Points'!$A$9-'Anchor Points'!$A$8)*('Anchor Points'!$F$9-'Anchor Points'!$F$8)))))))</x:f>
        <x:v>0</x:v>
      </x:c>
      <x:c r="J16" s="28" t="n">
        <x:v>6</x:v>
      </x:c>
      <x:c r="K16" s="55" t="n">
        <x:v>7</x:v>
      </x:c>
      <x:c r="L16" s="28" t="n">
        <x:v>8</x:v>
      </x:c>
      <x:c r="M16" s="28" t="n">
        <x:v>65</x:v>
      </x:c>
      <x:c r="N16" s="55" t="n">
        <x:v>70</x:v>
      </x:c>
      <x:c r="O16" s="28" t="n">
        <x:v>75</x:v>
      </x:c>
      <x:c r="P16" s="28" t="n">
        <x:v>70</x:v>
      </x:c>
      <x:c r="Q16" s="55" t="n">
        <x:v>80</x:v>
      </x:c>
      <x:c r="R16" s="28" t="n">
        <x:v>90</x:v>
      </x:c>
      <x:c r="S16" s="28" t="n">
        <x:v>8</x:v>
      </x:c>
      <x:c r="T16" s="28" t="n">
        <x:v>11</x:v>
      </x:c>
      <x:c r="U16" s="55" t="n">
        <x:v>14</x:v>
      </x:c>
      <x:c r="V16" s="28" t="n">
        <x:v>112</x:v>
      </x:c>
      <x:c r="W16" s="55" t="n">
        <x:v>154</x:v>
      </x:c>
      <x:c r="X16" s="28" t="n">
        <x:v>196</x:v>
      </x:c>
    </x:row>
    <x:row r="17">
      <x:c r="A17" s="30" t="n">
        <x:v>15</x:v>
      </x:c>
      <x:c r="B17" s="11" t="str">
        <x:f>IF(A17&lt;=15,"Seedling",IF(A17&lt;=25,"Establishment",IF(A17&lt;=40,"Vegetative Growth",IF(A17&lt;=55,"Flowering &amp; Initial Fruit Set",IF(A17&lt;=80,"Fruit Enlargement",IF(A17&lt;=95,"Ripening","Harvesting"))))))</x:f>
        <x:v>Seedling</x:v>
      </x:c>
      <x:c r="C17" s="28" t="n">
        <x:f>IF(A17&lt;=15,'Anchor Points'!$B$2+(A17-'Anchor Points'!$A$2)/('Anchor Points'!$A$3-'Anchor Points'!$A$2)*('Anchor Points'!$B$3-'Anchor Points'!$B$2),IF(A17&lt;=25,'Anchor Points'!$B$3+(A17-'Anchor Points'!$A$3)/('Anchor Points'!$A$4-'Anchor Points'!$A$3)*('Anchor Points'!$B$4-'Anchor Points'!$B$3),IF(A17&lt;=40,'Anchor Points'!$B$4+(A17-'Anchor Points'!$A$4)/('Anchor Points'!$A$5-'Anchor Points'!$A$4)*('Anchor Points'!$B$5-'Anchor Points'!$B$4),IF(A17&lt;=55,'Anchor Points'!$B$5+(A17-'Anchor Points'!$A$5)/('Anchor Points'!$A$6-'Anchor Points'!$A$5)*('Anchor Points'!$B$6-'Anchor Points'!$B$5),IF(A17&lt;=70,'Anchor Points'!$B$6+(A17-'Anchor Points'!$A$6)/('Anchor Points'!$A$7-'Anchor Points'!$A$6)*('Anchor Points'!$B$7-'Anchor Points'!$B$6),IF(A17&lt;=90,'Anchor Points'!$B$7+(A17-'Anchor Points'!$A$7)/('Anchor Points'!$A$8-'Anchor Points'!$A$7)*('Anchor Points'!$B$8-'Anchor Points'!$B$7),'Anchor Points'!$B$8+(A17-'Anchor Points'!$A$8)/('Anchor Points'!$A$9-'Anchor Points'!$A$8)*('Anchor Points'!$B$9-'Anchor Points'!$B$8)))))))</x:f>
        <x:v>9</x:v>
      </x:c>
      <x:c r="D17" s="28" t="n">
        <x:f>IF(A17&lt;=15,'Anchor Points'!$C$2+(A17-'Anchor Points'!$A$2)/('Anchor Points'!$A$3-'Anchor Points'!$A$2)*('Anchor Points'!$C$3-'Anchor Points'!$C$2),IF(A17&lt;=25,'Anchor Points'!$C$3+(A17-'Anchor Points'!$A$3)/('Anchor Points'!$A$4-'Anchor Points'!$A$3)*('Anchor Points'!$C$4-'Anchor Points'!$C$3),IF(A17&lt;=40,'Anchor Points'!$C$4+(A17-'Anchor Points'!$A$4)/('Anchor Points'!$A$5-'Anchor Points'!$A$4)*('Anchor Points'!$C$5-'Anchor Points'!$C$4),IF(A17&lt;=55,'Anchor Points'!$C$5+(A17-'Anchor Points'!$A$5)/('Anchor Points'!$A$6-'Anchor Points'!$A$5)*('Anchor Points'!$C$6-'Anchor Points'!$C$5),IF(A17&lt;=70,'Anchor Points'!$C$6+(A17-'Anchor Points'!$A$6)/('Anchor Points'!$A$7-'Anchor Points'!$A$6)*('Anchor Points'!$C$7-'Anchor Points'!$C$6),IF(A17&lt;=90,'Anchor Points'!$C$7+(A17-'Anchor Points'!$A$7)/('Anchor Points'!$A$8-'Anchor Points'!$A$7)*('Anchor Points'!$C$8-'Anchor Points'!$C$7),'Anchor Points'!$C$8+(A17-'Anchor Points'!$A$8)/('Anchor Points'!$A$9-'Anchor Points'!$A$8)*('Anchor Points'!$C$9-'Anchor Points'!$C$8)))))))</x:f>
        <x:v>5</x:v>
      </x:c>
      <x:c r="E17" s="28" t="n">
        <x:f>IF(A17&lt;=15,'Anchor Points'!$D$2+(A17-'Anchor Points'!$A$2)/('Anchor Points'!$A$3-'Anchor Points'!$A$2)*('Anchor Points'!$D$3-'Anchor Points'!$D$2),IF(A17&lt;=25,'Anchor Points'!$D$3+(A17-'Anchor Points'!$A$3)/('Anchor Points'!$A$4-'Anchor Points'!$A$3)*('Anchor Points'!$D$4-'Anchor Points'!$D$3),IF(A17&lt;=40,'Anchor Points'!$D$4+(A17-'Anchor Points'!$A$4)/('Anchor Points'!$A$5-'Anchor Points'!$A$4)*('Anchor Points'!$D$5-'Anchor Points'!$D$4),IF(A17&lt;=55,'Anchor Points'!$D$5+(A17-'Anchor Points'!$A$5)/('Anchor Points'!$A$6-'Anchor Points'!$A$5)*('Anchor Points'!$D$6-'Anchor Points'!$D$5),IF(A17&lt;=70,'Anchor Points'!$D$6+(A17-'Anchor Points'!$A$6)/('Anchor Points'!$A$7-'Anchor Points'!$A$6)*('Anchor Points'!$D$7-'Anchor Points'!$D$6),IF(A17&lt;=90,'Anchor Points'!$D$7+(A17-'Anchor Points'!$A$7)/('Anchor Points'!$A$8-'Anchor Points'!$A$7)*('Anchor Points'!$D$8-'Anchor Points'!$D$7),'Anchor Points'!$D$8+(A17-'Anchor Points'!$A$8)/('Anchor Points'!$A$9-'Anchor Points'!$A$8)*('Anchor Points'!$D$9-'Anchor Points'!$D$8)))))))</x:f>
        <x:v>0</x:v>
      </x:c>
      <x:c r="F17" s="30" t="n">
        <x:f>ROUND(E17,0)</x:f>
        <x:v>0</x:v>
      </x:c>
      <x:c r="G17" s="28" t="n">
        <x:f>IF(A17&lt;=15,'Anchor Points'!$E$2+(A17-'Anchor Points'!$A$2)/('Anchor Points'!$A$3-'Anchor Points'!$A$2)*('Anchor Points'!$E$3-'Anchor Points'!$E$2),IF(A17&lt;=25,'Anchor Points'!$E$3+(A17-'Anchor Points'!$A$3)/('Anchor Points'!$A$4-'Anchor Points'!$A$3)*('Anchor Points'!$E$4-'Anchor Points'!$E$3),IF(A17&lt;=40,'Anchor Points'!$E$4+(A17-'Anchor Points'!$A$4)/('Anchor Points'!$A$5-'Anchor Points'!$A$4)*('Anchor Points'!$E$5-'Anchor Points'!$E$4),IF(A17&lt;=55,'Anchor Points'!$E$5+(A17-'Anchor Points'!$A$5)/('Anchor Points'!$A$6-'Anchor Points'!$A$5)*('Anchor Points'!$E$6-'Anchor Points'!$E$5),IF(A17&lt;=70,'Anchor Points'!$E$6+(A17-'Anchor Points'!$A$6)/('Anchor Points'!$A$7-'Anchor Points'!$A$6)*('Anchor Points'!$E$7-'Anchor Points'!$E$6),IF(A17&lt;=90,'Anchor Points'!$E$7+(A17-'Anchor Points'!$A$7)/('Anchor Points'!$A$8-'Anchor Points'!$A$7)*('Anchor Points'!$E$8-'Anchor Points'!$E$7),'Anchor Points'!$E$8+(A17-'Anchor Points'!$A$8)/('Anchor Points'!$A$9-'Anchor Points'!$A$8)*('Anchor Points'!$E$9-'Anchor Points'!$E$8)))))))</x:f>
        <x:v>0</x:v>
      </x:c>
      <x:c r="H17" s="30" t="n">
        <x:f>ROUND(G17,0)</x:f>
        <x:v>0</x:v>
      </x:c>
      <x:c r="I17" s="28" t="n">
        <x:f>IF(A17&lt;=15,'Anchor Points'!$F$2+(A17-'Anchor Points'!$A$2)/('Anchor Points'!$A$3-'Anchor Points'!$A$2)*('Anchor Points'!$F$3-'Anchor Points'!$F$2),IF(A17&lt;=25,'Anchor Points'!$F$3+(A17-'Anchor Points'!$A$3)/('Anchor Points'!$A$4-'Anchor Points'!$A$3)*('Anchor Points'!$F$4-'Anchor Points'!$F$3),IF(A17&lt;=40,'Anchor Points'!$F$4+(A17-'Anchor Points'!$A$4)/('Anchor Points'!$A$5-'Anchor Points'!$A$4)*('Anchor Points'!$F$5-'Anchor Points'!$F$4),IF(A17&lt;=55,'Anchor Points'!$F$5+(A17-'Anchor Points'!$A$5)/('Anchor Points'!$A$6-'Anchor Points'!$A$5)*('Anchor Points'!$F$6-'Anchor Points'!$F$5),IF(A17&lt;=70,'Anchor Points'!$F$6+(A17-'Anchor Points'!$A$6)/('Anchor Points'!$A$7-'Anchor Points'!$A$6)*('Anchor Points'!$F$7-'Anchor Points'!$F$6),IF(A17&lt;=90,'Anchor Points'!$F$7+(A17-'Anchor Points'!$A$7)/('Anchor Points'!$A$8-'Anchor Points'!$A$7)*('Anchor Points'!$F$8-'Anchor Points'!$F$7),'Anchor Points'!$F$8+(A17-'Anchor Points'!$A$8)/('Anchor Points'!$A$9-'Anchor Points'!$A$8)*('Anchor Points'!$F$9-'Anchor Points'!$F$8)))))))</x:f>
        <x:v>0</x:v>
      </x:c>
      <x:c r="J17" s="28" t="n">
        <x:v>6</x:v>
      </x:c>
      <x:c r="K17" s="55" t="n">
        <x:v>7</x:v>
      </x:c>
      <x:c r="L17" s="28" t="n">
        <x:v>8</x:v>
      </x:c>
      <x:c r="M17" s="28" t="n">
        <x:v>65</x:v>
      </x:c>
      <x:c r="N17" s="55" t="n">
        <x:v>70</x:v>
      </x:c>
      <x:c r="O17" s="28" t="n">
        <x:v>75</x:v>
      </x:c>
      <x:c r="P17" s="28" t="n">
        <x:v>70</x:v>
      </x:c>
      <x:c r="Q17" s="55" t="n">
        <x:v>80</x:v>
      </x:c>
      <x:c r="R17" s="28" t="n">
        <x:v>90</x:v>
      </x:c>
      <x:c r="S17" s="28" t="n">
        <x:v>8</x:v>
      </x:c>
      <x:c r="T17" s="28" t="n">
        <x:v>11</x:v>
      </x:c>
      <x:c r="U17" s="55" t="n">
        <x:v>14</x:v>
      </x:c>
      <x:c r="V17" s="28" t="n">
        <x:v>120</x:v>
      </x:c>
      <x:c r="W17" s="55" t="n">
        <x:v>165</x:v>
      </x:c>
      <x:c r="X17" s="28" t="n">
        <x:v>210</x:v>
      </x:c>
    </x:row>
    <x:row r="18">
      <x:c r="A18" s="30" t="n">
        <x:v>16</x:v>
      </x:c>
      <x:c r="B18" s="11" t="str">
        <x:f>IF(A18&lt;=15,"Seedling",IF(A18&lt;=25,"Establishment",IF(A18&lt;=40,"Vegetative Growth",IF(A18&lt;=55,"Flowering &amp; Initial Fruit Set",IF(A18&lt;=80,"Fruit Enlargement",IF(A18&lt;=95,"Ripening","Harvesting"))))))</x:f>
        <x:v>Establishment</x:v>
      </x:c>
      <x:c r="C18" s="28" t="n">
        <x:f>IF(A18&lt;=15,'Anchor Points'!$B$2+(A18-'Anchor Points'!$A$2)/('Anchor Points'!$A$3-'Anchor Points'!$A$2)*('Anchor Points'!$B$3-'Anchor Points'!$B$2),IF(A18&lt;=25,'Anchor Points'!$B$3+(A18-'Anchor Points'!$A$3)/('Anchor Points'!$A$4-'Anchor Points'!$A$3)*('Anchor Points'!$B$4-'Anchor Points'!$B$3),IF(A18&lt;=40,'Anchor Points'!$B$4+(A18-'Anchor Points'!$A$4)/('Anchor Points'!$A$5-'Anchor Points'!$A$4)*('Anchor Points'!$B$5-'Anchor Points'!$B$4),IF(A18&lt;=55,'Anchor Points'!$B$5+(A18-'Anchor Points'!$A$5)/('Anchor Points'!$A$6-'Anchor Points'!$A$5)*('Anchor Points'!$B$6-'Anchor Points'!$B$5),IF(A18&lt;=70,'Anchor Points'!$B$6+(A18-'Anchor Points'!$A$6)/('Anchor Points'!$A$7-'Anchor Points'!$A$6)*('Anchor Points'!$B$7-'Anchor Points'!$B$6),IF(A18&lt;=90,'Anchor Points'!$B$7+(A18-'Anchor Points'!$A$7)/('Anchor Points'!$A$8-'Anchor Points'!$A$7)*('Anchor Points'!$B$8-'Anchor Points'!$B$7),'Anchor Points'!$B$8+(A18-'Anchor Points'!$A$8)/('Anchor Points'!$A$9-'Anchor Points'!$A$8)*('Anchor Points'!$B$9-'Anchor Points'!$B$8)))))))</x:f>
        <x:v>10.1</x:v>
      </x:c>
      <x:c r="D18" s="28" t="n">
        <x:f>IF(A18&lt;=15,'Anchor Points'!$C$2+(A18-'Anchor Points'!$A$2)/('Anchor Points'!$A$3-'Anchor Points'!$A$2)*('Anchor Points'!$C$3-'Anchor Points'!$C$2),IF(A18&lt;=25,'Anchor Points'!$C$3+(A18-'Anchor Points'!$A$3)/('Anchor Points'!$A$4-'Anchor Points'!$A$3)*('Anchor Points'!$C$4-'Anchor Points'!$C$3),IF(A18&lt;=40,'Anchor Points'!$C$4+(A18-'Anchor Points'!$A$4)/('Anchor Points'!$A$5-'Anchor Points'!$A$4)*('Anchor Points'!$C$5-'Anchor Points'!$C$4),IF(A18&lt;=55,'Anchor Points'!$C$5+(A18-'Anchor Points'!$A$5)/('Anchor Points'!$A$6-'Anchor Points'!$A$5)*('Anchor Points'!$C$6-'Anchor Points'!$C$5),IF(A18&lt;=70,'Anchor Points'!$C$6+(A18-'Anchor Points'!$A$6)/('Anchor Points'!$A$7-'Anchor Points'!$A$6)*('Anchor Points'!$C$7-'Anchor Points'!$C$6),IF(A18&lt;=90,'Anchor Points'!$C$7+(A18-'Anchor Points'!$A$7)/('Anchor Points'!$A$8-'Anchor Points'!$A$7)*('Anchor Points'!$C$8-'Anchor Points'!$C$7),'Anchor Points'!$C$8+(A18-'Anchor Points'!$A$8)/('Anchor Points'!$A$9-'Anchor Points'!$A$8)*('Anchor Points'!$C$9-'Anchor Points'!$C$8)))))))</x:f>
        <x:v>5.5</x:v>
      </x:c>
      <x:c r="E18" s="28" t="n">
        <x:f>IF(A18&lt;=15,'Anchor Points'!$D$2+(A18-'Anchor Points'!$A$2)/('Anchor Points'!$A$3-'Anchor Points'!$A$2)*('Anchor Points'!$D$3-'Anchor Points'!$D$2),IF(A18&lt;=25,'Anchor Points'!$D$3+(A18-'Anchor Points'!$A$3)/('Anchor Points'!$A$4-'Anchor Points'!$A$3)*('Anchor Points'!$D$4-'Anchor Points'!$D$3),IF(A18&lt;=40,'Anchor Points'!$D$4+(A18-'Anchor Points'!$A$4)/('Anchor Points'!$A$5-'Anchor Points'!$A$4)*('Anchor Points'!$D$5-'Anchor Points'!$D$4),IF(A18&lt;=55,'Anchor Points'!$D$5+(A18-'Anchor Points'!$A$5)/('Anchor Points'!$A$6-'Anchor Points'!$A$5)*('Anchor Points'!$D$6-'Anchor Points'!$D$5),IF(A18&lt;=70,'Anchor Points'!$D$6+(A18-'Anchor Points'!$A$6)/('Anchor Points'!$A$7-'Anchor Points'!$A$6)*('Anchor Points'!$D$7-'Anchor Points'!$D$6),IF(A18&lt;=90,'Anchor Points'!$D$7+(A18-'Anchor Points'!$A$7)/('Anchor Points'!$A$8-'Anchor Points'!$A$7)*('Anchor Points'!$D$8-'Anchor Points'!$D$7),'Anchor Points'!$D$8+(A18-'Anchor Points'!$A$8)/('Anchor Points'!$A$9-'Anchor Points'!$A$8)*('Anchor Points'!$D$9-'Anchor Points'!$D$8)))))))</x:f>
        <x:v>0</x:v>
      </x:c>
      <x:c r="F18" s="30" t="n">
        <x:f>ROUND(E18,0)</x:f>
        <x:v>0</x:v>
      </x:c>
      <x:c r="G18" s="28" t="n">
        <x:f>IF(A18&lt;=15,'Anchor Points'!$E$2+(A18-'Anchor Points'!$A$2)/('Anchor Points'!$A$3-'Anchor Points'!$A$2)*('Anchor Points'!$E$3-'Anchor Points'!$E$2),IF(A18&lt;=25,'Anchor Points'!$E$3+(A18-'Anchor Points'!$A$3)/('Anchor Points'!$A$4-'Anchor Points'!$A$3)*('Anchor Points'!$E$4-'Anchor Points'!$E$3),IF(A18&lt;=40,'Anchor Points'!$E$4+(A18-'Anchor Points'!$A$4)/('Anchor Points'!$A$5-'Anchor Points'!$A$4)*('Anchor Points'!$E$5-'Anchor Points'!$E$4),IF(A18&lt;=55,'Anchor Points'!$E$5+(A18-'Anchor Points'!$A$5)/('Anchor Points'!$A$6-'Anchor Points'!$A$5)*('Anchor Points'!$E$6-'Anchor Points'!$E$5),IF(A18&lt;=70,'Anchor Points'!$E$6+(A18-'Anchor Points'!$A$6)/('Anchor Points'!$A$7-'Anchor Points'!$A$6)*('Anchor Points'!$E$7-'Anchor Points'!$E$6),IF(A18&lt;=90,'Anchor Points'!$E$7+(A18-'Anchor Points'!$A$7)/('Anchor Points'!$A$8-'Anchor Points'!$A$7)*('Anchor Points'!$E$8-'Anchor Points'!$E$7),'Anchor Points'!$E$8+(A18-'Anchor Points'!$A$8)/('Anchor Points'!$A$9-'Anchor Points'!$A$8)*('Anchor Points'!$E$9-'Anchor Points'!$E$8)))))))</x:f>
        <x:v>0</x:v>
      </x:c>
      <x:c r="H18" s="30" t="n">
        <x:f>ROUND(G18,0)</x:f>
        <x:v>0</x:v>
      </x:c>
      <x:c r="I18" s="28" t="n">
        <x:f>IF(A18&lt;=15,'Anchor Points'!$F$2+(A18-'Anchor Points'!$A$2)/('Anchor Points'!$A$3-'Anchor Points'!$A$2)*('Anchor Points'!$F$3-'Anchor Points'!$F$2),IF(A18&lt;=25,'Anchor Points'!$F$3+(A18-'Anchor Points'!$A$3)/('Anchor Points'!$A$4-'Anchor Points'!$A$3)*('Anchor Points'!$F$4-'Anchor Points'!$F$3),IF(A18&lt;=40,'Anchor Points'!$F$4+(A18-'Anchor Points'!$A$4)/('Anchor Points'!$A$5-'Anchor Points'!$A$4)*('Anchor Points'!$F$5-'Anchor Points'!$F$4),IF(A18&lt;=55,'Anchor Points'!$F$5+(A18-'Anchor Points'!$A$5)/('Anchor Points'!$A$6-'Anchor Points'!$A$5)*('Anchor Points'!$F$6-'Anchor Points'!$F$5),IF(A18&lt;=70,'Anchor Points'!$F$6+(A18-'Anchor Points'!$A$6)/('Anchor Points'!$A$7-'Anchor Points'!$A$6)*('Anchor Points'!$F$7-'Anchor Points'!$F$6),IF(A18&lt;=90,'Anchor Points'!$F$7+(A18-'Anchor Points'!$A$7)/('Anchor Points'!$A$8-'Anchor Points'!$A$7)*('Anchor Points'!$F$8-'Anchor Points'!$F$7),'Anchor Points'!$F$8+(A18-'Anchor Points'!$A$8)/('Anchor Points'!$A$9-'Anchor Points'!$A$8)*('Anchor Points'!$F$9-'Anchor Points'!$F$8)))))))</x:f>
        <x:v>0</x:v>
      </x:c>
      <x:c r="J18" s="28" t="n">
        <x:v>7</x:v>
      </x:c>
      <x:c r="K18" s="55" t="n">
        <x:v>8</x:v>
      </x:c>
      <x:c r="L18" s="28" t="n">
        <x:v>9</x:v>
      </x:c>
      <x:c r="M18" s="28" t="n">
        <x:v>60</x:v>
      </x:c>
      <x:c r="N18" s="55" t="n">
        <x:v>68</x:v>
      </x:c>
      <x:c r="O18" s="28" t="n">
        <x:v>75</x:v>
      </x:c>
      <x:c r="P18" s="28" t="n">
        <x:v>70</x:v>
      </x:c>
      <x:c r="Q18" s="55" t="n">
        <x:v>80</x:v>
      </x:c>
      <x:c r="R18" s="28" t="n">
        <x:v>90</x:v>
      </x:c>
      <x:c r="S18" s="28" t="n">
        <x:v>10</x:v>
      </x:c>
      <x:c r="T18" s="28" t="n">
        <x:v>13</x:v>
      </x:c>
      <x:c r="U18" s="55" t="n">
        <x:v>16</x:v>
      </x:c>
      <x:c r="V18" s="28" t="n">
        <x:v>130</x:v>
      </x:c>
      <x:c r="W18" s="55" t="n">
        <x:v>178</x:v>
      </x:c>
      <x:c r="X18" s="28" t="n">
        <x:v>226</x:v>
      </x:c>
    </x:row>
    <x:row r="19">
      <x:c r="A19" s="30" t="n">
        <x:v>17</x:v>
      </x:c>
      <x:c r="B19" s="11" t="str">
        <x:f>IF(A19&lt;=15,"Seedling",IF(A19&lt;=25,"Establishment",IF(A19&lt;=40,"Vegetative Growth",IF(A19&lt;=55,"Flowering &amp; Initial Fruit Set",IF(A19&lt;=80,"Fruit Enlargement",IF(A19&lt;=95,"Ripening","Harvesting"))))))</x:f>
        <x:v>Establishment</x:v>
      </x:c>
      <x:c r="C19" s="28" t="n">
        <x:f>IF(A19&lt;=15,'Anchor Points'!$B$2+(A19-'Anchor Points'!$A$2)/('Anchor Points'!$A$3-'Anchor Points'!$A$2)*('Anchor Points'!$B$3-'Anchor Points'!$B$2),IF(A19&lt;=25,'Anchor Points'!$B$3+(A19-'Anchor Points'!$A$3)/('Anchor Points'!$A$4-'Anchor Points'!$A$3)*('Anchor Points'!$B$4-'Anchor Points'!$B$3),IF(A19&lt;=40,'Anchor Points'!$B$4+(A19-'Anchor Points'!$A$4)/('Anchor Points'!$A$5-'Anchor Points'!$A$4)*('Anchor Points'!$B$5-'Anchor Points'!$B$4),IF(A19&lt;=55,'Anchor Points'!$B$5+(A19-'Anchor Points'!$A$5)/('Anchor Points'!$A$6-'Anchor Points'!$A$5)*('Anchor Points'!$B$6-'Anchor Points'!$B$5),IF(A19&lt;=70,'Anchor Points'!$B$6+(A19-'Anchor Points'!$A$6)/('Anchor Points'!$A$7-'Anchor Points'!$A$6)*('Anchor Points'!$B$7-'Anchor Points'!$B$6),IF(A19&lt;=90,'Anchor Points'!$B$7+(A19-'Anchor Points'!$A$7)/('Anchor Points'!$A$8-'Anchor Points'!$A$7)*('Anchor Points'!$B$8-'Anchor Points'!$B$7),'Anchor Points'!$B$8+(A19-'Anchor Points'!$A$8)/('Anchor Points'!$A$9-'Anchor Points'!$A$8)*('Anchor Points'!$B$9-'Anchor Points'!$B$8)))))))</x:f>
        <x:v>11.2</x:v>
      </x:c>
      <x:c r="D19" s="28" t="n">
        <x:f>IF(A19&lt;=15,'Anchor Points'!$C$2+(A19-'Anchor Points'!$A$2)/('Anchor Points'!$A$3-'Anchor Points'!$A$2)*('Anchor Points'!$C$3-'Anchor Points'!$C$2),IF(A19&lt;=25,'Anchor Points'!$C$3+(A19-'Anchor Points'!$A$3)/('Anchor Points'!$A$4-'Anchor Points'!$A$3)*('Anchor Points'!$C$4-'Anchor Points'!$C$3),IF(A19&lt;=40,'Anchor Points'!$C$4+(A19-'Anchor Points'!$A$4)/('Anchor Points'!$A$5-'Anchor Points'!$A$4)*('Anchor Points'!$C$5-'Anchor Points'!$C$4),IF(A19&lt;=55,'Anchor Points'!$C$5+(A19-'Anchor Points'!$A$5)/('Anchor Points'!$A$6-'Anchor Points'!$A$5)*('Anchor Points'!$C$6-'Anchor Points'!$C$5),IF(A19&lt;=70,'Anchor Points'!$C$6+(A19-'Anchor Points'!$A$6)/('Anchor Points'!$A$7-'Anchor Points'!$A$6)*('Anchor Points'!$C$7-'Anchor Points'!$C$6),IF(A19&lt;=90,'Anchor Points'!$C$7+(A19-'Anchor Points'!$A$7)/('Anchor Points'!$A$8-'Anchor Points'!$A$7)*('Anchor Points'!$C$8-'Anchor Points'!$C$7),'Anchor Points'!$C$8+(A19-'Anchor Points'!$A$8)/('Anchor Points'!$A$9-'Anchor Points'!$A$8)*('Anchor Points'!$C$9-'Anchor Points'!$C$8)))))))</x:f>
        <x:v>6</x:v>
      </x:c>
      <x:c r="E19" s="28" t="n">
        <x:f>IF(A19&lt;=15,'Anchor Points'!$D$2+(A19-'Anchor Points'!$A$2)/('Anchor Points'!$A$3-'Anchor Points'!$A$2)*('Anchor Points'!$D$3-'Anchor Points'!$D$2),IF(A19&lt;=25,'Anchor Points'!$D$3+(A19-'Anchor Points'!$A$3)/('Anchor Points'!$A$4-'Anchor Points'!$A$3)*('Anchor Points'!$D$4-'Anchor Points'!$D$3),IF(A19&lt;=40,'Anchor Points'!$D$4+(A19-'Anchor Points'!$A$4)/('Anchor Points'!$A$5-'Anchor Points'!$A$4)*('Anchor Points'!$D$5-'Anchor Points'!$D$4),IF(A19&lt;=55,'Anchor Points'!$D$5+(A19-'Anchor Points'!$A$5)/('Anchor Points'!$A$6-'Anchor Points'!$A$5)*('Anchor Points'!$D$6-'Anchor Points'!$D$5),IF(A19&lt;=70,'Anchor Points'!$D$6+(A19-'Anchor Points'!$A$6)/('Anchor Points'!$A$7-'Anchor Points'!$A$6)*('Anchor Points'!$D$7-'Anchor Points'!$D$6),IF(A19&lt;=90,'Anchor Points'!$D$7+(A19-'Anchor Points'!$A$7)/('Anchor Points'!$A$8-'Anchor Points'!$A$7)*('Anchor Points'!$D$8-'Anchor Points'!$D$7),'Anchor Points'!$D$8+(A19-'Anchor Points'!$A$8)/('Anchor Points'!$A$9-'Anchor Points'!$A$8)*('Anchor Points'!$D$9-'Anchor Points'!$D$8)))))))</x:f>
        <x:v>0</x:v>
      </x:c>
      <x:c r="F19" s="30" t="n">
        <x:f>ROUND(E19,0)</x:f>
        <x:v>0</x:v>
      </x:c>
      <x:c r="G19" s="28" t="n">
        <x:f>IF(A19&lt;=15,'Anchor Points'!$E$2+(A19-'Anchor Points'!$A$2)/('Anchor Points'!$A$3-'Anchor Points'!$A$2)*('Anchor Points'!$E$3-'Anchor Points'!$E$2),IF(A19&lt;=25,'Anchor Points'!$E$3+(A19-'Anchor Points'!$A$3)/('Anchor Points'!$A$4-'Anchor Points'!$A$3)*('Anchor Points'!$E$4-'Anchor Points'!$E$3),IF(A19&lt;=40,'Anchor Points'!$E$4+(A19-'Anchor Points'!$A$4)/('Anchor Points'!$A$5-'Anchor Points'!$A$4)*('Anchor Points'!$E$5-'Anchor Points'!$E$4),IF(A19&lt;=55,'Anchor Points'!$E$5+(A19-'Anchor Points'!$A$5)/('Anchor Points'!$A$6-'Anchor Points'!$A$5)*('Anchor Points'!$E$6-'Anchor Points'!$E$5),IF(A19&lt;=70,'Anchor Points'!$E$6+(A19-'Anchor Points'!$A$6)/('Anchor Points'!$A$7-'Anchor Points'!$A$6)*('Anchor Points'!$E$7-'Anchor Points'!$E$6),IF(A19&lt;=90,'Anchor Points'!$E$7+(A19-'Anchor Points'!$A$7)/('Anchor Points'!$A$8-'Anchor Points'!$A$7)*('Anchor Points'!$E$8-'Anchor Points'!$E$7),'Anchor Points'!$E$8+(A19-'Anchor Points'!$A$8)/('Anchor Points'!$A$9-'Anchor Points'!$A$8)*('Anchor Points'!$E$9-'Anchor Points'!$E$8)))))))</x:f>
        <x:v>0</x:v>
      </x:c>
      <x:c r="H19" s="30" t="n">
        <x:f>ROUND(G19,0)</x:f>
        <x:v>0</x:v>
      </x:c>
      <x:c r="I19" s="28" t="n">
        <x:f>IF(A19&lt;=15,'Anchor Points'!$F$2+(A19-'Anchor Points'!$A$2)/('Anchor Points'!$A$3-'Anchor Points'!$A$2)*('Anchor Points'!$F$3-'Anchor Points'!$F$2),IF(A19&lt;=25,'Anchor Points'!$F$3+(A19-'Anchor Points'!$A$3)/('Anchor Points'!$A$4-'Anchor Points'!$A$3)*('Anchor Points'!$F$4-'Anchor Points'!$F$3),IF(A19&lt;=40,'Anchor Points'!$F$4+(A19-'Anchor Points'!$A$4)/('Anchor Points'!$A$5-'Anchor Points'!$A$4)*('Anchor Points'!$F$5-'Anchor Points'!$F$4),IF(A19&lt;=55,'Anchor Points'!$F$5+(A19-'Anchor Points'!$A$5)/('Anchor Points'!$A$6-'Anchor Points'!$A$5)*('Anchor Points'!$F$6-'Anchor Points'!$F$5),IF(A19&lt;=70,'Anchor Points'!$F$6+(A19-'Anchor Points'!$A$6)/('Anchor Points'!$A$7-'Anchor Points'!$A$6)*('Anchor Points'!$F$7-'Anchor Points'!$F$6),IF(A19&lt;=90,'Anchor Points'!$F$7+(A19-'Anchor Points'!$A$7)/('Anchor Points'!$A$8-'Anchor Points'!$A$7)*('Anchor Points'!$F$8-'Anchor Points'!$F$7),'Anchor Points'!$F$8+(A19-'Anchor Points'!$A$8)/('Anchor Points'!$A$9-'Anchor Points'!$A$8)*('Anchor Points'!$F$9-'Anchor Points'!$F$8)))))))</x:f>
        <x:v>0</x:v>
      </x:c>
      <x:c r="J19" s="28" t="n">
        <x:v>7</x:v>
      </x:c>
      <x:c r="K19" s="55" t="n">
        <x:v>8</x:v>
      </x:c>
      <x:c r="L19" s="28" t="n">
        <x:v>9</x:v>
      </x:c>
      <x:c r="M19" s="28" t="n">
        <x:v>60</x:v>
      </x:c>
      <x:c r="N19" s="55" t="n">
        <x:v>68</x:v>
      </x:c>
      <x:c r="O19" s="28" t="n">
        <x:v>75</x:v>
      </x:c>
      <x:c r="P19" s="28" t="n">
        <x:v>70</x:v>
      </x:c>
      <x:c r="Q19" s="55" t="n">
        <x:v>80</x:v>
      </x:c>
      <x:c r="R19" s="28" t="n">
        <x:v>90</x:v>
      </x:c>
      <x:c r="S19" s="28" t="n">
        <x:v>10</x:v>
      </x:c>
      <x:c r="T19" s="28" t="n">
        <x:v>13</x:v>
      </x:c>
      <x:c r="U19" s="55" t="n">
        <x:v>16</x:v>
      </x:c>
      <x:c r="V19" s="28" t="n">
        <x:v>140</x:v>
      </x:c>
      <x:c r="W19" s="55" t="n">
        <x:v>191</x:v>
      </x:c>
      <x:c r="X19" s="28" t="n">
        <x:v>242</x:v>
      </x:c>
    </x:row>
    <x:row r="20">
      <x:c r="A20" s="30" t="n">
        <x:v>18</x:v>
      </x:c>
      <x:c r="B20" s="11" t="str">
        <x:f>IF(A20&lt;=15,"Seedling",IF(A20&lt;=25,"Establishment",IF(A20&lt;=40,"Vegetative Growth",IF(A20&lt;=55,"Flowering &amp; Initial Fruit Set",IF(A20&lt;=80,"Fruit Enlargement",IF(A20&lt;=95,"Ripening","Harvesting"))))))</x:f>
        <x:v>Establishment</x:v>
      </x:c>
      <x:c r="C20" s="28" t="n">
        <x:f>IF(A20&lt;=15,'Anchor Points'!$B$2+(A20-'Anchor Points'!$A$2)/('Anchor Points'!$A$3-'Anchor Points'!$A$2)*('Anchor Points'!$B$3-'Anchor Points'!$B$2),IF(A20&lt;=25,'Anchor Points'!$B$3+(A20-'Anchor Points'!$A$3)/('Anchor Points'!$A$4-'Anchor Points'!$A$3)*('Anchor Points'!$B$4-'Anchor Points'!$B$3),IF(A20&lt;=40,'Anchor Points'!$B$4+(A20-'Anchor Points'!$A$4)/('Anchor Points'!$A$5-'Anchor Points'!$A$4)*('Anchor Points'!$B$5-'Anchor Points'!$B$4),IF(A20&lt;=55,'Anchor Points'!$B$5+(A20-'Anchor Points'!$A$5)/('Anchor Points'!$A$6-'Anchor Points'!$A$5)*('Anchor Points'!$B$6-'Anchor Points'!$B$5),IF(A20&lt;=70,'Anchor Points'!$B$6+(A20-'Anchor Points'!$A$6)/('Anchor Points'!$A$7-'Anchor Points'!$A$6)*('Anchor Points'!$B$7-'Anchor Points'!$B$6),IF(A20&lt;=90,'Anchor Points'!$B$7+(A20-'Anchor Points'!$A$7)/('Anchor Points'!$A$8-'Anchor Points'!$A$7)*('Anchor Points'!$B$8-'Anchor Points'!$B$7),'Anchor Points'!$B$8+(A20-'Anchor Points'!$A$8)/('Anchor Points'!$A$9-'Anchor Points'!$A$8)*('Anchor Points'!$B$9-'Anchor Points'!$B$8)))))))</x:f>
        <x:v>12.3</x:v>
      </x:c>
      <x:c r="D20" s="28" t="n">
        <x:f>IF(A20&lt;=15,'Anchor Points'!$C$2+(A20-'Anchor Points'!$A$2)/('Anchor Points'!$A$3-'Anchor Points'!$A$2)*('Anchor Points'!$C$3-'Anchor Points'!$C$2),IF(A20&lt;=25,'Anchor Points'!$C$3+(A20-'Anchor Points'!$A$3)/('Anchor Points'!$A$4-'Anchor Points'!$A$3)*('Anchor Points'!$C$4-'Anchor Points'!$C$3),IF(A20&lt;=40,'Anchor Points'!$C$4+(A20-'Anchor Points'!$A$4)/('Anchor Points'!$A$5-'Anchor Points'!$A$4)*('Anchor Points'!$C$5-'Anchor Points'!$C$4),IF(A20&lt;=55,'Anchor Points'!$C$5+(A20-'Anchor Points'!$A$5)/('Anchor Points'!$A$6-'Anchor Points'!$A$5)*('Anchor Points'!$C$6-'Anchor Points'!$C$5),IF(A20&lt;=70,'Anchor Points'!$C$6+(A20-'Anchor Points'!$A$6)/('Anchor Points'!$A$7-'Anchor Points'!$A$6)*('Anchor Points'!$C$7-'Anchor Points'!$C$6),IF(A20&lt;=90,'Anchor Points'!$C$7+(A20-'Anchor Points'!$A$7)/('Anchor Points'!$A$8-'Anchor Points'!$A$7)*('Anchor Points'!$C$8-'Anchor Points'!$C$7),'Anchor Points'!$C$8+(A20-'Anchor Points'!$A$8)/('Anchor Points'!$A$9-'Anchor Points'!$A$8)*('Anchor Points'!$C$9-'Anchor Points'!$C$8)))))))</x:f>
        <x:v>6.5</x:v>
      </x:c>
      <x:c r="E20" s="28" t="n">
        <x:f>IF(A20&lt;=15,'Anchor Points'!$D$2+(A20-'Anchor Points'!$A$2)/('Anchor Points'!$A$3-'Anchor Points'!$A$2)*('Anchor Points'!$D$3-'Anchor Points'!$D$2),IF(A20&lt;=25,'Anchor Points'!$D$3+(A20-'Anchor Points'!$A$3)/('Anchor Points'!$A$4-'Anchor Points'!$A$3)*('Anchor Points'!$D$4-'Anchor Points'!$D$3),IF(A20&lt;=40,'Anchor Points'!$D$4+(A20-'Anchor Points'!$A$4)/('Anchor Points'!$A$5-'Anchor Points'!$A$4)*('Anchor Points'!$D$5-'Anchor Points'!$D$4),IF(A20&lt;=55,'Anchor Points'!$D$5+(A20-'Anchor Points'!$A$5)/('Anchor Points'!$A$6-'Anchor Points'!$A$5)*('Anchor Points'!$D$6-'Anchor Points'!$D$5),IF(A20&lt;=70,'Anchor Points'!$D$6+(A20-'Anchor Points'!$A$6)/('Anchor Points'!$A$7-'Anchor Points'!$A$6)*('Anchor Points'!$D$7-'Anchor Points'!$D$6),IF(A20&lt;=90,'Anchor Points'!$D$7+(A20-'Anchor Points'!$A$7)/('Anchor Points'!$A$8-'Anchor Points'!$A$7)*('Anchor Points'!$D$8-'Anchor Points'!$D$7),'Anchor Points'!$D$8+(A20-'Anchor Points'!$A$8)/('Anchor Points'!$A$9-'Anchor Points'!$A$8)*('Anchor Points'!$D$9-'Anchor Points'!$D$8)))))))</x:f>
        <x:v>0</x:v>
      </x:c>
      <x:c r="F20" s="30" t="n">
        <x:f>ROUND(E20,0)</x:f>
        <x:v>0</x:v>
      </x:c>
      <x:c r="G20" s="28" t="n">
        <x:f>IF(A20&lt;=15,'Anchor Points'!$E$2+(A20-'Anchor Points'!$A$2)/('Anchor Points'!$A$3-'Anchor Points'!$A$2)*('Anchor Points'!$E$3-'Anchor Points'!$E$2),IF(A20&lt;=25,'Anchor Points'!$E$3+(A20-'Anchor Points'!$A$3)/('Anchor Points'!$A$4-'Anchor Points'!$A$3)*('Anchor Points'!$E$4-'Anchor Points'!$E$3),IF(A20&lt;=40,'Anchor Points'!$E$4+(A20-'Anchor Points'!$A$4)/('Anchor Points'!$A$5-'Anchor Points'!$A$4)*('Anchor Points'!$E$5-'Anchor Points'!$E$4),IF(A20&lt;=55,'Anchor Points'!$E$5+(A20-'Anchor Points'!$A$5)/('Anchor Points'!$A$6-'Anchor Points'!$A$5)*('Anchor Points'!$E$6-'Anchor Points'!$E$5),IF(A20&lt;=70,'Anchor Points'!$E$6+(A20-'Anchor Points'!$A$6)/('Anchor Points'!$A$7-'Anchor Points'!$A$6)*('Anchor Points'!$E$7-'Anchor Points'!$E$6),IF(A20&lt;=90,'Anchor Points'!$E$7+(A20-'Anchor Points'!$A$7)/('Anchor Points'!$A$8-'Anchor Points'!$A$7)*('Anchor Points'!$E$8-'Anchor Points'!$E$7),'Anchor Points'!$E$8+(A20-'Anchor Points'!$A$8)/('Anchor Points'!$A$9-'Anchor Points'!$A$8)*('Anchor Points'!$E$9-'Anchor Points'!$E$8)))))))</x:f>
        <x:v>0</x:v>
      </x:c>
      <x:c r="H20" s="30" t="n">
        <x:f>ROUND(G20,0)</x:f>
        <x:v>0</x:v>
      </x:c>
      <x:c r="I20" s="28" t="n">
        <x:f>IF(A20&lt;=15,'Anchor Points'!$F$2+(A20-'Anchor Points'!$A$2)/('Anchor Points'!$A$3-'Anchor Points'!$A$2)*('Anchor Points'!$F$3-'Anchor Points'!$F$2),IF(A20&lt;=25,'Anchor Points'!$F$3+(A20-'Anchor Points'!$A$3)/('Anchor Points'!$A$4-'Anchor Points'!$A$3)*('Anchor Points'!$F$4-'Anchor Points'!$F$3),IF(A20&lt;=40,'Anchor Points'!$F$4+(A20-'Anchor Points'!$A$4)/('Anchor Points'!$A$5-'Anchor Points'!$A$4)*('Anchor Points'!$F$5-'Anchor Points'!$F$4),IF(A20&lt;=55,'Anchor Points'!$F$5+(A20-'Anchor Points'!$A$5)/('Anchor Points'!$A$6-'Anchor Points'!$A$5)*('Anchor Points'!$F$6-'Anchor Points'!$F$5),IF(A20&lt;=70,'Anchor Points'!$F$6+(A20-'Anchor Points'!$A$6)/('Anchor Points'!$A$7-'Anchor Points'!$A$6)*('Anchor Points'!$F$7-'Anchor Points'!$F$6),IF(A20&lt;=90,'Anchor Points'!$F$7+(A20-'Anchor Points'!$A$7)/('Anchor Points'!$A$8-'Anchor Points'!$A$7)*('Anchor Points'!$F$8-'Anchor Points'!$F$7),'Anchor Points'!$F$8+(A20-'Anchor Points'!$A$8)/('Anchor Points'!$A$9-'Anchor Points'!$A$8)*('Anchor Points'!$F$9-'Anchor Points'!$F$8)))))))</x:f>
        <x:v>0</x:v>
      </x:c>
      <x:c r="J20" s="28" t="n">
        <x:v>7</x:v>
      </x:c>
      <x:c r="K20" s="55" t="n">
        <x:v>8</x:v>
      </x:c>
      <x:c r="L20" s="28" t="n">
        <x:v>9</x:v>
      </x:c>
      <x:c r="M20" s="28" t="n">
        <x:v>60</x:v>
      </x:c>
      <x:c r="N20" s="55" t="n">
        <x:v>68</x:v>
      </x:c>
      <x:c r="O20" s="28" t="n">
        <x:v>75</x:v>
      </x:c>
      <x:c r="P20" s="28" t="n">
        <x:v>70</x:v>
      </x:c>
      <x:c r="Q20" s="55" t="n">
        <x:v>80</x:v>
      </x:c>
      <x:c r="R20" s="28" t="n">
        <x:v>90</x:v>
      </x:c>
      <x:c r="S20" s="28" t="n">
        <x:v>10</x:v>
      </x:c>
      <x:c r="T20" s="28" t="n">
        <x:v>13</x:v>
      </x:c>
      <x:c r="U20" s="55" t="n">
        <x:v>16</x:v>
      </x:c>
      <x:c r="V20" s="28" t="n">
        <x:v>150</x:v>
      </x:c>
      <x:c r="W20" s="55" t="n">
        <x:v>204</x:v>
      </x:c>
      <x:c r="X20" s="28" t="n">
        <x:v>258</x:v>
      </x:c>
    </x:row>
    <x:row r="21">
      <x:c r="A21" s="30" t="n">
        <x:v>19</x:v>
      </x:c>
      <x:c r="B21" s="11" t="str">
        <x:f>IF(A21&lt;=15,"Seedling",IF(A21&lt;=25,"Establishment",IF(A21&lt;=40,"Vegetative Growth",IF(A21&lt;=55,"Flowering &amp; Initial Fruit Set",IF(A21&lt;=80,"Fruit Enlargement",IF(A21&lt;=95,"Ripening","Harvesting"))))))</x:f>
        <x:v>Establishment</x:v>
      </x:c>
      <x:c r="C21" s="28" t="n">
        <x:f>IF(A21&lt;=15,'Anchor Points'!$B$2+(A21-'Anchor Points'!$A$2)/('Anchor Points'!$A$3-'Anchor Points'!$A$2)*('Anchor Points'!$B$3-'Anchor Points'!$B$2),IF(A21&lt;=25,'Anchor Points'!$B$3+(A21-'Anchor Points'!$A$3)/('Anchor Points'!$A$4-'Anchor Points'!$A$3)*('Anchor Points'!$B$4-'Anchor Points'!$B$3),IF(A21&lt;=40,'Anchor Points'!$B$4+(A21-'Anchor Points'!$A$4)/('Anchor Points'!$A$5-'Anchor Points'!$A$4)*('Anchor Points'!$B$5-'Anchor Points'!$B$4),IF(A21&lt;=55,'Anchor Points'!$B$5+(A21-'Anchor Points'!$A$5)/('Anchor Points'!$A$6-'Anchor Points'!$A$5)*('Anchor Points'!$B$6-'Anchor Points'!$B$5),IF(A21&lt;=70,'Anchor Points'!$B$6+(A21-'Anchor Points'!$A$6)/('Anchor Points'!$A$7-'Anchor Points'!$A$6)*('Anchor Points'!$B$7-'Anchor Points'!$B$6),IF(A21&lt;=90,'Anchor Points'!$B$7+(A21-'Anchor Points'!$A$7)/('Anchor Points'!$A$8-'Anchor Points'!$A$7)*('Anchor Points'!$B$8-'Anchor Points'!$B$7),'Anchor Points'!$B$8+(A21-'Anchor Points'!$A$8)/('Anchor Points'!$A$9-'Anchor Points'!$A$8)*('Anchor Points'!$B$9-'Anchor Points'!$B$8)))))))</x:f>
        <x:v>13.4</x:v>
      </x:c>
      <x:c r="D21" s="28" t="n">
        <x:f>IF(A21&lt;=15,'Anchor Points'!$C$2+(A21-'Anchor Points'!$A$2)/('Anchor Points'!$A$3-'Anchor Points'!$A$2)*('Anchor Points'!$C$3-'Anchor Points'!$C$2),IF(A21&lt;=25,'Anchor Points'!$C$3+(A21-'Anchor Points'!$A$3)/('Anchor Points'!$A$4-'Anchor Points'!$A$3)*('Anchor Points'!$C$4-'Anchor Points'!$C$3),IF(A21&lt;=40,'Anchor Points'!$C$4+(A21-'Anchor Points'!$A$4)/('Anchor Points'!$A$5-'Anchor Points'!$A$4)*('Anchor Points'!$C$5-'Anchor Points'!$C$4),IF(A21&lt;=55,'Anchor Points'!$C$5+(A21-'Anchor Points'!$A$5)/('Anchor Points'!$A$6-'Anchor Points'!$A$5)*('Anchor Points'!$C$6-'Anchor Points'!$C$5),IF(A21&lt;=70,'Anchor Points'!$C$6+(A21-'Anchor Points'!$A$6)/('Anchor Points'!$A$7-'Anchor Points'!$A$6)*('Anchor Points'!$C$7-'Anchor Points'!$C$6),IF(A21&lt;=90,'Anchor Points'!$C$7+(A21-'Anchor Points'!$A$7)/('Anchor Points'!$A$8-'Anchor Points'!$A$7)*('Anchor Points'!$C$8-'Anchor Points'!$C$7),'Anchor Points'!$C$8+(A21-'Anchor Points'!$A$8)/('Anchor Points'!$A$9-'Anchor Points'!$A$8)*('Anchor Points'!$C$9-'Anchor Points'!$C$8)))))))</x:f>
        <x:v>7</x:v>
      </x:c>
      <x:c r="E21" s="28" t="n">
        <x:f>IF(A21&lt;=15,'Anchor Points'!$D$2+(A21-'Anchor Points'!$A$2)/('Anchor Points'!$A$3-'Anchor Points'!$A$2)*('Anchor Points'!$D$3-'Anchor Points'!$D$2),IF(A21&lt;=25,'Anchor Points'!$D$3+(A21-'Anchor Points'!$A$3)/('Anchor Points'!$A$4-'Anchor Points'!$A$3)*('Anchor Points'!$D$4-'Anchor Points'!$D$3),IF(A21&lt;=40,'Anchor Points'!$D$4+(A21-'Anchor Points'!$A$4)/('Anchor Points'!$A$5-'Anchor Points'!$A$4)*('Anchor Points'!$D$5-'Anchor Points'!$D$4),IF(A21&lt;=55,'Anchor Points'!$D$5+(A21-'Anchor Points'!$A$5)/('Anchor Points'!$A$6-'Anchor Points'!$A$5)*('Anchor Points'!$D$6-'Anchor Points'!$D$5),IF(A21&lt;=70,'Anchor Points'!$D$6+(A21-'Anchor Points'!$A$6)/('Anchor Points'!$A$7-'Anchor Points'!$A$6)*('Anchor Points'!$D$7-'Anchor Points'!$D$6),IF(A21&lt;=90,'Anchor Points'!$D$7+(A21-'Anchor Points'!$A$7)/('Anchor Points'!$A$8-'Anchor Points'!$A$7)*('Anchor Points'!$D$8-'Anchor Points'!$D$7),'Anchor Points'!$D$8+(A21-'Anchor Points'!$A$8)/('Anchor Points'!$A$9-'Anchor Points'!$A$8)*('Anchor Points'!$D$9-'Anchor Points'!$D$8)))))))</x:f>
        <x:v>0</x:v>
      </x:c>
      <x:c r="F21" s="30" t="n">
        <x:f>ROUND(E21,0)</x:f>
        <x:v>0</x:v>
      </x:c>
      <x:c r="G21" s="28" t="n">
        <x:f>IF(A21&lt;=15,'Anchor Points'!$E$2+(A21-'Anchor Points'!$A$2)/('Anchor Points'!$A$3-'Anchor Points'!$A$2)*('Anchor Points'!$E$3-'Anchor Points'!$E$2),IF(A21&lt;=25,'Anchor Points'!$E$3+(A21-'Anchor Points'!$A$3)/('Anchor Points'!$A$4-'Anchor Points'!$A$3)*('Anchor Points'!$E$4-'Anchor Points'!$E$3),IF(A21&lt;=40,'Anchor Points'!$E$4+(A21-'Anchor Points'!$A$4)/('Anchor Points'!$A$5-'Anchor Points'!$A$4)*('Anchor Points'!$E$5-'Anchor Points'!$E$4),IF(A21&lt;=55,'Anchor Points'!$E$5+(A21-'Anchor Points'!$A$5)/('Anchor Points'!$A$6-'Anchor Points'!$A$5)*('Anchor Points'!$E$6-'Anchor Points'!$E$5),IF(A21&lt;=70,'Anchor Points'!$E$6+(A21-'Anchor Points'!$A$6)/('Anchor Points'!$A$7-'Anchor Points'!$A$6)*('Anchor Points'!$E$7-'Anchor Points'!$E$6),IF(A21&lt;=90,'Anchor Points'!$E$7+(A21-'Anchor Points'!$A$7)/('Anchor Points'!$A$8-'Anchor Points'!$A$7)*('Anchor Points'!$E$8-'Anchor Points'!$E$7),'Anchor Points'!$E$8+(A21-'Anchor Points'!$A$8)/('Anchor Points'!$A$9-'Anchor Points'!$A$8)*('Anchor Points'!$E$9-'Anchor Points'!$E$8)))))))</x:f>
        <x:v>0</x:v>
      </x:c>
      <x:c r="H21" s="30" t="n">
        <x:f>ROUND(G21,0)</x:f>
        <x:v>0</x:v>
      </x:c>
      <x:c r="I21" s="28" t="n">
        <x:f>IF(A21&lt;=15,'Anchor Points'!$F$2+(A21-'Anchor Points'!$A$2)/('Anchor Points'!$A$3-'Anchor Points'!$A$2)*('Anchor Points'!$F$3-'Anchor Points'!$F$2),IF(A21&lt;=25,'Anchor Points'!$F$3+(A21-'Anchor Points'!$A$3)/('Anchor Points'!$A$4-'Anchor Points'!$A$3)*('Anchor Points'!$F$4-'Anchor Points'!$F$3),IF(A21&lt;=40,'Anchor Points'!$F$4+(A21-'Anchor Points'!$A$4)/('Anchor Points'!$A$5-'Anchor Points'!$A$4)*('Anchor Points'!$F$5-'Anchor Points'!$F$4),IF(A21&lt;=55,'Anchor Points'!$F$5+(A21-'Anchor Points'!$A$5)/('Anchor Points'!$A$6-'Anchor Points'!$A$5)*('Anchor Points'!$F$6-'Anchor Points'!$F$5),IF(A21&lt;=70,'Anchor Points'!$F$6+(A21-'Anchor Points'!$A$6)/('Anchor Points'!$A$7-'Anchor Points'!$A$6)*('Anchor Points'!$F$7-'Anchor Points'!$F$6),IF(A21&lt;=90,'Anchor Points'!$F$7+(A21-'Anchor Points'!$A$7)/('Anchor Points'!$A$8-'Anchor Points'!$A$7)*('Anchor Points'!$F$8-'Anchor Points'!$F$7),'Anchor Points'!$F$8+(A21-'Anchor Points'!$A$8)/('Anchor Points'!$A$9-'Anchor Points'!$A$8)*('Anchor Points'!$F$9-'Anchor Points'!$F$8)))))))</x:f>
        <x:v>0</x:v>
      </x:c>
      <x:c r="J21" s="28" t="n">
        <x:v>7</x:v>
      </x:c>
      <x:c r="K21" s="55" t="n">
        <x:v>8</x:v>
      </x:c>
      <x:c r="L21" s="28" t="n">
        <x:v>9</x:v>
      </x:c>
      <x:c r="M21" s="28" t="n">
        <x:v>60</x:v>
      </x:c>
      <x:c r="N21" s="55" t="n">
        <x:v>68</x:v>
      </x:c>
      <x:c r="O21" s="28" t="n">
        <x:v>75</x:v>
      </x:c>
      <x:c r="P21" s="28" t="n">
        <x:v>70</x:v>
      </x:c>
      <x:c r="Q21" s="55" t="n">
        <x:v>80</x:v>
      </x:c>
      <x:c r="R21" s="28" t="n">
        <x:v>90</x:v>
      </x:c>
      <x:c r="S21" s="28" t="n">
        <x:v>10</x:v>
      </x:c>
      <x:c r="T21" s="28" t="n">
        <x:v>13</x:v>
      </x:c>
      <x:c r="U21" s="55" t="n">
        <x:v>16</x:v>
      </x:c>
      <x:c r="V21" s="28" t="n">
        <x:v>160</x:v>
      </x:c>
      <x:c r="W21" s="55" t="n">
        <x:v>217</x:v>
      </x:c>
      <x:c r="X21" s="28" t="n">
        <x:v>274</x:v>
      </x:c>
    </x:row>
    <x:row r="22">
      <x:c r="A22" s="30" t="n">
        <x:v>20</x:v>
      </x:c>
      <x:c r="B22" s="11" t="str">
        <x:f>IF(A22&lt;=15,"Seedling",IF(A22&lt;=25,"Establishment",IF(A22&lt;=40,"Vegetative Growth",IF(A22&lt;=55,"Flowering &amp; Initial Fruit Set",IF(A22&lt;=80,"Fruit Enlargement",IF(A22&lt;=95,"Ripening","Harvesting"))))))</x:f>
        <x:v>Establishment</x:v>
      </x:c>
      <x:c r="C22" s="28" t="n">
        <x:f>IF(A22&lt;=15,'Anchor Points'!$B$2+(A22-'Anchor Points'!$A$2)/('Anchor Points'!$A$3-'Anchor Points'!$A$2)*('Anchor Points'!$B$3-'Anchor Points'!$B$2),IF(A22&lt;=25,'Anchor Points'!$B$3+(A22-'Anchor Points'!$A$3)/('Anchor Points'!$A$4-'Anchor Points'!$A$3)*('Anchor Points'!$B$4-'Anchor Points'!$B$3),IF(A22&lt;=40,'Anchor Points'!$B$4+(A22-'Anchor Points'!$A$4)/('Anchor Points'!$A$5-'Anchor Points'!$A$4)*('Anchor Points'!$B$5-'Anchor Points'!$B$4),IF(A22&lt;=55,'Anchor Points'!$B$5+(A22-'Anchor Points'!$A$5)/('Anchor Points'!$A$6-'Anchor Points'!$A$5)*('Anchor Points'!$B$6-'Anchor Points'!$B$5),IF(A22&lt;=70,'Anchor Points'!$B$6+(A22-'Anchor Points'!$A$6)/('Anchor Points'!$A$7-'Anchor Points'!$A$6)*('Anchor Points'!$B$7-'Anchor Points'!$B$6),IF(A22&lt;=90,'Anchor Points'!$B$7+(A22-'Anchor Points'!$A$7)/('Anchor Points'!$A$8-'Anchor Points'!$A$7)*('Anchor Points'!$B$8-'Anchor Points'!$B$7),'Anchor Points'!$B$8+(A22-'Anchor Points'!$A$8)/('Anchor Points'!$A$9-'Anchor Points'!$A$8)*('Anchor Points'!$B$9-'Anchor Points'!$B$8)))))))</x:f>
        <x:v>14.5</x:v>
      </x:c>
      <x:c r="D22" s="28" t="n">
        <x:f>IF(A22&lt;=15,'Anchor Points'!$C$2+(A22-'Anchor Points'!$A$2)/('Anchor Points'!$A$3-'Anchor Points'!$A$2)*('Anchor Points'!$C$3-'Anchor Points'!$C$2),IF(A22&lt;=25,'Anchor Points'!$C$3+(A22-'Anchor Points'!$A$3)/('Anchor Points'!$A$4-'Anchor Points'!$A$3)*('Anchor Points'!$C$4-'Anchor Points'!$C$3),IF(A22&lt;=40,'Anchor Points'!$C$4+(A22-'Anchor Points'!$A$4)/('Anchor Points'!$A$5-'Anchor Points'!$A$4)*('Anchor Points'!$C$5-'Anchor Points'!$C$4),IF(A22&lt;=55,'Anchor Points'!$C$5+(A22-'Anchor Points'!$A$5)/('Anchor Points'!$A$6-'Anchor Points'!$A$5)*('Anchor Points'!$C$6-'Anchor Points'!$C$5),IF(A22&lt;=70,'Anchor Points'!$C$6+(A22-'Anchor Points'!$A$6)/('Anchor Points'!$A$7-'Anchor Points'!$A$6)*('Anchor Points'!$C$7-'Anchor Points'!$C$6),IF(A22&lt;=90,'Anchor Points'!$C$7+(A22-'Anchor Points'!$A$7)/('Anchor Points'!$A$8-'Anchor Points'!$A$7)*('Anchor Points'!$C$8-'Anchor Points'!$C$7),'Anchor Points'!$C$8+(A22-'Anchor Points'!$A$8)/('Anchor Points'!$A$9-'Anchor Points'!$A$8)*('Anchor Points'!$C$9-'Anchor Points'!$C$8)))))))</x:f>
        <x:v>7.5</x:v>
      </x:c>
      <x:c r="E22" s="28" t="n">
        <x:f>IF(A22&lt;=15,'Anchor Points'!$D$2+(A22-'Anchor Points'!$A$2)/('Anchor Points'!$A$3-'Anchor Points'!$A$2)*('Anchor Points'!$D$3-'Anchor Points'!$D$2),IF(A22&lt;=25,'Anchor Points'!$D$3+(A22-'Anchor Points'!$A$3)/('Anchor Points'!$A$4-'Anchor Points'!$A$3)*('Anchor Points'!$D$4-'Anchor Points'!$D$3),IF(A22&lt;=40,'Anchor Points'!$D$4+(A22-'Anchor Points'!$A$4)/('Anchor Points'!$A$5-'Anchor Points'!$A$4)*('Anchor Points'!$D$5-'Anchor Points'!$D$4),IF(A22&lt;=55,'Anchor Points'!$D$5+(A22-'Anchor Points'!$A$5)/('Anchor Points'!$A$6-'Anchor Points'!$A$5)*('Anchor Points'!$D$6-'Anchor Points'!$D$5),IF(A22&lt;=70,'Anchor Points'!$D$6+(A22-'Anchor Points'!$A$6)/('Anchor Points'!$A$7-'Anchor Points'!$A$6)*('Anchor Points'!$D$7-'Anchor Points'!$D$6),IF(A22&lt;=90,'Anchor Points'!$D$7+(A22-'Anchor Points'!$A$7)/('Anchor Points'!$A$8-'Anchor Points'!$A$7)*('Anchor Points'!$D$8-'Anchor Points'!$D$7),'Anchor Points'!$D$8+(A22-'Anchor Points'!$A$8)/('Anchor Points'!$A$9-'Anchor Points'!$A$8)*('Anchor Points'!$D$9-'Anchor Points'!$D$8)))))))</x:f>
        <x:v>0</x:v>
      </x:c>
      <x:c r="F22" s="30" t="n">
        <x:f>ROUND(E22,0)</x:f>
        <x:v>0</x:v>
      </x:c>
      <x:c r="G22" s="28" t="n">
        <x:f>IF(A22&lt;=15,'Anchor Points'!$E$2+(A22-'Anchor Points'!$A$2)/('Anchor Points'!$A$3-'Anchor Points'!$A$2)*('Anchor Points'!$E$3-'Anchor Points'!$E$2),IF(A22&lt;=25,'Anchor Points'!$E$3+(A22-'Anchor Points'!$A$3)/('Anchor Points'!$A$4-'Anchor Points'!$A$3)*('Anchor Points'!$E$4-'Anchor Points'!$E$3),IF(A22&lt;=40,'Anchor Points'!$E$4+(A22-'Anchor Points'!$A$4)/('Anchor Points'!$A$5-'Anchor Points'!$A$4)*('Anchor Points'!$E$5-'Anchor Points'!$E$4),IF(A22&lt;=55,'Anchor Points'!$E$5+(A22-'Anchor Points'!$A$5)/('Anchor Points'!$A$6-'Anchor Points'!$A$5)*('Anchor Points'!$E$6-'Anchor Points'!$E$5),IF(A22&lt;=70,'Anchor Points'!$E$6+(A22-'Anchor Points'!$A$6)/('Anchor Points'!$A$7-'Anchor Points'!$A$6)*('Anchor Points'!$E$7-'Anchor Points'!$E$6),IF(A22&lt;=90,'Anchor Points'!$E$7+(A22-'Anchor Points'!$A$7)/('Anchor Points'!$A$8-'Anchor Points'!$A$7)*('Anchor Points'!$E$8-'Anchor Points'!$E$7),'Anchor Points'!$E$8+(A22-'Anchor Points'!$A$8)/('Anchor Points'!$A$9-'Anchor Points'!$A$8)*('Anchor Points'!$E$9-'Anchor Points'!$E$8)))))))</x:f>
        <x:v>0</x:v>
      </x:c>
      <x:c r="H22" s="30" t="n">
        <x:f>ROUND(G22,0)</x:f>
        <x:v>0</x:v>
      </x:c>
      <x:c r="I22" s="28" t="n">
        <x:f>IF(A22&lt;=15,'Anchor Points'!$F$2+(A22-'Anchor Points'!$A$2)/('Anchor Points'!$A$3-'Anchor Points'!$A$2)*('Anchor Points'!$F$3-'Anchor Points'!$F$2),IF(A22&lt;=25,'Anchor Points'!$F$3+(A22-'Anchor Points'!$A$3)/('Anchor Points'!$A$4-'Anchor Points'!$A$3)*('Anchor Points'!$F$4-'Anchor Points'!$F$3),IF(A22&lt;=40,'Anchor Points'!$F$4+(A22-'Anchor Points'!$A$4)/('Anchor Points'!$A$5-'Anchor Points'!$A$4)*('Anchor Points'!$F$5-'Anchor Points'!$F$4),IF(A22&lt;=55,'Anchor Points'!$F$5+(A22-'Anchor Points'!$A$5)/('Anchor Points'!$A$6-'Anchor Points'!$A$5)*('Anchor Points'!$F$6-'Anchor Points'!$F$5),IF(A22&lt;=70,'Anchor Points'!$F$6+(A22-'Anchor Points'!$A$6)/('Anchor Points'!$A$7-'Anchor Points'!$A$6)*('Anchor Points'!$F$7-'Anchor Points'!$F$6),IF(A22&lt;=90,'Anchor Points'!$F$7+(A22-'Anchor Points'!$A$7)/('Anchor Points'!$A$8-'Anchor Points'!$A$7)*('Anchor Points'!$F$8-'Anchor Points'!$F$7),'Anchor Points'!$F$8+(A22-'Anchor Points'!$A$8)/('Anchor Points'!$A$9-'Anchor Points'!$A$8)*('Anchor Points'!$F$9-'Anchor Points'!$F$8)))))))</x:f>
        <x:v>0</x:v>
      </x:c>
      <x:c r="J22" s="28" t="n">
        <x:v>7</x:v>
      </x:c>
      <x:c r="K22" s="55" t="n">
        <x:v>8</x:v>
      </x:c>
      <x:c r="L22" s="28" t="n">
        <x:v>9</x:v>
      </x:c>
      <x:c r="M22" s="28" t="n">
        <x:v>60</x:v>
      </x:c>
      <x:c r="N22" s="55" t="n">
        <x:v>68</x:v>
      </x:c>
      <x:c r="O22" s="28" t="n">
        <x:v>75</x:v>
      </x:c>
      <x:c r="P22" s="28" t="n">
        <x:v>70</x:v>
      </x:c>
      <x:c r="Q22" s="55" t="n">
        <x:v>80</x:v>
      </x:c>
      <x:c r="R22" s="28" t="n">
        <x:v>90</x:v>
      </x:c>
      <x:c r="S22" s="28" t="n">
        <x:v>10</x:v>
      </x:c>
      <x:c r="T22" s="28" t="n">
        <x:v>13</x:v>
      </x:c>
      <x:c r="U22" s="55" t="n">
        <x:v>16</x:v>
      </x:c>
      <x:c r="V22" s="28" t="n">
        <x:v>170</x:v>
      </x:c>
      <x:c r="W22" s="55" t="n">
        <x:v>230</x:v>
      </x:c>
      <x:c r="X22" s="28" t="n">
        <x:v>290</x:v>
      </x:c>
    </x:row>
    <x:row r="23">
      <x:c r="A23" s="30" t="n">
        <x:v>21</x:v>
      </x:c>
      <x:c r="B23" s="11" t="str">
        <x:f>IF(A23&lt;=15,"Seedling",IF(A23&lt;=25,"Establishment",IF(A23&lt;=40,"Vegetative Growth",IF(A23&lt;=55,"Flowering &amp; Initial Fruit Set",IF(A23&lt;=80,"Fruit Enlargement",IF(A23&lt;=95,"Ripening","Harvesting"))))))</x:f>
        <x:v>Establishment</x:v>
      </x:c>
      <x:c r="C23" s="28" t="n">
        <x:f>IF(A23&lt;=15,'Anchor Points'!$B$2+(A23-'Anchor Points'!$A$2)/('Anchor Points'!$A$3-'Anchor Points'!$A$2)*('Anchor Points'!$B$3-'Anchor Points'!$B$2),IF(A23&lt;=25,'Anchor Points'!$B$3+(A23-'Anchor Points'!$A$3)/('Anchor Points'!$A$4-'Anchor Points'!$A$3)*('Anchor Points'!$B$4-'Anchor Points'!$B$3),IF(A23&lt;=40,'Anchor Points'!$B$4+(A23-'Anchor Points'!$A$4)/('Anchor Points'!$A$5-'Anchor Points'!$A$4)*('Anchor Points'!$B$5-'Anchor Points'!$B$4),IF(A23&lt;=55,'Anchor Points'!$B$5+(A23-'Anchor Points'!$A$5)/('Anchor Points'!$A$6-'Anchor Points'!$A$5)*('Anchor Points'!$B$6-'Anchor Points'!$B$5),IF(A23&lt;=70,'Anchor Points'!$B$6+(A23-'Anchor Points'!$A$6)/('Anchor Points'!$A$7-'Anchor Points'!$A$6)*('Anchor Points'!$B$7-'Anchor Points'!$B$6),IF(A23&lt;=90,'Anchor Points'!$B$7+(A23-'Anchor Points'!$A$7)/('Anchor Points'!$A$8-'Anchor Points'!$A$7)*('Anchor Points'!$B$8-'Anchor Points'!$B$7),'Anchor Points'!$B$8+(A23-'Anchor Points'!$A$8)/('Anchor Points'!$A$9-'Anchor Points'!$A$8)*('Anchor Points'!$B$9-'Anchor Points'!$B$8)))))))</x:f>
        <x:v>15.6</x:v>
      </x:c>
      <x:c r="D23" s="28" t="n">
        <x:f>IF(A23&lt;=15,'Anchor Points'!$C$2+(A23-'Anchor Points'!$A$2)/('Anchor Points'!$A$3-'Anchor Points'!$A$2)*('Anchor Points'!$C$3-'Anchor Points'!$C$2),IF(A23&lt;=25,'Anchor Points'!$C$3+(A23-'Anchor Points'!$A$3)/('Anchor Points'!$A$4-'Anchor Points'!$A$3)*('Anchor Points'!$C$4-'Anchor Points'!$C$3),IF(A23&lt;=40,'Anchor Points'!$C$4+(A23-'Anchor Points'!$A$4)/('Anchor Points'!$A$5-'Anchor Points'!$A$4)*('Anchor Points'!$C$5-'Anchor Points'!$C$4),IF(A23&lt;=55,'Anchor Points'!$C$5+(A23-'Anchor Points'!$A$5)/('Anchor Points'!$A$6-'Anchor Points'!$A$5)*('Anchor Points'!$C$6-'Anchor Points'!$C$5),IF(A23&lt;=70,'Anchor Points'!$C$6+(A23-'Anchor Points'!$A$6)/('Anchor Points'!$A$7-'Anchor Points'!$A$6)*('Anchor Points'!$C$7-'Anchor Points'!$C$6),IF(A23&lt;=90,'Anchor Points'!$C$7+(A23-'Anchor Points'!$A$7)/('Anchor Points'!$A$8-'Anchor Points'!$A$7)*('Anchor Points'!$C$8-'Anchor Points'!$C$7),'Anchor Points'!$C$8+(A23-'Anchor Points'!$A$8)/('Anchor Points'!$A$9-'Anchor Points'!$A$8)*('Anchor Points'!$C$9-'Anchor Points'!$C$8)))))))</x:f>
        <x:v>8</x:v>
      </x:c>
      <x:c r="E23" s="28" t="n">
        <x:f>IF(A23&lt;=15,'Anchor Points'!$D$2+(A23-'Anchor Points'!$A$2)/('Anchor Points'!$A$3-'Anchor Points'!$A$2)*('Anchor Points'!$D$3-'Anchor Points'!$D$2),IF(A23&lt;=25,'Anchor Points'!$D$3+(A23-'Anchor Points'!$A$3)/('Anchor Points'!$A$4-'Anchor Points'!$A$3)*('Anchor Points'!$D$4-'Anchor Points'!$D$3),IF(A23&lt;=40,'Anchor Points'!$D$4+(A23-'Anchor Points'!$A$4)/('Anchor Points'!$A$5-'Anchor Points'!$A$4)*('Anchor Points'!$D$5-'Anchor Points'!$D$4),IF(A23&lt;=55,'Anchor Points'!$D$5+(A23-'Anchor Points'!$A$5)/('Anchor Points'!$A$6-'Anchor Points'!$A$5)*('Anchor Points'!$D$6-'Anchor Points'!$D$5),IF(A23&lt;=70,'Anchor Points'!$D$6+(A23-'Anchor Points'!$A$6)/('Anchor Points'!$A$7-'Anchor Points'!$A$6)*('Anchor Points'!$D$7-'Anchor Points'!$D$6),IF(A23&lt;=90,'Anchor Points'!$D$7+(A23-'Anchor Points'!$A$7)/('Anchor Points'!$A$8-'Anchor Points'!$A$7)*('Anchor Points'!$D$8-'Anchor Points'!$D$7),'Anchor Points'!$D$8+(A23-'Anchor Points'!$A$8)/('Anchor Points'!$A$9-'Anchor Points'!$A$8)*('Anchor Points'!$D$9-'Anchor Points'!$D$8)))))))</x:f>
        <x:v>0</x:v>
      </x:c>
      <x:c r="F23" s="30" t="n">
        <x:f>ROUND(E23,0)</x:f>
        <x:v>0</x:v>
      </x:c>
      <x:c r="G23" s="28" t="n">
        <x:f>IF(A23&lt;=15,'Anchor Points'!$E$2+(A23-'Anchor Points'!$A$2)/('Anchor Points'!$A$3-'Anchor Points'!$A$2)*('Anchor Points'!$E$3-'Anchor Points'!$E$2),IF(A23&lt;=25,'Anchor Points'!$E$3+(A23-'Anchor Points'!$A$3)/('Anchor Points'!$A$4-'Anchor Points'!$A$3)*('Anchor Points'!$E$4-'Anchor Points'!$E$3),IF(A23&lt;=40,'Anchor Points'!$E$4+(A23-'Anchor Points'!$A$4)/('Anchor Points'!$A$5-'Anchor Points'!$A$4)*('Anchor Points'!$E$5-'Anchor Points'!$E$4),IF(A23&lt;=55,'Anchor Points'!$E$5+(A23-'Anchor Points'!$A$5)/('Anchor Points'!$A$6-'Anchor Points'!$A$5)*('Anchor Points'!$E$6-'Anchor Points'!$E$5),IF(A23&lt;=70,'Anchor Points'!$E$6+(A23-'Anchor Points'!$A$6)/('Anchor Points'!$A$7-'Anchor Points'!$A$6)*('Anchor Points'!$E$7-'Anchor Points'!$E$6),IF(A23&lt;=90,'Anchor Points'!$E$7+(A23-'Anchor Points'!$A$7)/('Anchor Points'!$A$8-'Anchor Points'!$A$7)*('Anchor Points'!$E$8-'Anchor Points'!$E$7),'Anchor Points'!$E$8+(A23-'Anchor Points'!$A$8)/('Anchor Points'!$A$9-'Anchor Points'!$A$8)*('Anchor Points'!$E$9-'Anchor Points'!$E$8)))))))</x:f>
        <x:v>0</x:v>
      </x:c>
      <x:c r="H23" s="30" t="n">
        <x:f>ROUND(G23,0)</x:f>
        <x:v>0</x:v>
      </x:c>
      <x:c r="I23" s="28" t="n">
        <x:f>IF(A23&lt;=15,'Anchor Points'!$F$2+(A23-'Anchor Points'!$A$2)/('Anchor Points'!$A$3-'Anchor Points'!$A$2)*('Anchor Points'!$F$3-'Anchor Points'!$F$2),IF(A23&lt;=25,'Anchor Points'!$F$3+(A23-'Anchor Points'!$A$3)/('Anchor Points'!$A$4-'Anchor Points'!$A$3)*('Anchor Points'!$F$4-'Anchor Points'!$F$3),IF(A23&lt;=40,'Anchor Points'!$F$4+(A23-'Anchor Points'!$A$4)/('Anchor Points'!$A$5-'Anchor Points'!$A$4)*('Anchor Points'!$F$5-'Anchor Points'!$F$4),IF(A23&lt;=55,'Anchor Points'!$F$5+(A23-'Anchor Points'!$A$5)/('Anchor Points'!$A$6-'Anchor Points'!$A$5)*('Anchor Points'!$F$6-'Anchor Points'!$F$5),IF(A23&lt;=70,'Anchor Points'!$F$6+(A23-'Anchor Points'!$A$6)/('Anchor Points'!$A$7-'Anchor Points'!$A$6)*('Anchor Points'!$F$7-'Anchor Points'!$F$6),IF(A23&lt;=90,'Anchor Points'!$F$7+(A23-'Anchor Points'!$A$7)/('Anchor Points'!$A$8-'Anchor Points'!$A$7)*('Anchor Points'!$F$8-'Anchor Points'!$F$7),'Anchor Points'!$F$8+(A23-'Anchor Points'!$A$8)/('Anchor Points'!$A$9-'Anchor Points'!$A$8)*('Anchor Points'!$F$9-'Anchor Points'!$F$8)))))))</x:f>
        <x:v>0</x:v>
      </x:c>
      <x:c r="J23" s="28" t="n">
        <x:v>7</x:v>
      </x:c>
      <x:c r="K23" s="55" t="n">
        <x:v>8</x:v>
      </x:c>
      <x:c r="L23" s="28" t="n">
        <x:v>9</x:v>
      </x:c>
      <x:c r="M23" s="28" t="n">
        <x:v>60</x:v>
      </x:c>
      <x:c r="N23" s="55" t="n">
        <x:v>68</x:v>
      </x:c>
      <x:c r="O23" s="28" t="n">
        <x:v>75</x:v>
      </x:c>
      <x:c r="P23" s="28" t="n">
        <x:v>70</x:v>
      </x:c>
      <x:c r="Q23" s="55" t="n">
        <x:v>80</x:v>
      </x:c>
      <x:c r="R23" s="28" t="n">
        <x:v>90</x:v>
      </x:c>
      <x:c r="S23" s="28" t="n">
        <x:v>10</x:v>
      </x:c>
      <x:c r="T23" s="28" t="n">
        <x:v>13</x:v>
      </x:c>
      <x:c r="U23" s="55" t="n">
        <x:v>16</x:v>
      </x:c>
      <x:c r="V23" s="28" t="n">
        <x:v>180</x:v>
      </x:c>
      <x:c r="W23" s="55" t="n">
        <x:v>243</x:v>
      </x:c>
      <x:c r="X23" s="28" t="n">
        <x:v>306</x:v>
      </x:c>
    </x:row>
    <x:row r="24">
      <x:c r="A24" s="30" t="n">
        <x:v>22</x:v>
      </x:c>
      <x:c r="B24" s="11" t="str">
        <x:f>IF(A24&lt;=15,"Seedling",IF(A24&lt;=25,"Establishment",IF(A24&lt;=40,"Vegetative Growth",IF(A24&lt;=55,"Flowering &amp; Initial Fruit Set",IF(A24&lt;=80,"Fruit Enlargement",IF(A24&lt;=95,"Ripening","Harvesting"))))))</x:f>
        <x:v>Establishment</x:v>
      </x:c>
      <x:c r="C24" s="28" t="n">
        <x:f>IF(A24&lt;=15,'Anchor Points'!$B$2+(A24-'Anchor Points'!$A$2)/('Anchor Points'!$A$3-'Anchor Points'!$A$2)*('Anchor Points'!$B$3-'Anchor Points'!$B$2),IF(A24&lt;=25,'Anchor Points'!$B$3+(A24-'Anchor Points'!$A$3)/('Anchor Points'!$A$4-'Anchor Points'!$A$3)*('Anchor Points'!$B$4-'Anchor Points'!$B$3),IF(A24&lt;=40,'Anchor Points'!$B$4+(A24-'Anchor Points'!$A$4)/('Anchor Points'!$A$5-'Anchor Points'!$A$4)*('Anchor Points'!$B$5-'Anchor Points'!$B$4),IF(A24&lt;=55,'Anchor Points'!$B$5+(A24-'Anchor Points'!$A$5)/('Anchor Points'!$A$6-'Anchor Points'!$A$5)*('Anchor Points'!$B$6-'Anchor Points'!$B$5),IF(A24&lt;=70,'Anchor Points'!$B$6+(A24-'Anchor Points'!$A$6)/('Anchor Points'!$A$7-'Anchor Points'!$A$6)*('Anchor Points'!$B$7-'Anchor Points'!$B$6),IF(A24&lt;=90,'Anchor Points'!$B$7+(A24-'Anchor Points'!$A$7)/('Anchor Points'!$A$8-'Anchor Points'!$A$7)*('Anchor Points'!$B$8-'Anchor Points'!$B$7),'Anchor Points'!$B$8+(A24-'Anchor Points'!$A$8)/('Anchor Points'!$A$9-'Anchor Points'!$A$8)*('Anchor Points'!$B$9-'Anchor Points'!$B$8)))))))</x:f>
        <x:v>16.7</x:v>
      </x:c>
      <x:c r="D24" s="28" t="n">
        <x:f>IF(A24&lt;=15,'Anchor Points'!$C$2+(A24-'Anchor Points'!$A$2)/('Anchor Points'!$A$3-'Anchor Points'!$A$2)*('Anchor Points'!$C$3-'Anchor Points'!$C$2),IF(A24&lt;=25,'Anchor Points'!$C$3+(A24-'Anchor Points'!$A$3)/('Anchor Points'!$A$4-'Anchor Points'!$A$3)*('Anchor Points'!$C$4-'Anchor Points'!$C$3),IF(A24&lt;=40,'Anchor Points'!$C$4+(A24-'Anchor Points'!$A$4)/('Anchor Points'!$A$5-'Anchor Points'!$A$4)*('Anchor Points'!$C$5-'Anchor Points'!$C$4),IF(A24&lt;=55,'Anchor Points'!$C$5+(A24-'Anchor Points'!$A$5)/('Anchor Points'!$A$6-'Anchor Points'!$A$5)*('Anchor Points'!$C$6-'Anchor Points'!$C$5),IF(A24&lt;=70,'Anchor Points'!$C$6+(A24-'Anchor Points'!$A$6)/('Anchor Points'!$A$7-'Anchor Points'!$A$6)*('Anchor Points'!$C$7-'Anchor Points'!$C$6),IF(A24&lt;=90,'Anchor Points'!$C$7+(A24-'Anchor Points'!$A$7)/('Anchor Points'!$A$8-'Anchor Points'!$A$7)*('Anchor Points'!$C$8-'Anchor Points'!$C$7),'Anchor Points'!$C$8+(A24-'Anchor Points'!$A$8)/('Anchor Points'!$A$9-'Anchor Points'!$A$8)*('Anchor Points'!$C$9-'Anchor Points'!$C$8)))))))</x:f>
        <x:v>8.5</x:v>
      </x:c>
      <x:c r="E24" s="28" t="n">
        <x:f>IF(A24&lt;=15,'Anchor Points'!$D$2+(A24-'Anchor Points'!$A$2)/('Anchor Points'!$A$3-'Anchor Points'!$A$2)*('Anchor Points'!$D$3-'Anchor Points'!$D$2),IF(A24&lt;=25,'Anchor Points'!$D$3+(A24-'Anchor Points'!$A$3)/('Anchor Points'!$A$4-'Anchor Points'!$A$3)*('Anchor Points'!$D$4-'Anchor Points'!$D$3),IF(A24&lt;=40,'Anchor Points'!$D$4+(A24-'Anchor Points'!$A$4)/('Anchor Points'!$A$5-'Anchor Points'!$A$4)*('Anchor Points'!$D$5-'Anchor Points'!$D$4),IF(A24&lt;=55,'Anchor Points'!$D$5+(A24-'Anchor Points'!$A$5)/('Anchor Points'!$A$6-'Anchor Points'!$A$5)*('Anchor Points'!$D$6-'Anchor Points'!$D$5),IF(A24&lt;=70,'Anchor Points'!$D$6+(A24-'Anchor Points'!$A$6)/('Anchor Points'!$A$7-'Anchor Points'!$A$6)*('Anchor Points'!$D$7-'Anchor Points'!$D$6),IF(A24&lt;=90,'Anchor Points'!$D$7+(A24-'Anchor Points'!$A$7)/('Anchor Points'!$A$8-'Anchor Points'!$A$7)*('Anchor Points'!$D$8-'Anchor Points'!$D$7),'Anchor Points'!$D$8+(A24-'Anchor Points'!$A$8)/('Anchor Points'!$A$9-'Anchor Points'!$A$8)*('Anchor Points'!$D$9-'Anchor Points'!$D$8)))))))</x:f>
        <x:v>0</x:v>
      </x:c>
      <x:c r="F24" s="30" t="n">
        <x:f>ROUND(E24,0)</x:f>
        <x:v>0</x:v>
      </x:c>
      <x:c r="G24" s="28" t="n">
        <x:f>IF(A24&lt;=15,'Anchor Points'!$E$2+(A24-'Anchor Points'!$A$2)/('Anchor Points'!$A$3-'Anchor Points'!$A$2)*('Anchor Points'!$E$3-'Anchor Points'!$E$2),IF(A24&lt;=25,'Anchor Points'!$E$3+(A24-'Anchor Points'!$A$3)/('Anchor Points'!$A$4-'Anchor Points'!$A$3)*('Anchor Points'!$E$4-'Anchor Points'!$E$3),IF(A24&lt;=40,'Anchor Points'!$E$4+(A24-'Anchor Points'!$A$4)/('Anchor Points'!$A$5-'Anchor Points'!$A$4)*('Anchor Points'!$E$5-'Anchor Points'!$E$4),IF(A24&lt;=55,'Anchor Points'!$E$5+(A24-'Anchor Points'!$A$5)/('Anchor Points'!$A$6-'Anchor Points'!$A$5)*('Anchor Points'!$E$6-'Anchor Points'!$E$5),IF(A24&lt;=70,'Anchor Points'!$E$6+(A24-'Anchor Points'!$A$6)/('Anchor Points'!$A$7-'Anchor Points'!$A$6)*('Anchor Points'!$E$7-'Anchor Points'!$E$6),IF(A24&lt;=90,'Anchor Points'!$E$7+(A24-'Anchor Points'!$A$7)/('Anchor Points'!$A$8-'Anchor Points'!$A$7)*('Anchor Points'!$E$8-'Anchor Points'!$E$7),'Anchor Points'!$E$8+(A24-'Anchor Points'!$A$8)/('Anchor Points'!$A$9-'Anchor Points'!$A$8)*('Anchor Points'!$E$9-'Anchor Points'!$E$8)))))))</x:f>
        <x:v>0</x:v>
      </x:c>
      <x:c r="H24" s="30" t="n">
        <x:f>ROUND(G24,0)</x:f>
        <x:v>0</x:v>
      </x:c>
      <x:c r="I24" s="28" t="n">
        <x:f>IF(A24&lt;=15,'Anchor Points'!$F$2+(A24-'Anchor Points'!$A$2)/('Anchor Points'!$A$3-'Anchor Points'!$A$2)*('Anchor Points'!$F$3-'Anchor Points'!$F$2),IF(A24&lt;=25,'Anchor Points'!$F$3+(A24-'Anchor Points'!$A$3)/('Anchor Points'!$A$4-'Anchor Points'!$A$3)*('Anchor Points'!$F$4-'Anchor Points'!$F$3),IF(A24&lt;=40,'Anchor Points'!$F$4+(A24-'Anchor Points'!$A$4)/('Anchor Points'!$A$5-'Anchor Points'!$A$4)*('Anchor Points'!$F$5-'Anchor Points'!$F$4),IF(A24&lt;=55,'Anchor Points'!$F$5+(A24-'Anchor Points'!$A$5)/('Anchor Points'!$A$6-'Anchor Points'!$A$5)*('Anchor Points'!$F$6-'Anchor Points'!$F$5),IF(A24&lt;=70,'Anchor Points'!$F$6+(A24-'Anchor Points'!$A$6)/('Anchor Points'!$A$7-'Anchor Points'!$A$6)*('Anchor Points'!$F$7-'Anchor Points'!$F$6),IF(A24&lt;=90,'Anchor Points'!$F$7+(A24-'Anchor Points'!$A$7)/('Anchor Points'!$A$8-'Anchor Points'!$A$7)*('Anchor Points'!$F$8-'Anchor Points'!$F$7),'Anchor Points'!$F$8+(A24-'Anchor Points'!$A$8)/('Anchor Points'!$A$9-'Anchor Points'!$A$8)*('Anchor Points'!$F$9-'Anchor Points'!$F$8)))))))</x:f>
        <x:v>0</x:v>
      </x:c>
      <x:c r="J24" s="28" t="n">
        <x:v>7</x:v>
      </x:c>
      <x:c r="K24" s="55" t="n">
        <x:v>8</x:v>
      </x:c>
      <x:c r="L24" s="28" t="n">
        <x:v>9</x:v>
      </x:c>
      <x:c r="M24" s="28" t="n">
        <x:v>60</x:v>
      </x:c>
      <x:c r="N24" s="55" t="n">
        <x:v>68</x:v>
      </x:c>
      <x:c r="O24" s="28" t="n">
        <x:v>75</x:v>
      </x:c>
      <x:c r="P24" s="28" t="n">
        <x:v>70</x:v>
      </x:c>
      <x:c r="Q24" s="55" t="n">
        <x:v>80</x:v>
      </x:c>
      <x:c r="R24" s="28" t="n">
        <x:v>90</x:v>
      </x:c>
      <x:c r="S24" s="28" t="n">
        <x:v>10</x:v>
      </x:c>
      <x:c r="T24" s="28" t="n">
        <x:v>13</x:v>
      </x:c>
      <x:c r="U24" s="55" t="n">
        <x:v>16</x:v>
      </x:c>
      <x:c r="V24" s="28" t="n">
        <x:v>190</x:v>
      </x:c>
      <x:c r="W24" s="55" t="n">
        <x:v>256</x:v>
      </x:c>
      <x:c r="X24" s="28" t="n">
        <x:v>322</x:v>
      </x:c>
    </x:row>
    <x:row r="25">
      <x:c r="A25" s="30" t="n">
        <x:v>23</x:v>
      </x:c>
      <x:c r="B25" s="11" t="str">
        <x:f>IF(A25&lt;=15,"Seedling",IF(A25&lt;=25,"Establishment",IF(A25&lt;=40,"Vegetative Growth",IF(A25&lt;=55,"Flowering &amp; Initial Fruit Set",IF(A25&lt;=80,"Fruit Enlargement",IF(A25&lt;=95,"Ripening","Harvesting"))))))</x:f>
        <x:v>Establishment</x:v>
      </x:c>
      <x:c r="C25" s="28" t="n">
        <x:f>IF(A25&lt;=15,'Anchor Points'!$B$2+(A25-'Anchor Points'!$A$2)/('Anchor Points'!$A$3-'Anchor Points'!$A$2)*('Anchor Points'!$B$3-'Anchor Points'!$B$2),IF(A25&lt;=25,'Anchor Points'!$B$3+(A25-'Anchor Points'!$A$3)/('Anchor Points'!$A$4-'Anchor Points'!$A$3)*('Anchor Points'!$B$4-'Anchor Points'!$B$3),IF(A25&lt;=40,'Anchor Points'!$B$4+(A25-'Anchor Points'!$A$4)/('Anchor Points'!$A$5-'Anchor Points'!$A$4)*('Anchor Points'!$B$5-'Anchor Points'!$B$4),IF(A25&lt;=55,'Anchor Points'!$B$5+(A25-'Anchor Points'!$A$5)/('Anchor Points'!$A$6-'Anchor Points'!$A$5)*('Anchor Points'!$B$6-'Anchor Points'!$B$5),IF(A25&lt;=70,'Anchor Points'!$B$6+(A25-'Anchor Points'!$A$6)/('Anchor Points'!$A$7-'Anchor Points'!$A$6)*('Anchor Points'!$B$7-'Anchor Points'!$B$6),IF(A25&lt;=90,'Anchor Points'!$B$7+(A25-'Anchor Points'!$A$7)/('Anchor Points'!$A$8-'Anchor Points'!$A$7)*('Anchor Points'!$B$8-'Anchor Points'!$B$7),'Anchor Points'!$B$8+(A25-'Anchor Points'!$A$8)/('Anchor Points'!$A$9-'Anchor Points'!$A$8)*('Anchor Points'!$B$9-'Anchor Points'!$B$8)))))))</x:f>
        <x:v>17.8</x:v>
      </x:c>
      <x:c r="D25" s="28" t="n">
        <x:f>IF(A25&lt;=15,'Anchor Points'!$C$2+(A25-'Anchor Points'!$A$2)/('Anchor Points'!$A$3-'Anchor Points'!$A$2)*('Anchor Points'!$C$3-'Anchor Points'!$C$2),IF(A25&lt;=25,'Anchor Points'!$C$3+(A25-'Anchor Points'!$A$3)/('Anchor Points'!$A$4-'Anchor Points'!$A$3)*('Anchor Points'!$C$4-'Anchor Points'!$C$3),IF(A25&lt;=40,'Anchor Points'!$C$4+(A25-'Anchor Points'!$A$4)/('Anchor Points'!$A$5-'Anchor Points'!$A$4)*('Anchor Points'!$C$5-'Anchor Points'!$C$4),IF(A25&lt;=55,'Anchor Points'!$C$5+(A25-'Anchor Points'!$A$5)/('Anchor Points'!$A$6-'Anchor Points'!$A$5)*('Anchor Points'!$C$6-'Anchor Points'!$C$5),IF(A25&lt;=70,'Anchor Points'!$C$6+(A25-'Anchor Points'!$A$6)/('Anchor Points'!$A$7-'Anchor Points'!$A$6)*('Anchor Points'!$C$7-'Anchor Points'!$C$6),IF(A25&lt;=90,'Anchor Points'!$C$7+(A25-'Anchor Points'!$A$7)/('Anchor Points'!$A$8-'Anchor Points'!$A$7)*('Anchor Points'!$C$8-'Anchor Points'!$C$7),'Anchor Points'!$C$8+(A25-'Anchor Points'!$A$8)/('Anchor Points'!$A$9-'Anchor Points'!$A$8)*('Anchor Points'!$C$9-'Anchor Points'!$C$8)))))))</x:f>
        <x:v>9</x:v>
      </x:c>
      <x:c r="E25" s="28" t="n">
        <x:f>IF(A25&lt;=15,'Anchor Points'!$D$2+(A25-'Anchor Points'!$A$2)/('Anchor Points'!$A$3-'Anchor Points'!$A$2)*('Anchor Points'!$D$3-'Anchor Points'!$D$2),IF(A25&lt;=25,'Anchor Points'!$D$3+(A25-'Anchor Points'!$A$3)/('Anchor Points'!$A$4-'Anchor Points'!$A$3)*('Anchor Points'!$D$4-'Anchor Points'!$D$3),IF(A25&lt;=40,'Anchor Points'!$D$4+(A25-'Anchor Points'!$A$4)/('Anchor Points'!$A$5-'Anchor Points'!$A$4)*('Anchor Points'!$D$5-'Anchor Points'!$D$4),IF(A25&lt;=55,'Anchor Points'!$D$5+(A25-'Anchor Points'!$A$5)/('Anchor Points'!$A$6-'Anchor Points'!$A$5)*('Anchor Points'!$D$6-'Anchor Points'!$D$5),IF(A25&lt;=70,'Anchor Points'!$D$6+(A25-'Anchor Points'!$A$6)/('Anchor Points'!$A$7-'Anchor Points'!$A$6)*('Anchor Points'!$D$7-'Anchor Points'!$D$6),IF(A25&lt;=90,'Anchor Points'!$D$7+(A25-'Anchor Points'!$A$7)/('Anchor Points'!$A$8-'Anchor Points'!$A$7)*('Anchor Points'!$D$8-'Anchor Points'!$D$7),'Anchor Points'!$D$8+(A25-'Anchor Points'!$A$8)/('Anchor Points'!$A$9-'Anchor Points'!$A$8)*('Anchor Points'!$D$9-'Anchor Points'!$D$8)))))))</x:f>
        <x:v>0</x:v>
      </x:c>
      <x:c r="F25" s="30" t="n">
        <x:f>ROUND(E25,0)</x:f>
        <x:v>0</x:v>
      </x:c>
      <x:c r="G25" s="28" t="n">
        <x:f>IF(A25&lt;=15,'Anchor Points'!$E$2+(A25-'Anchor Points'!$A$2)/('Anchor Points'!$A$3-'Anchor Points'!$A$2)*('Anchor Points'!$E$3-'Anchor Points'!$E$2),IF(A25&lt;=25,'Anchor Points'!$E$3+(A25-'Anchor Points'!$A$3)/('Anchor Points'!$A$4-'Anchor Points'!$A$3)*('Anchor Points'!$E$4-'Anchor Points'!$E$3),IF(A25&lt;=40,'Anchor Points'!$E$4+(A25-'Anchor Points'!$A$4)/('Anchor Points'!$A$5-'Anchor Points'!$A$4)*('Anchor Points'!$E$5-'Anchor Points'!$E$4),IF(A25&lt;=55,'Anchor Points'!$E$5+(A25-'Anchor Points'!$A$5)/('Anchor Points'!$A$6-'Anchor Points'!$A$5)*('Anchor Points'!$E$6-'Anchor Points'!$E$5),IF(A25&lt;=70,'Anchor Points'!$E$6+(A25-'Anchor Points'!$A$6)/('Anchor Points'!$A$7-'Anchor Points'!$A$6)*('Anchor Points'!$E$7-'Anchor Points'!$E$6),IF(A25&lt;=90,'Anchor Points'!$E$7+(A25-'Anchor Points'!$A$7)/('Anchor Points'!$A$8-'Anchor Points'!$A$7)*('Anchor Points'!$E$8-'Anchor Points'!$E$7),'Anchor Points'!$E$8+(A25-'Anchor Points'!$A$8)/('Anchor Points'!$A$9-'Anchor Points'!$A$8)*('Anchor Points'!$E$9-'Anchor Points'!$E$8)))))))</x:f>
        <x:v>0</x:v>
      </x:c>
      <x:c r="H25" s="30" t="n">
        <x:f>ROUND(G25,0)</x:f>
        <x:v>0</x:v>
      </x:c>
      <x:c r="I25" s="28" t="n">
        <x:f>IF(A25&lt;=15,'Anchor Points'!$F$2+(A25-'Anchor Points'!$A$2)/('Anchor Points'!$A$3-'Anchor Points'!$A$2)*('Anchor Points'!$F$3-'Anchor Points'!$F$2),IF(A25&lt;=25,'Anchor Points'!$F$3+(A25-'Anchor Points'!$A$3)/('Anchor Points'!$A$4-'Anchor Points'!$A$3)*('Anchor Points'!$F$4-'Anchor Points'!$F$3),IF(A25&lt;=40,'Anchor Points'!$F$4+(A25-'Anchor Points'!$A$4)/('Anchor Points'!$A$5-'Anchor Points'!$A$4)*('Anchor Points'!$F$5-'Anchor Points'!$F$4),IF(A25&lt;=55,'Anchor Points'!$F$5+(A25-'Anchor Points'!$A$5)/('Anchor Points'!$A$6-'Anchor Points'!$A$5)*('Anchor Points'!$F$6-'Anchor Points'!$F$5),IF(A25&lt;=70,'Anchor Points'!$F$6+(A25-'Anchor Points'!$A$6)/('Anchor Points'!$A$7-'Anchor Points'!$A$6)*('Anchor Points'!$F$7-'Anchor Points'!$F$6),IF(A25&lt;=90,'Anchor Points'!$F$7+(A25-'Anchor Points'!$A$7)/('Anchor Points'!$A$8-'Anchor Points'!$A$7)*('Anchor Points'!$F$8-'Anchor Points'!$F$7),'Anchor Points'!$F$8+(A25-'Anchor Points'!$A$8)/('Anchor Points'!$A$9-'Anchor Points'!$A$8)*('Anchor Points'!$F$9-'Anchor Points'!$F$8)))))))</x:f>
        <x:v>0</x:v>
      </x:c>
      <x:c r="J25" s="28" t="n">
        <x:v>7</x:v>
      </x:c>
      <x:c r="K25" s="56" t="n">
        <x:v>8</x:v>
      </x:c>
      <x:c r="L25" s="52" t="n">
        <x:v>9</x:v>
      </x:c>
      <x:c r="M25" s="52" t="n">
        <x:v>60</x:v>
      </x:c>
      <x:c r="N25" s="56" t="n">
        <x:v>68</x:v>
      </x:c>
      <x:c r="O25" s="28" t="n">
        <x:v>75</x:v>
      </x:c>
      <x:c r="P25" s="28" t="n">
        <x:v>70</x:v>
      </x:c>
      <x:c r="Q25" s="55" t="n">
        <x:v>80</x:v>
      </x:c>
      <x:c r="R25" s="28" t="n">
        <x:v>90</x:v>
      </x:c>
      <x:c r="S25" s="28" t="n">
        <x:v>10</x:v>
      </x:c>
      <x:c r="T25" s="28" t="n">
        <x:v>13</x:v>
      </x:c>
      <x:c r="U25" s="55" t="n">
        <x:v>16</x:v>
      </x:c>
      <x:c r="V25" s="28" t="n">
        <x:v>200</x:v>
      </x:c>
      <x:c r="W25" s="55" t="n">
        <x:v>269</x:v>
      </x:c>
      <x:c r="X25" s="28" t="n">
        <x:v>338</x:v>
      </x:c>
    </x:row>
    <x:row r="26">
      <x:c r="A26" s="30" t="n">
        <x:v>24</x:v>
      </x:c>
      <x:c r="B26" s="11" t="str">
        <x:f>IF(A26&lt;=15,"Seedling",IF(A26&lt;=25,"Establishment",IF(A26&lt;=40,"Vegetative Growth",IF(A26&lt;=55,"Flowering &amp; Initial Fruit Set",IF(A26&lt;=80,"Fruit Enlargement",IF(A26&lt;=95,"Ripening","Harvesting"))))))</x:f>
        <x:v>Establishment</x:v>
      </x:c>
      <x:c r="C26" s="28" t="n">
        <x:f>IF(A26&lt;=15,'Anchor Points'!$B$2+(A26-'Anchor Points'!$A$2)/('Anchor Points'!$A$3-'Anchor Points'!$A$2)*('Anchor Points'!$B$3-'Anchor Points'!$B$2),IF(A26&lt;=25,'Anchor Points'!$B$3+(A26-'Anchor Points'!$A$3)/('Anchor Points'!$A$4-'Anchor Points'!$A$3)*('Anchor Points'!$B$4-'Anchor Points'!$B$3),IF(A26&lt;=40,'Anchor Points'!$B$4+(A26-'Anchor Points'!$A$4)/('Anchor Points'!$A$5-'Anchor Points'!$A$4)*('Anchor Points'!$B$5-'Anchor Points'!$B$4),IF(A26&lt;=55,'Anchor Points'!$B$5+(A26-'Anchor Points'!$A$5)/('Anchor Points'!$A$6-'Anchor Points'!$A$5)*('Anchor Points'!$B$6-'Anchor Points'!$B$5),IF(A26&lt;=70,'Anchor Points'!$B$6+(A26-'Anchor Points'!$A$6)/('Anchor Points'!$A$7-'Anchor Points'!$A$6)*('Anchor Points'!$B$7-'Anchor Points'!$B$6),IF(A26&lt;=90,'Anchor Points'!$B$7+(A26-'Anchor Points'!$A$7)/('Anchor Points'!$A$8-'Anchor Points'!$A$7)*('Anchor Points'!$B$8-'Anchor Points'!$B$7),'Anchor Points'!$B$8+(A26-'Anchor Points'!$A$8)/('Anchor Points'!$A$9-'Anchor Points'!$A$8)*('Anchor Points'!$B$9-'Anchor Points'!$B$8)))))))</x:f>
        <x:v>18.9</x:v>
      </x:c>
      <x:c r="D26" s="28" t="n">
        <x:f>IF(A26&lt;=15,'Anchor Points'!$C$2+(A26-'Anchor Points'!$A$2)/('Anchor Points'!$A$3-'Anchor Points'!$A$2)*('Anchor Points'!$C$3-'Anchor Points'!$C$2),IF(A26&lt;=25,'Anchor Points'!$C$3+(A26-'Anchor Points'!$A$3)/('Anchor Points'!$A$4-'Anchor Points'!$A$3)*('Anchor Points'!$C$4-'Anchor Points'!$C$3),IF(A26&lt;=40,'Anchor Points'!$C$4+(A26-'Anchor Points'!$A$4)/('Anchor Points'!$A$5-'Anchor Points'!$A$4)*('Anchor Points'!$C$5-'Anchor Points'!$C$4),IF(A26&lt;=55,'Anchor Points'!$C$5+(A26-'Anchor Points'!$A$5)/('Anchor Points'!$A$6-'Anchor Points'!$A$5)*('Anchor Points'!$C$6-'Anchor Points'!$C$5),IF(A26&lt;=70,'Anchor Points'!$C$6+(A26-'Anchor Points'!$A$6)/('Anchor Points'!$A$7-'Anchor Points'!$A$6)*('Anchor Points'!$C$7-'Anchor Points'!$C$6),IF(A26&lt;=90,'Anchor Points'!$C$7+(A26-'Anchor Points'!$A$7)/('Anchor Points'!$A$8-'Anchor Points'!$A$7)*('Anchor Points'!$C$8-'Anchor Points'!$C$7),'Anchor Points'!$C$8+(A26-'Anchor Points'!$A$8)/('Anchor Points'!$A$9-'Anchor Points'!$A$8)*('Anchor Points'!$C$9-'Anchor Points'!$C$8)))))))</x:f>
        <x:v>9.5</x:v>
      </x:c>
      <x:c r="E26" s="28" t="n">
        <x:f>IF(A26&lt;=15,'Anchor Points'!$D$2+(A26-'Anchor Points'!$A$2)/('Anchor Points'!$A$3-'Anchor Points'!$A$2)*('Anchor Points'!$D$3-'Anchor Points'!$D$2),IF(A26&lt;=25,'Anchor Points'!$D$3+(A26-'Anchor Points'!$A$3)/('Anchor Points'!$A$4-'Anchor Points'!$A$3)*('Anchor Points'!$D$4-'Anchor Points'!$D$3),IF(A26&lt;=40,'Anchor Points'!$D$4+(A26-'Anchor Points'!$A$4)/('Anchor Points'!$A$5-'Anchor Points'!$A$4)*('Anchor Points'!$D$5-'Anchor Points'!$D$4),IF(A26&lt;=55,'Anchor Points'!$D$5+(A26-'Anchor Points'!$A$5)/('Anchor Points'!$A$6-'Anchor Points'!$A$5)*('Anchor Points'!$D$6-'Anchor Points'!$D$5),IF(A26&lt;=70,'Anchor Points'!$D$6+(A26-'Anchor Points'!$A$6)/('Anchor Points'!$A$7-'Anchor Points'!$A$6)*('Anchor Points'!$D$7-'Anchor Points'!$D$6),IF(A26&lt;=90,'Anchor Points'!$D$7+(A26-'Anchor Points'!$A$7)/('Anchor Points'!$A$8-'Anchor Points'!$A$7)*('Anchor Points'!$D$8-'Anchor Points'!$D$7),'Anchor Points'!$D$8+(A26-'Anchor Points'!$A$8)/('Anchor Points'!$A$9-'Anchor Points'!$A$8)*('Anchor Points'!$D$9-'Anchor Points'!$D$8)))))))</x:f>
        <x:v>0</x:v>
      </x:c>
      <x:c r="F26" s="30" t="n">
        <x:f>ROUND(E26,0)</x:f>
        <x:v>0</x:v>
      </x:c>
      <x:c r="G26" s="28" t="n">
        <x:f>IF(A26&lt;=15,'Anchor Points'!$E$2+(A26-'Anchor Points'!$A$2)/('Anchor Points'!$A$3-'Anchor Points'!$A$2)*('Anchor Points'!$E$3-'Anchor Points'!$E$2),IF(A26&lt;=25,'Anchor Points'!$E$3+(A26-'Anchor Points'!$A$3)/('Anchor Points'!$A$4-'Anchor Points'!$A$3)*('Anchor Points'!$E$4-'Anchor Points'!$E$3),IF(A26&lt;=40,'Anchor Points'!$E$4+(A26-'Anchor Points'!$A$4)/('Anchor Points'!$A$5-'Anchor Points'!$A$4)*('Anchor Points'!$E$5-'Anchor Points'!$E$4),IF(A26&lt;=55,'Anchor Points'!$E$5+(A26-'Anchor Points'!$A$5)/('Anchor Points'!$A$6-'Anchor Points'!$A$5)*('Anchor Points'!$E$6-'Anchor Points'!$E$5),IF(A26&lt;=70,'Anchor Points'!$E$6+(A26-'Anchor Points'!$A$6)/('Anchor Points'!$A$7-'Anchor Points'!$A$6)*('Anchor Points'!$E$7-'Anchor Points'!$E$6),IF(A26&lt;=90,'Anchor Points'!$E$7+(A26-'Anchor Points'!$A$7)/('Anchor Points'!$A$8-'Anchor Points'!$A$7)*('Anchor Points'!$E$8-'Anchor Points'!$E$7),'Anchor Points'!$E$8+(A26-'Anchor Points'!$A$8)/('Anchor Points'!$A$9-'Anchor Points'!$A$8)*('Anchor Points'!$E$9-'Anchor Points'!$E$8)))))))</x:f>
        <x:v>0</x:v>
      </x:c>
      <x:c r="H26" s="30" t="n">
        <x:f>ROUND(G26,0)</x:f>
        <x:v>0</x:v>
      </x:c>
      <x:c r="I26" s="28" t="n">
        <x:f>IF(A26&lt;=15,'Anchor Points'!$F$2+(A26-'Anchor Points'!$A$2)/('Anchor Points'!$A$3-'Anchor Points'!$A$2)*('Anchor Points'!$F$3-'Anchor Points'!$F$2),IF(A26&lt;=25,'Anchor Points'!$F$3+(A26-'Anchor Points'!$A$3)/('Anchor Points'!$A$4-'Anchor Points'!$A$3)*('Anchor Points'!$F$4-'Anchor Points'!$F$3),IF(A26&lt;=40,'Anchor Points'!$F$4+(A26-'Anchor Points'!$A$4)/('Anchor Points'!$A$5-'Anchor Points'!$A$4)*('Anchor Points'!$F$5-'Anchor Points'!$F$4),IF(A26&lt;=55,'Anchor Points'!$F$5+(A26-'Anchor Points'!$A$5)/('Anchor Points'!$A$6-'Anchor Points'!$A$5)*('Anchor Points'!$F$6-'Anchor Points'!$F$5),IF(A26&lt;=70,'Anchor Points'!$F$6+(A26-'Anchor Points'!$A$6)/('Anchor Points'!$A$7-'Anchor Points'!$A$6)*('Anchor Points'!$F$7-'Anchor Points'!$F$6),IF(A26&lt;=90,'Anchor Points'!$F$7+(A26-'Anchor Points'!$A$7)/('Anchor Points'!$A$8-'Anchor Points'!$A$7)*('Anchor Points'!$F$8-'Anchor Points'!$F$7),'Anchor Points'!$F$8+(A26-'Anchor Points'!$A$8)/('Anchor Points'!$A$9-'Anchor Points'!$A$8)*('Anchor Points'!$F$9-'Anchor Points'!$F$8)))))))</x:f>
        <x:v>0</x:v>
      </x:c>
      <x:c r="J26" s="28" t="n">
        <x:v>7</x:v>
      </x:c>
      <x:c r="K26" s="56" t="n">
        <x:v>8</x:v>
      </x:c>
      <x:c r="L26" s="52" t="n">
        <x:v>9</x:v>
      </x:c>
      <x:c r="M26" s="52" t="n">
        <x:v>60</x:v>
      </x:c>
      <x:c r="N26" s="56" t="n">
        <x:v>68</x:v>
      </x:c>
      <x:c r="O26" s="28" t="n">
        <x:v>75</x:v>
      </x:c>
      <x:c r="P26" s="28" t="n">
        <x:v>70</x:v>
      </x:c>
      <x:c r="Q26" s="55" t="n">
        <x:v>80</x:v>
      </x:c>
      <x:c r="R26" s="28" t="n">
        <x:v>90</x:v>
      </x:c>
      <x:c r="S26" s="28" t="n">
        <x:v>10</x:v>
      </x:c>
      <x:c r="T26" s="28" t="n">
        <x:v>13</x:v>
      </x:c>
      <x:c r="U26" s="55" t="n">
        <x:v>16</x:v>
      </x:c>
      <x:c r="V26" s="28" t="n">
        <x:v>210</x:v>
      </x:c>
      <x:c r="W26" s="55" t="n">
        <x:v>282</x:v>
      </x:c>
      <x:c r="X26" s="28" t="n">
        <x:v>354</x:v>
      </x:c>
    </x:row>
    <x:row r="27">
      <x:c r="A27" s="30" t="n">
        <x:v>25</x:v>
      </x:c>
      <x:c r="B27" s="11" t="str">
        <x:f>IF(A27&lt;=15,"Seedling",IF(A27&lt;=25,"Establishment",IF(A27&lt;=40,"Vegetative Growth",IF(A27&lt;=55,"Flowering &amp; Initial Fruit Set",IF(A27&lt;=80,"Fruit Enlargement",IF(A27&lt;=95,"Ripening","Harvesting"))))))</x:f>
        <x:v>Establishment</x:v>
      </x:c>
      <x:c r="C27" s="28" t="n">
        <x:f>IF(A27&lt;=15,'Anchor Points'!$B$2+(A27-'Anchor Points'!$A$2)/('Anchor Points'!$A$3-'Anchor Points'!$A$2)*('Anchor Points'!$B$3-'Anchor Points'!$B$2),IF(A27&lt;=25,'Anchor Points'!$B$3+(A27-'Anchor Points'!$A$3)/('Anchor Points'!$A$4-'Anchor Points'!$A$3)*('Anchor Points'!$B$4-'Anchor Points'!$B$3),IF(A27&lt;=40,'Anchor Points'!$B$4+(A27-'Anchor Points'!$A$4)/('Anchor Points'!$A$5-'Anchor Points'!$A$4)*('Anchor Points'!$B$5-'Anchor Points'!$B$4),IF(A27&lt;=55,'Anchor Points'!$B$5+(A27-'Anchor Points'!$A$5)/('Anchor Points'!$A$6-'Anchor Points'!$A$5)*('Anchor Points'!$B$6-'Anchor Points'!$B$5),IF(A27&lt;=70,'Anchor Points'!$B$6+(A27-'Anchor Points'!$A$6)/('Anchor Points'!$A$7-'Anchor Points'!$A$6)*('Anchor Points'!$B$7-'Anchor Points'!$B$6),IF(A27&lt;=90,'Anchor Points'!$B$7+(A27-'Anchor Points'!$A$7)/('Anchor Points'!$A$8-'Anchor Points'!$A$7)*('Anchor Points'!$B$8-'Anchor Points'!$B$7),'Anchor Points'!$B$8+(A27-'Anchor Points'!$A$8)/('Anchor Points'!$A$9-'Anchor Points'!$A$8)*('Anchor Points'!$B$9-'Anchor Points'!$B$8)))))))</x:f>
        <x:v>20</x:v>
      </x:c>
      <x:c r="D27" s="28" t="n">
        <x:f>IF(A27&lt;=15,'Anchor Points'!$C$2+(A27-'Anchor Points'!$A$2)/('Anchor Points'!$A$3-'Anchor Points'!$A$2)*('Anchor Points'!$C$3-'Anchor Points'!$C$2),IF(A27&lt;=25,'Anchor Points'!$C$3+(A27-'Anchor Points'!$A$3)/('Anchor Points'!$A$4-'Anchor Points'!$A$3)*('Anchor Points'!$C$4-'Anchor Points'!$C$3),IF(A27&lt;=40,'Anchor Points'!$C$4+(A27-'Anchor Points'!$A$4)/('Anchor Points'!$A$5-'Anchor Points'!$A$4)*('Anchor Points'!$C$5-'Anchor Points'!$C$4),IF(A27&lt;=55,'Anchor Points'!$C$5+(A27-'Anchor Points'!$A$5)/('Anchor Points'!$A$6-'Anchor Points'!$A$5)*('Anchor Points'!$C$6-'Anchor Points'!$C$5),IF(A27&lt;=70,'Anchor Points'!$C$6+(A27-'Anchor Points'!$A$6)/('Anchor Points'!$A$7-'Anchor Points'!$A$6)*('Anchor Points'!$C$7-'Anchor Points'!$C$6),IF(A27&lt;=90,'Anchor Points'!$C$7+(A27-'Anchor Points'!$A$7)/('Anchor Points'!$A$8-'Anchor Points'!$A$7)*('Anchor Points'!$C$8-'Anchor Points'!$C$7),'Anchor Points'!$C$8+(A27-'Anchor Points'!$A$8)/('Anchor Points'!$A$9-'Anchor Points'!$A$8)*('Anchor Points'!$C$9-'Anchor Points'!$C$8)))))))</x:f>
        <x:v>10</x:v>
      </x:c>
      <x:c r="E27" s="28" t="n">
        <x:f>IF(A27&lt;=15,'Anchor Points'!$D$2+(A27-'Anchor Points'!$A$2)/('Anchor Points'!$A$3-'Anchor Points'!$A$2)*('Anchor Points'!$D$3-'Anchor Points'!$D$2),IF(A27&lt;=25,'Anchor Points'!$D$3+(A27-'Anchor Points'!$A$3)/('Anchor Points'!$A$4-'Anchor Points'!$A$3)*('Anchor Points'!$D$4-'Anchor Points'!$D$3),IF(A27&lt;=40,'Anchor Points'!$D$4+(A27-'Anchor Points'!$A$4)/('Anchor Points'!$A$5-'Anchor Points'!$A$4)*('Anchor Points'!$D$5-'Anchor Points'!$D$4),IF(A27&lt;=55,'Anchor Points'!$D$5+(A27-'Anchor Points'!$A$5)/('Anchor Points'!$A$6-'Anchor Points'!$A$5)*('Anchor Points'!$D$6-'Anchor Points'!$D$5),IF(A27&lt;=70,'Anchor Points'!$D$6+(A27-'Anchor Points'!$A$6)/('Anchor Points'!$A$7-'Anchor Points'!$A$6)*('Anchor Points'!$D$7-'Anchor Points'!$D$6),IF(A27&lt;=90,'Anchor Points'!$D$7+(A27-'Anchor Points'!$A$7)/('Anchor Points'!$A$8-'Anchor Points'!$A$7)*('Anchor Points'!$D$8-'Anchor Points'!$D$7),'Anchor Points'!$D$8+(A27-'Anchor Points'!$A$8)/('Anchor Points'!$A$9-'Anchor Points'!$A$8)*('Anchor Points'!$D$9-'Anchor Points'!$D$8)))))))</x:f>
        <x:v>0</x:v>
      </x:c>
      <x:c r="F27" s="30" t="n">
        <x:f>ROUND(E27,0)</x:f>
        <x:v>0</x:v>
      </x:c>
      <x:c r="G27" s="28" t="n">
        <x:f>IF(A27&lt;=15,'Anchor Points'!$E$2+(A27-'Anchor Points'!$A$2)/('Anchor Points'!$A$3-'Anchor Points'!$A$2)*('Anchor Points'!$E$3-'Anchor Points'!$E$2),IF(A27&lt;=25,'Anchor Points'!$E$3+(A27-'Anchor Points'!$A$3)/('Anchor Points'!$A$4-'Anchor Points'!$A$3)*('Anchor Points'!$E$4-'Anchor Points'!$E$3),IF(A27&lt;=40,'Anchor Points'!$E$4+(A27-'Anchor Points'!$A$4)/('Anchor Points'!$A$5-'Anchor Points'!$A$4)*('Anchor Points'!$E$5-'Anchor Points'!$E$4),IF(A27&lt;=55,'Anchor Points'!$E$5+(A27-'Anchor Points'!$A$5)/('Anchor Points'!$A$6-'Anchor Points'!$A$5)*('Anchor Points'!$E$6-'Anchor Points'!$E$5),IF(A27&lt;=70,'Anchor Points'!$E$6+(A27-'Anchor Points'!$A$6)/('Anchor Points'!$A$7-'Anchor Points'!$A$6)*('Anchor Points'!$E$7-'Anchor Points'!$E$6),IF(A27&lt;=90,'Anchor Points'!$E$7+(A27-'Anchor Points'!$A$7)/('Anchor Points'!$A$8-'Anchor Points'!$A$7)*('Anchor Points'!$E$8-'Anchor Points'!$E$7),'Anchor Points'!$E$8+(A27-'Anchor Points'!$A$8)/('Anchor Points'!$A$9-'Anchor Points'!$A$8)*('Anchor Points'!$E$9-'Anchor Points'!$E$8)))))))</x:f>
        <x:v>0</x:v>
      </x:c>
      <x:c r="H27" s="30" t="n">
        <x:f>ROUND(G27,0)</x:f>
        <x:v>0</x:v>
      </x:c>
      <x:c r="I27" s="28" t="n">
        <x:f>IF(A27&lt;=15,'Anchor Points'!$F$2+(A27-'Anchor Points'!$A$2)/('Anchor Points'!$A$3-'Anchor Points'!$A$2)*('Anchor Points'!$F$3-'Anchor Points'!$F$2),IF(A27&lt;=25,'Anchor Points'!$F$3+(A27-'Anchor Points'!$A$3)/('Anchor Points'!$A$4-'Anchor Points'!$A$3)*('Anchor Points'!$F$4-'Anchor Points'!$F$3),IF(A27&lt;=40,'Anchor Points'!$F$4+(A27-'Anchor Points'!$A$4)/('Anchor Points'!$A$5-'Anchor Points'!$A$4)*('Anchor Points'!$F$5-'Anchor Points'!$F$4),IF(A27&lt;=55,'Anchor Points'!$F$5+(A27-'Anchor Points'!$A$5)/('Anchor Points'!$A$6-'Anchor Points'!$A$5)*('Anchor Points'!$F$6-'Anchor Points'!$F$5),IF(A27&lt;=70,'Anchor Points'!$F$6+(A27-'Anchor Points'!$A$6)/('Anchor Points'!$A$7-'Anchor Points'!$A$6)*('Anchor Points'!$F$7-'Anchor Points'!$F$6),IF(A27&lt;=90,'Anchor Points'!$F$7+(A27-'Anchor Points'!$A$7)/('Anchor Points'!$A$8-'Anchor Points'!$A$7)*('Anchor Points'!$F$8-'Anchor Points'!$F$7),'Anchor Points'!$F$8+(A27-'Anchor Points'!$A$8)/('Anchor Points'!$A$9-'Anchor Points'!$A$8)*('Anchor Points'!$F$9-'Anchor Points'!$F$8)))))))</x:f>
        <x:v>0</x:v>
      </x:c>
      <x:c r="J27" s="28" t="n">
        <x:v>7</x:v>
      </x:c>
      <x:c r="K27" s="56" t="n">
        <x:v>8</x:v>
      </x:c>
      <x:c r="L27" s="52" t="n">
        <x:v>9</x:v>
      </x:c>
      <x:c r="M27" s="52" t="n">
        <x:v>60</x:v>
      </x:c>
      <x:c r="N27" s="56" t="n">
        <x:v>68</x:v>
      </x:c>
      <x:c r="O27" s="28" t="n">
        <x:v>75</x:v>
      </x:c>
      <x:c r="P27" s="28" t="n">
        <x:v>70</x:v>
      </x:c>
      <x:c r="Q27" s="55" t="n">
        <x:v>80</x:v>
      </x:c>
      <x:c r="R27" s="28" t="n">
        <x:v>90</x:v>
      </x:c>
      <x:c r="S27" s="28" t="n">
        <x:v>10</x:v>
      </x:c>
      <x:c r="T27" s="28" t="n">
        <x:v>13</x:v>
      </x:c>
      <x:c r="U27" s="55" t="n">
        <x:v>16</x:v>
      </x:c>
      <x:c r="V27" s="28" t="n">
        <x:v>220</x:v>
      </x:c>
      <x:c r="W27" s="55" t="n">
        <x:v>295</x:v>
      </x:c>
      <x:c r="X27" s="28" t="n">
        <x:v>370</x:v>
      </x:c>
    </x:row>
    <x:row r="28">
      <x:c r="A28" s="30" t="n">
        <x:v>26</x:v>
      </x:c>
      <x:c r="B28" s="11" t="str">
        <x:f>IF(A28&lt;=15,"Seedling",IF(A28&lt;=25,"Establishment",IF(A28&lt;=40,"Vegetative Growth",IF(A28&lt;=55,"Flowering &amp; Initial Fruit Set",IF(A28&lt;=80,"Fruit Enlargement",IF(A28&lt;=95,"Ripening","Harvesting"))))))</x:f>
        <x:v>Vegetative Growth</x:v>
      </x:c>
      <x:c r="C28" s="28" t="n">
        <x:f>IF(A28&lt;=15,'Anchor Points'!$B$2+(A28-'Anchor Points'!$A$2)/('Anchor Points'!$A$3-'Anchor Points'!$A$2)*('Anchor Points'!$B$3-'Anchor Points'!$B$2),IF(A28&lt;=25,'Anchor Points'!$B$3+(A28-'Anchor Points'!$A$3)/('Anchor Points'!$A$4-'Anchor Points'!$A$3)*('Anchor Points'!$B$4-'Anchor Points'!$B$3),IF(A28&lt;=40,'Anchor Points'!$B$4+(A28-'Anchor Points'!$A$4)/('Anchor Points'!$A$5-'Anchor Points'!$A$4)*('Anchor Points'!$B$5-'Anchor Points'!$B$4),IF(A28&lt;=55,'Anchor Points'!$B$5+(A28-'Anchor Points'!$A$5)/('Anchor Points'!$A$6-'Anchor Points'!$A$5)*('Anchor Points'!$B$6-'Anchor Points'!$B$5),IF(A28&lt;=70,'Anchor Points'!$B$6+(A28-'Anchor Points'!$A$6)/('Anchor Points'!$A$7-'Anchor Points'!$A$6)*('Anchor Points'!$B$7-'Anchor Points'!$B$6),IF(A28&lt;=90,'Anchor Points'!$B$7+(A28-'Anchor Points'!$A$7)/('Anchor Points'!$A$8-'Anchor Points'!$A$7)*('Anchor Points'!$B$8-'Anchor Points'!$B$7),'Anchor Points'!$B$8+(A28-'Anchor Points'!$A$8)/('Anchor Points'!$A$9-'Anchor Points'!$A$8)*('Anchor Points'!$B$9-'Anchor Points'!$B$8)))))))</x:f>
        <x:v>21.2</x:v>
      </x:c>
      <x:c r="D28" s="28" t="n">
        <x:f>IF(A28&lt;=15,'Anchor Points'!$C$2+(A28-'Anchor Points'!$A$2)/('Anchor Points'!$A$3-'Anchor Points'!$A$2)*('Anchor Points'!$C$3-'Anchor Points'!$C$2),IF(A28&lt;=25,'Anchor Points'!$C$3+(A28-'Anchor Points'!$A$3)/('Anchor Points'!$A$4-'Anchor Points'!$A$3)*('Anchor Points'!$C$4-'Anchor Points'!$C$3),IF(A28&lt;=40,'Anchor Points'!$C$4+(A28-'Anchor Points'!$A$4)/('Anchor Points'!$A$5-'Anchor Points'!$A$4)*('Anchor Points'!$C$5-'Anchor Points'!$C$4),IF(A28&lt;=55,'Anchor Points'!$C$5+(A28-'Anchor Points'!$A$5)/('Anchor Points'!$A$6-'Anchor Points'!$A$5)*('Anchor Points'!$C$6-'Anchor Points'!$C$5),IF(A28&lt;=70,'Anchor Points'!$C$6+(A28-'Anchor Points'!$A$6)/('Anchor Points'!$A$7-'Anchor Points'!$A$6)*('Anchor Points'!$C$7-'Anchor Points'!$C$6),IF(A28&lt;=90,'Anchor Points'!$C$7+(A28-'Anchor Points'!$A$7)/('Anchor Points'!$A$8-'Anchor Points'!$A$7)*('Anchor Points'!$C$8-'Anchor Points'!$C$7),'Anchor Points'!$C$8+(A28-'Anchor Points'!$A$8)/('Anchor Points'!$A$9-'Anchor Points'!$A$8)*('Anchor Points'!$C$9-'Anchor Points'!$C$8)))))))</x:f>
        <x:v>11</x:v>
      </x:c>
      <x:c r="E28" s="28" t="n">
        <x:f>IF(A28&lt;=15,'Anchor Points'!$D$2+(A28-'Anchor Points'!$A$2)/('Anchor Points'!$A$3-'Anchor Points'!$A$2)*('Anchor Points'!$D$3-'Anchor Points'!$D$2),IF(A28&lt;=25,'Anchor Points'!$D$3+(A28-'Anchor Points'!$A$3)/('Anchor Points'!$A$4-'Anchor Points'!$A$3)*('Anchor Points'!$D$4-'Anchor Points'!$D$3),IF(A28&lt;=40,'Anchor Points'!$D$4+(A28-'Anchor Points'!$A$4)/('Anchor Points'!$A$5-'Anchor Points'!$A$4)*('Anchor Points'!$D$5-'Anchor Points'!$D$4),IF(A28&lt;=55,'Anchor Points'!$D$5+(A28-'Anchor Points'!$A$5)/('Anchor Points'!$A$6-'Anchor Points'!$A$5)*('Anchor Points'!$D$6-'Anchor Points'!$D$5),IF(A28&lt;=70,'Anchor Points'!$D$6+(A28-'Anchor Points'!$A$6)/('Anchor Points'!$A$7-'Anchor Points'!$A$6)*('Anchor Points'!$D$7-'Anchor Points'!$D$6),IF(A28&lt;=90,'Anchor Points'!$D$7+(A28-'Anchor Points'!$A$7)/('Anchor Points'!$A$8-'Anchor Points'!$A$7)*('Anchor Points'!$D$8-'Anchor Points'!$D$7),'Anchor Points'!$D$8+(A28-'Anchor Points'!$A$8)/('Anchor Points'!$A$9-'Anchor Points'!$A$8)*('Anchor Points'!$D$9-'Anchor Points'!$D$8)))))))</x:f>
        <x:v>0.13333333333333333</x:v>
      </x:c>
      <x:c r="F28" s="30" t="n">
        <x:f>ROUND(E28,0)</x:f>
        <x:v>0</x:v>
      </x:c>
      <x:c r="G28" s="28" t="n">
        <x:f>IF(A28&lt;=15,'Anchor Points'!$E$2+(A28-'Anchor Points'!$A$2)/('Anchor Points'!$A$3-'Anchor Points'!$A$2)*('Anchor Points'!$E$3-'Anchor Points'!$E$2),IF(A28&lt;=25,'Anchor Points'!$E$3+(A28-'Anchor Points'!$A$3)/('Anchor Points'!$A$4-'Anchor Points'!$A$3)*('Anchor Points'!$E$4-'Anchor Points'!$E$3),IF(A28&lt;=40,'Anchor Points'!$E$4+(A28-'Anchor Points'!$A$4)/('Anchor Points'!$A$5-'Anchor Points'!$A$4)*('Anchor Points'!$E$5-'Anchor Points'!$E$4),IF(A28&lt;=55,'Anchor Points'!$E$5+(A28-'Anchor Points'!$A$5)/('Anchor Points'!$A$6-'Anchor Points'!$A$5)*('Anchor Points'!$E$6-'Anchor Points'!$E$5),IF(A28&lt;=70,'Anchor Points'!$E$6+(A28-'Anchor Points'!$A$6)/('Anchor Points'!$A$7-'Anchor Points'!$A$6)*('Anchor Points'!$E$7-'Anchor Points'!$E$6),IF(A28&lt;=90,'Anchor Points'!$E$7+(A28-'Anchor Points'!$A$7)/('Anchor Points'!$A$8-'Anchor Points'!$A$7)*('Anchor Points'!$E$8-'Anchor Points'!$E$7),'Anchor Points'!$E$8+(A28-'Anchor Points'!$A$8)/('Anchor Points'!$A$9-'Anchor Points'!$A$8)*('Anchor Points'!$E$9-'Anchor Points'!$E$8)))))))</x:f>
        <x:v>0</x:v>
      </x:c>
      <x:c r="H28" s="30" t="n">
        <x:f>ROUND(G28,0)</x:f>
        <x:v>0</x:v>
      </x:c>
      <x:c r="I28" s="28" t="n">
        <x:f>IF(A28&lt;=15,'Anchor Points'!$F$2+(A28-'Anchor Points'!$A$2)/('Anchor Points'!$A$3-'Anchor Points'!$A$2)*('Anchor Points'!$F$3-'Anchor Points'!$F$2),IF(A28&lt;=25,'Anchor Points'!$F$3+(A28-'Anchor Points'!$A$3)/('Anchor Points'!$A$4-'Anchor Points'!$A$3)*('Anchor Points'!$F$4-'Anchor Points'!$F$3),IF(A28&lt;=40,'Anchor Points'!$F$4+(A28-'Anchor Points'!$A$4)/('Anchor Points'!$A$5-'Anchor Points'!$A$4)*('Anchor Points'!$F$5-'Anchor Points'!$F$4),IF(A28&lt;=55,'Anchor Points'!$F$5+(A28-'Anchor Points'!$A$5)/('Anchor Points'!$A$6-'Anchor Points'!$A$5)*('Anchor Points'!$F$6-'Anchor Points'!$F$5),IF(A28&lt;=70,'Anchor Points'!$F$6+(A28-'Anchor Points'!$A$6)/('Anchor Points'!$A$7-'Anchor Points'!$A$6)*('Anchor Points'!$F$7-'Anchor Points'!$F$6),IF(A28&lt;=90,'Anchor Points'!$F$7+(A28-'Anchor Points'!$A$7)/('Anchor Points'!$A$8-'Anchor Points'!$A$7)*('Anchor Points'!$F$8-'Anchor Points'!$F$7),'Anchor Points'!$F$8+(A28-'Anchor Points'!$A$8)/('Anchor Points'!$A$9-'Anchor Points'!$A$8)*('Anchor Points'!$F$9-'Anchor Points'!$F$8)))))))</x:f>
        <x:v>0</x:v>
      </x:c>
      <x:c r="J28" s="28" t="n">
        <x:v>8</x:v>
      </x:c>
      <x:c r="K28" s="56" t="n">
        <x:v>9</x:v>
      </x:c>
      <x:c r="L28" s="52" t="n">
        <x:v>10</x:v>
      </x:c>
      <x:c r="M28" s="52" t="n">
        <x:v>60</x:v>
      </x:c>
      <x:c r="N28" s="56" t="n">
        <x:v>65</x:v>
      </x:c>
      <x:c r="O28" s="28" t="n">
        <x:v>70</x:v>
      </x:c>
      <x:c r="P28" s="28" t="n">
        <x:v>65</x:v>
      </x:c>
      <x:c r="Q28" s="55" t="n">
        <x:v>75</x:v>
      </x:c>
      <x:c r="R28" s="28" t="n">
        <x:v>85</x:v>
      </x:c>
      <x:c r="S28" s="28" t="n">
        <x:v>12</x:v>
      </x:c>
      <x:c r="T28" s="28" t="n">
        <x:v>15</x:v>
      </x:c>
      <x:c r="U28" s="55" t="n">
        <x:v>18</x:v>
      </x:c>
      <x:c r="V28" s="28" t="n">
        <x:v>232</x:v>
      </x:c>
      <x:c r="W28" s="55" t="n">
        <x:v>310</x:v>
      </x:c>
      <x:c r="X28" s="28" t="n">
        <x:v>388</x:v>
      </x:c>
    </x:row>
    <x:row r="29">
      <x:c r="A29" s="30" t="n">
        <x:v>27</x:v>
      </x:c>
      <x:c r="B29" s="11" t="str">
        <x:f>IF(A29&lt;=15,"Seedling",IF(A29&lt;=25,"Establishment",IF(A29&lt;=40,"Vegetative Growth",IF(A29&lt;=55,"Flowering &amp; Initial Fruit Set",IF(A29&lt;=80,"Fruit Enlargement",IF(A29&lt;=95,"Ripening","Harvesting"))))))</x:f>
        <x:v>Vegetative Growth</x:v>
      </x:c>
      <x:c r="C29" s="28" t="n">
        <x:f>IF(A29&lt;=15,'Anchor Points'!$B$2+(A29-'Anchor Points'!$A$2)/('Anchor Points'!$A$3-'Anchor Points'!$A$2)*('Anchor Points'!$B$3-'Anchor Points'!$B$2),IF(A29&lt;=25,'Anchor Points'!$B$3+(A29-'Anchor Points'!$A$3)/('Anchor Points'!$A$4-'Anchor Points'!$A$3)*('Anchor Points'!$B$4-'Anchor Points'!$B$3),IF(A29&lt;=40,'Anchor Points'!$B$4+(A29-'Anchor Points'!$A$4)/('Anchor Points'!$A$5-'Anchor Points'!$A$4)*('Anchor Points'!$B$5-'Anchor Points'!$B$4),IF(A29&lt;=55,'Anchor Points'!$B$5+(A29-'Anchor Points'!$A$5)/('Anchor Points'!$A$6-'Anchor Points'!$A$5)*('Anchor Points'!$B$6-'Anchor Points'!$B$5),IF(A29&lt;=70,'Anchor Points'!$B$6+(A29-'Anchor Points'!$A$6)/('Anchor Points'!$A$7-'Anchor Points'!$A$6)*('Anchor Points'!$B$7-'Anchor Points'!$B$6),IF(A29&lt;=90,'Anchor Points'!$B$7+(A29-'Anchor Points'!$A$7)/('Anchor Points'!$A$8-'Anchor Points'!$A$7)*('Anchor Points'!$B$8-'Anchor Points'!$B$7),'Anchor Points'!$B$8+(A29-'Anchor Points'!$A$8)/('Anchor Points'!$A$9-'Anchor Points'!$A$8)*('Anchor Points'!$B$9-'Anchor Points'!$B$8)))))))</x:f>
        <x:v>22.4</x:v>
      </x:c>
      <x:c r="D29" s="28" t="n">
        <x:f>IF(A29&lt;=15,'Anchor Points'!$C$2+(A29-'Anchor Points'!$A$2)/('Anchor Points'!$A$3-'Anchor Points'!$A$2)*('Anchor Points'!$C$3-'Anchor Points'!$C$2),IF(A29&lt;=25,'Anchor Points'!$C$3+(A29-'Anchor Points'!$A$3)/('Anchor Points'!$A$4-'Anchor Points'!$A$3)*('Anchor Points'!$C$4-'Anchor Points'!$C$3),IF(A29&lt;=40,'Anchor Points'!$C$4+(A29-'Anchor Points'!$A$4)/('Anchor Points'!$A$5-'Anchor Points'!$A$4)*('Anchor Points'!$C$5-'Anchor Points'!$C$4),IF(A29&lt;=55,'Anchor Points'!$C$5+(A29-'Anchor Points'!$A$5)/('Anchor Points'!$A$6-'Anchor Points'!$A$5)*('Anchor Points'!$C$6-'Anchor Points'!$C$5),IF(A29&lt;=70,'Anchor Points'!$C$6+(A29-'Anchor Points'!$A$6)/('Anchor Points'!$A$7-'Anchor Points'!$A$6)*('Anchor Points'!$C$7-'Anchor Points'!$C$6),IF(A29&lt;=90,'Anchor Points'!$C$7+(A29-'Anchor Points'!$A$7)/('Anchor Points'!$A$8-'Anchor Points'!$A$7)*('Anchor Points'!$C$8-'Anchor Points'!$C$7),'Anchor Points'!$C$8+(A29-'Anchor Points'!$A$8)/('Anchor Points'!$A$9-'Anchor Points'!$A$8)*('Anchor Points'!$C$9-'Anchor Points'!$C$8)))))))</x:f>
        <x:v>12</x:v>
      </x:c>
      <x:c r="E29" s="28" t="n">
        <x:f>IF(A29&lt;=15,'Anchor Points'!$D$2+(A29-'Anchor Points'!$A$2)/('Anchor Points'!$A$3-'Anchor Points'!$A$2)*('Anchor Points'!$D$3-'Anchor Points'!$D$2),IF(A29&lt;=25,'Anchor Points'!$D$3+(A29-'Anchor Points'!$A$3)/('Anchor Points'!$A$4-'Anchor Points'!$A$3)*('Anchor Points'!$D$4-'Anchor Points'!$D$3),IF(A29&lt;=40,'Anchor Points'!$D$4+(A29-'Anchor Points'!$A$4)/('Anchor Points'!$A$5-'Anchor Points'!$A$4)*('Anchor Points'!$D$5-'Anchor Points'!$D$4),IF(A29&lt;=55,'Anchor Points'!$D$5+(A29-'Anchor Points'!$A$5)/('Anchor Points'!$A$6-'Anchor Points'!$A$5)*('Anchor Points'!$D$6-'Anchor Points'!$D$5),IF(A29&lt;=70,'Anchor Points'!$D$6+(A29-'Anchor Points'!$A$6)/('Anchor Points'!$A$7-'Anchor Points'!$A$6)*('Anchor Points'!$D$7-'Anchor Points'!$D$6),IF(A29&lt;=90,'Anchor Points'!$D$7+(A29-'Anchor Points'!$A$7)/('Anchor Points'!$A$8-'Anchor Points'!$A$7)*('Anchor Points'!$D$8-'Anchor Points'!$D$7),'Anchor Points'!$D$8+(A29-'Anchor Points'!$A$8)/('Anchor Points'!$A$9-'Anchor Points'!$A$8)*('Anchor Points'!$D$9-'Anchor Points'!$D$8)))))))</x:f>
        <x:v>0.26666666666666666</x:v>
      </x:c>
      <x:c r="F29" s="30" t="n">
        <x:f>ROUND(E29,0)</x:f>
        <x:v>0</x:v>
      </x:c>
      <x:c r="G29" s="28" t="n">
        <x:f>IF(A29&lt;=15,'Anchor Points'!$E$2+(A29-'Anchor Points'!$A$2)/('Anchor Points'!$A$3-'Anchor Points'!$A$2)*('Anchor Points'!$E$3-'Anchor Points'!$E$2),IF(A29&lt;=25,'Anchor Points'!$E$3+(A29-'Anchor Points'!$A$3)/('Anchor Points'!$A$4-'Anchor Points'!$A$3)*('Anchor Points'!$E$4-'Anchor Points'!$E$3),IF(A29&lt;=40,'Anchor Points'!$E$4+(A29-'Anchor Points'!$A$4)/('Anchor Points'!$A$5-'Anchor Points'!$A$4)*('Anchor Points'!$E$5-'Anchor Points'!$E$4),IF(A29&lt;=55,'Anchor Points'!$E$5+(A29-'Anchor Points'!$A$5)/('Anchor Points'!$A$6-'Anchor Points'!$A$5)*('Anchor Points'!$E$6-'Anchor Points'!$E$5),IF(A29&lt;=70,'Anchor Points'!$E$6+(A29-'Anchor Points'!$A$6)/('Anchor Points'!$A$7-'Anchor Points'!$A$6)*('Anchor Points'!$E$7-'Anchor Points'!$E$6),IF(A29&lt;=90,'Anchor Points'!$E$7+(A29-'Anchor Points'!$A$7)/('Anchor Points'!$A$8-'Anchor Points'!$A$7)*('Anchor Points'!$E$8-'Anchor Points'!$E$7),'Anchor Points'!$E$8+(A29-'Anchor Points'!$A$8)/('Anchor Points'!$A$9-'Anchor Points'!$A$8)*('Anchor Points'!$E$9-'Anchor Points'!$E$8)))))))</x:f>
        <x:v>0</x:v>
      </x:c>
      <x:c r="H29" s="30" t="n">
        <x:f>ROUND(G29,0)</x:f>
        <x:v>0</x:v>
      </x:c>
      <x:c r="I29" s="28" t="n">
        <x:f>IF(A29&lt;=15,'Anchor Points'!$F$2+(A29-'Anchor Points'!$A$2)/('Anchor Points'!$A$3-'Anchor Points'!$A$2)*('Anchor Points'!$F$3-'Anchor Points'!$F$2),IF(A29&lt;=25,'Anchor Points'!$F$3+(A29-'Anchor Points'!$A$3)/('Anchor Points'!$A$4-'Anchor Points'!$A$3)*('Anchor Points'!$F$4-'Anchor Points'!$F$3),IF(A29&lt;=40,'Anchor Points'!$F$4+(A29-'Anchor Points'!$A$4)/('Anchor Points'!$A$5-'Anchor Points'!$A$4)*('Anchor Points'!$F$5-'Anchor Points'!$F$4),IF(A29&lt;=55,'Anchor Points'!$F$5+(A29-'Anchor Points'!$A$5)/('Anchor Points'!$A$6-'Anchor Points'!$A$5)*('Anchor Points'!$F$6-'Anchor Points'!$F$5),IF(A29&lt;=70,'Anchor Points'!$F$6+(A29-'Anchor Points'!$A$6)/('Anchor Points'!$A$7-'Anchor Points'!$A$6)*('Anchor Points'!$F$7-'Anchor Points'!$F$6),IF(A29&lt;=90,'Anchor Points'!$F$7+(A29-'Anchor Points'!$A$7)/('Anchor Points'!$A$8-'Anchor Points'!$A$7)*('Anchor Points'!$F$8-'Anchor Points'!$F$7),'Anchor Points'!$F$8+(A29-'Anchor Points'!$A$8)/('Anchor Points'!$A$9-'Anchor Points'!$A$8)*('Anchor Points'!$F$9-'Anchor Points'!$F$8)))))))</x:f>
        <x:v>0</x:v>
      </x:c>
      <x:c r="J29" s="28" t="n">
        <x:v>8</x:v>
      </x:c>
      <x:c r="K29" s="56" t="n">
        <x:v>9</x:v>
      </x:c>
      <x:c r="L29" s="52" t="n">
        <x:v>10</x:v>
      </x:c>
      <x:c r="M29" s="52" t="n">
        <x:v>60</x:v>
      </x:c>
      <x:c r="N29" s="56" t="n">
        <x:v>65</x:v>
      </x:c>
      <x:c r="O29" s="28" t="n">
        <x:v>70</x:v>
      </x:c>
      <x:c r="P29" s="28" t="n">
        <x:v>65</x:v>
      </x:c>
      <x:c r="Q29" s="55" t="n">
        <x:v>75</x:v>
      </x:c>
      <x:c r="R29" s="28" t="n">
        <x:v>85</x:v>
      </x:c>
      <x:c r="S29" s="28" t="n">
        <x:v>12</x:v>
      </x:c>
      <x:c r="T29" s="28" t="n">
        <x:v>15</x:v>
      </x:c>
      <x:c r="U29" s="55" t="n">
        <x:v>18</x:v>
      </x:c>
      <x:c r="V29" s="28" t="n">
        <x:v>244</x:v>
      </x:c>
      <x:c r="W29" s="55" t="n">
        <x:v>325</x:v>
      </x:c>
      <x:c r="X29" s="28" t="n">
        <x:v>406</x:v>
      </x:c>
    </x:row>
    <x:row r="30">
      <x:c r="A30" s="30" t="n">
        <x:v>28</x:v>
      </x:c>
      <x:c r="B30" s="11" t="str">
        <x:f>IF(A30&lt;=15,"Seedling",IF(A30&lt;=25,"Establishment",IF(A30&lt;=40,"Vegetative Growth",IF(A30&lt;=55,"Flowering &amp; Initial Fruit Set",IF(A30&lt;=80,"Fruit Enlargement",IF(A30&lt;=95,"Ripening","Harvesting"))))))</x:f>
        <x:v>Vegetative Growth</x:v>
      </x:c>
      <x:c r="C30" s="28" t="n">
        <x:f>IF(A30&lt;=15,'Anchor Points'!$B$2+(A30-'Anchor Points'!$A$2)/('Anchor Points'!$A$3-'Anchor Points'!$A$2)*('Anchor Points'!$B$3-'Anchor Points'!$B$2),IF(A30&lt;=25,'Anchor Points'!$B$3+(A30-'Anchor Points'!$A$3)/('Anchor Points'!$A$4-'Anchor Points'!$A$3)*('Anchor Points'!$B$4-'Anchor Points'!$B$3),IF(A30&lt;=40,'Anchor Points'!$B$4+(A30-'Anchor Points'!$A$4)/('Anchor Points'!$A$5-'Anchor Points'!$A$4)*('Anchor Points'!$B$5-'Anchor Points'!$B$4),IF(A30&lt;=55,'Anchor Points'!$B$5+(A30-'Anchor Points'!$A$5)/('Anchor Points'!$A$6-'Anchor Points'!$A$5)*('Anchor Points'!$B$6-'Anchor Points'!$B$5),IF(A30&lt;=70,'Anchor Points'!$B$6+(A30-'Anchor Points'!$A$6)/('Anchor Points'!$A$7-'Anchor Points'!$A$6)*('Anchor Points'!$B$7-'Anchor Points'!$B$6),IF(A30&lt;=90,'Anchor Points'!$B$7+(A30-'Anchor Points'!$A$7)/('Anchor Points'!$A$8-'Anchor Points'!$A$7)*('Anchor Points'!$B$8-'Anchor Points'!$B$7),'Anchor Points'!$B$8+(A30-'Anchor Points'!$A$8)/('Anchor Points'!$A$9-'Anchor Points'!$A$8)*('Anchor Points'!$B$9-'Anchor Points'!$B$8)))))))</x:f>
        <x:v>23.6</x:v>
      </x:c>
      <x:c r="D30" s="28" t="n">
        <x:f>IF(A30&lt;=15,'Anchor Points'!$C$2+(A30-'Anchor Points'!$A$2)/('Anchor Points'!$A$3-'Anchor Points'!$A$2)*('Anchor Points'!$C$3-'Anchor Points'!$C$2),IF(A30&lt;=25,'Anchor Points'!$C$3+(A30-'Anchor Points'!$A$3)/('Anchor Points'!$A$4-'Anchor Points'!$A$3)*('Anchor Points'!$C$4-'Anchor Points'!$C$3),IF(A30&lt;=40,'Anchor Points'!$C$4+(A30-'Anchor Points'!$A$4)/('Anchor Points'!$A$5-'Anchor Points'!$A$4)*('Anchor Points'!$C$5-'Anchor Points'!$C$4),IF(A30&lt;=55,'Anchor Points'!$C$5+(A30-'Anchor Points'!$A$5)/('Anchor Points'!$A$6-'Anchor Points'!$A$5)*('Anchor Points'!$C$6-'Anchor Points'!$C$5),IF(A30&lt;=70,'Anchor Points'!$C$6+(A30-'Anchor Points'!$A$6)/('Anchor Points'!$A$7-'Anchor Points'!$A$6)*('Anchor Points'!$C$7-'Anchor Points'!$C$6),IF(A30&lt;=90,'Anchor Points'!$C$7+(A30-'Anchor Points'!$A$7)/('Anchor Points'!$A$8-'Anchor Points'!$A$7)*('Anchor Points'!$C$8-'Anchor Points'!$C$7),'Anchor Points'!$C$8+(A30-'Anchor Points'!$A$8)/('Anchor Points'!$A$9-'Anchor Points'!$A$8)*('Anchor Points'!$C$9-'Anchor Points'!$C$8)))))))</x:f>
        <x:v>13</x:v>
      </x:c>
      <x:c r="E30" s="28" t="n">
        <x:f>IF(A30&lt;=15,'Anchor Points'!$D$2+(A30-'Anchor Points'!$A$2)/('Anchor Points'!$A$3-'Anchor Points'!$A$2)*('Anchor Points'!$D$3-'Anchor Points'!$D$2),IF(A30&lt;=25,'Anchor Points'!$D$3+(A30-'Anchor Points'!$A$3)/('Anchor Points'!$A$4-'Anchor Points'!$A$3)*('Anchor Points'!$D$4-'Anchor Points'!$D$3),IF(A30&lt;=40,'Anchor Points'!$D$4+(A30-'Anchor Points'!$A$4)/('Anchor Points'!$A$5-'Anchor Points'!$A$4)*('Anchor Points'!$D$5-'Anchor Points'!$D$4),IF(A30&lt;=55,'Anchor Points'!$D$5+(A30-'Anchor Points'!$A$5)/('Anchor Points'!$A$6-'Anchor Points'!$A$5)*('Anchor Points'!$D$6-'Anchor Points'!$D$5),IF(A30&lt;=70,'Anchor Points'!$D$6+(A30-'Anchor Points'!$A$6)/('Anchor Points'!$A$7-'Anchor Points'!$A$6)*('Anchor Points'!$D$7-'Anchor Points'!$D$6),IF(A30&lt;=90,'Anchor Points'!$D$7+(A30-'Anchor Points'!$A$7)/('Anchor Points'!$A$8-'Anchor Points'!$A$7)*('Anchor Points'!$D$8-'Anchor Points'!$D$7),'Anchor Points'!$D$8+(A30-'Anchor Points'!$A$8)/('Anchor Points'!$A$9-'Anchor Points'!$A$8)*('Anchor Points'!$D$9-'Anchor Points'!$D$8)))))))</x:f>
        <x:v>0.4</x:v>
      </x:c>
      <x:c r="F30" s="30" t="n">
        <x:f>ROUND(E30,0)</x:f>
        <x:v>0</x:v>
      </x:c>
      <x:c r="G30" s="28" t="n">
        <x:f>IF(A30&lt;=15,'Anchor Points'!$E$2+(A30-'Anchor Points'!$A$2)/('Anchor Points'!$A$3-'Anchor Points'!$A$2)*('Anchor Points'!$E$3-'Anchor Points'!$E$2),IF(A30&lt;=25,'Anchor Points'!$E$3+(A30-'Anchor Points'!$A$3)/('Anchor Points'!$A$4-'Anchor Points'!$A$3)*('Anchor Points'!$E$4-'Anchor Points'!$E$3),IF(A30&lt;=40,'Anchor Points'!$E$4+(A30-'Anchor Points'!$A$4)/('Anchor Points'!$A$5-'Anchor Points'!$A$4)*('Anchor Points'!$E$5-'Anchor Points'!$E$4),IF(A30&lt;=55,'Anchor Points'!$E$5+(A30-'Anchor Points'!$A$5)/('Anchor Points'!$A$6-'Anchor Points'!$A$5)*('Anchor Points'!$E$6-'Anchor Points'!$E$5),IF(A30&lt;=70,'Anchor Points'!$E$6+(A30-'Anchor Points'!$A$6)/('Anchor Points'!$A$7-'Anchor Points'!$A$6)*('Anchor Points'!$E$7-'Anchor Points'!$E$6),IF(A30&lt;=90,'Anchor Points'!$E$7+(A30-'Anchor Points'!$A$7)/('Anchor Points'!$A$8-'Anchor Points'!$A$7)*('Anchor Points'!$E$8-'Anchor Points'!$E$7),'Anchor Points'!$E$8+(A30-'Anchor Points'!$A$8)/('Anchor Points'!$A$9-'Anchor Points'!$A$8)*('Anchor Points'!$E$9-'Anchor Points'!$E$8)))))))</x:f>
        <x:v>0</x:v>
      </x:c>
      <x:c r="H30" s="30" t="n">
        <x:f>ROUND(G30,0)</x:f>
        <x:v>0</x:v>
      </x:c>
      <x:c r="I30" s="28" t="n">
        <x:f>IF(A30&lt;=15,'Anchor Points'!$F$2+(A30-'Anchor Points'!$A$2)/('Anchor Points'!$A$3-'Anchor Points'!$A$2)*('Anchor Points'!$F$3-'Anchor Points'!$F$2),IF(A30&lt;=25,'Anchor Points'!$F$3+(A30-'Anchor Points'!$A$3)/('Anchor Points'!$A$4-'Anchor Points'!$A$3)*('Anchor Points'!$F$4-'Anchor Points'!$F$3),IF(A30&lt;=40,'Anchor Points'!$F$4+(A30-'Anchor Points'!$A$4)/('Anchor Points'!$A$5-'Anchor Points'!$A$4)*('Anchor Points'!$F$5-'Anchor Points'!$F$4),IF(A30&lt;=55,'Anchor Points'!$F$5+(A30-'Anchor Points'!$A$5)/('Anchor Points'!$A$6-'Anchor Points'!$A$5)*('Anchor Points'!$F$6-'Anchor Points'!$F$5),IF(A30&lt;=70,'Anchor Points'!$F$6+(A30-'Anchor Points'!$A$6)/('Anchor Points'!$A$7-'Anchor Points'!$A$6)*('Anchor Points'!$F$7-'Anchor Points'!$F$6),IF(A30&lt;=90,'Anchor Points'!$F$7+(A30-'Anchor Points'!$A$7)/('Anchor Points'!$A$8-'Anchor Points'!$A$7)*('Anchor Points'!$F$8-'Anchor Points'!$F$7),'Anchor Points'!$F$8+(A30-'Anchor Points'!$A$8)/('Anchor Points'!$A$9-'Anchor Points'!$A$8)*('Anchor Points'!$F$9-'Anchor Points'!$F$8)))))))</x:f>
        <x:v>0</x:v>
      </x:c>
      <x:c r="J30" s="28" t="n">
        <x:v>8</x:v>
      </x:c>
      <x:c r="K30" s="56" t="n">
        <x:v>9</x:v>
      </x:c>
      <x:c r="L30" s="52" t="n">
        <x:v>10</x:v>
      </x:c>
      <x:c r="M30" s="52" t="n">
        <x:v>60</x:v>
      </x:c>
      <x:c r="N30" s="56" t="n">
        <x:v>65</x:v>
      </x:c>
      <x:c r="O30" s="28" t="n">
        <x:v>70</x:v>
      </x:c>
      <x:c r="P30" s="28" t="n">
        <x:v>65</x:v>
      </x:c>
      <x:c r="Q30" s="55" t="n">
        <x:v>75</x:v>
      </x:c>
      <x:c r="R30" s="28" t="n">
        <x:v>85</x:v>
      </x:c>
      <x:c r="S30" s="28" t="n">
        <x:v>12</x:v>
      </x:c>
      <x:c r="T30" s="28" t="n">
        <x:v>15</x:v>
      </x:c>
      <x:c r="U30" s="55" t="n">
        <x:v>18</x:v>
      </x:c>
      <x:c r="V30" s="28" t="n">
        <x:v>256</x:v>
      </x:c>
      <x:c r="W30" s="55" t="n">
        <x:v>340</x:v>
      </x:c>
      <x:c r="X30" s="28" t="n">
        <x:v>424</x:v>
      </x:c>
    </x:row>
    <x:row r="31">
      <x:c r="A31" s="30" t="n">
        <x:v>29</x:v>
      </x:c>
      <x:c r="B31" s="11" t="str">
        <x:f>IF(A31&lt;=15,"Seedling",IF(A31&lt;=25,"Establishment",IF(A31&lt;=40,"Vegetative Growth",IF(A31&lt;=55,"Flowering &amp; Initial Fruit Set",IF(A31&lt;=80,"Fruit Enlargement",IF(A31&lt;=95,"Ripening","Harvesting"))))))</x:f>
        <x:v>Vegetative Growth</x:v>
      </x:c>
      <x:c r="C31" s="28" t="n">
        <x:f>IF(A31&lt;=15,'Anchor Points'!$B$2+(A31-'Anchor Points'!$A$2)/('Anchor Points'!$A$3-'Anchor Points'!$A$2)*('Anchor Points'!$B$3-'Anchor Points'!$B$2),IF(A31&lt;=25,'Anchor Points'!$B$3+(A31-'Anchor Points'!$A$3)/('Anchor Points'!$A$4-'Anchor Points'!$A$3)*('Anchor Points'!$B$4-'Anchor Points'!$B$3),IF(A31&lt;=40,'Anchor Points'!$B$4+(A31-'Anchor Points'!$A$4)/('Anchor Points'!$A$5-'Anchor Points'!$A$4)*('Anchor Points'!$B$5-'Anchor Points'!$B$4),IF(A31&lt;=55,'Anchor Points'!$B$5+(A31-'Anchor Points'!$A$5)/('Anchor Points'!$A$6-'Anchor Points'!$A$5)*('Anchor Points'!$B$6-'Anchor Points'!$B$5),IF(A31&lt;=70,'Anchor Points'!$B$6+(A31-'Anchor Points'!$A$6)/('Anchor Points'!$A$7-'Anchor Points'!$A$6)*('Anchor Points'!$B$7-'Anchor Points'!$B$6),IF(A31&lt;=90,'Anchor Points'!$B$7+(A31-'Anchor Points'!$A$7)/('Anchor Points'!$A$8-'Anchor Points'!$A$7)*('Anchor Points'!$B$8-'Anchor Points'!$B$7),'Anchor Points'!$B$8+(A31-'Anchor Points'!$A$8)/('Anchor Points'!$A$9-'Anchor Points'!$A$8)*('Anchor Points'!$B$9-'Anchor Points'!$B$8)))))))</x:f>
        <x:v>24.8</x:v>
      </x:c>
      <x:c r="D31" s="28" t="n">
        <x:f>IF(A31&lt;=15,'Anchor Points'!$C$2+(A31-'Anchor Points'!$A$2)/('Anchor Points'!$A$3-'Anchor Points'!$A$2)*('Anchor Points'!$C$3-'Anchor Points'!$C$2),IF(A31&lt;=25,'Anchor Points'!$C$3+(A31-'Anchor Points'!$A$3)/('Anchor Points'!$A$4-'Anchor Points'!$A$3)*('Anchor Points'!$C$4-'Anchor Points'!$C$3),IF(A31&lt;=40,'Anchor Points'!$C$4+(A31-'Anchor Points'!$A$4)/('Anchor Points'!$A$5-'Anchor Points'!$A$4)*('Anchor Points'!$C$5-'Anchor Points'!$C$4),IF(A31&lt;=55,'Anchor Points'!$C$5+(A31-'Anchor Points'!$A$5)/('Anchor Points'!$A$6-'Anchor Points'!$A$5)*('Anchor Points'!$C$6-'Anchor Points'!$C$5),IF(A31&lt;=70,'Anchor Points'!$C$6+(A31-'Anchor Points'!$A$6)/('Anchor Points'!$A$7-'Anchor Points'!$A$6)*('Anchor Points'!$C$7-'Anchor Points'!$C$6),IF(A31&lt;=90,'Anchor Points'!$C$7+(A31-'Anchor Points'!$A$7)/('Anchor Points'!$A$8-'Anchor Points'!$A$7)*('Anchor Points'!$C$8-'Anchor Points'!$C$7),'Anchor Points'!$C$8+(A31-'Anchor Points'!$A$8)/('Anchor Points'!$A$9-'Anchor Points'!$A$8)*('Anchor Points'!$C$9-'Anchor Points'!$C$8)))))))</x:f>
        <x:v>14</x:v>
      </x:c>
      <x:c r="E31" s="28" t="n">
        <x:f>IF(A31&lt;=15,'Anchor Points'!$D$2+(A31-'Anchor Points'!$A$2)/('Anchor Points'!$A$3-'Anchor Points'!$A$2)*('Anchor Points'!$D$3-'Anchor Points'!$D$2),IF(A31&lt;=25,'Anchor Points'!$D$3+(A31-'Anchor Points'!$A$3)/('Anchor Points'!$A$4-'Anchor Points'!$A$3)*('Anchor Points'!$D$4-'Anchor Points'!$D$3),IF(A31&lt;=40,'Anchor Points'!$D$4+(A31-'Anchor Points'!$A$4)/('Anchor Points'!$A$5-'Anchor Points'!$A$4)*('Anchor Points'!$D$5-'Anchor Points'!$D$4),IF(A31&lt;=55,'Anchor Points'!$D$5+(A31-'Anchor Points'!$A$5)/('Anchor Points'!$A$6-'Anchor Points'!$A$5)*('Anchor Points'!$D$6-'Anchor Points'!$D$5),IF(A31&lt;=70,'Anchor Points'!$D$6+(A31-'Anchor Points'!$A$6)/('Anchor Points'!$A$7-'Anchor Points'!$A$6)*('Anchor Points'!$D$7-'Anchor Points'!$D$6),IF(A31&lt;=90,'Anchor Points'!$D$7+(A31-'Anchor Points'!$A$7)/('Anchor Points'!$A$8-'Anchor Points'!$A$7)*('Anchor Points'!$D$8-'Anchor Points'!$D$7),'Anchor Points'!$D$8+(A31-'Anchor Points'!$A$8)/('Anchor Points'!$A$9-'Anchor Points'!$A$8)*('Anchor Points'!$D$9-'Anchor Points'!$D$8)))))))</x:f>
        <x:v>0.5333333333333333</x:v>
      </x:c>
      <x:c r="F31" s="30" t="n">
        <x:f>ROUND(E31,0)</x:f>
        <x:v>1</x:v>
      </x:c>
      <x:c r="G31" s="28" t="n">
        <x:f>IF(A31&lt;=15,'Anchor Points'!$E$2+(A31-'Anchor Points'!$A$2)/('Anchor Points'!$A$3-'Anchor Points'!$A$2)*('Anchor Points'!$E$3-'Anchor Points'!$E$2),IF(A31&lt;=25,'Anchor Points'!$E$3+(A31-'Anchor Points'!$A$3)/('Anchor Points'!$A$4-'Anchor Points'!$A$3)*('Anchor Points'!$E$4-'Anchor Points'!$E$3),IF(A31&lt;=40,'Anchor Points'!$E$4+(A31-'Anchor Points'!$A$4)/('Anchor Points'!$A$5-'Anchor Points'!$A$4)*('Anchor Points'!$E$5-'Anchor Points'!$E$4),IF(A31&lt;=55,'Anchor Points'!$E$5+(A31-'Anchor Points'!$A$5)/('Anchor Points'!$A$6-'Anchor Points'!$A$5)*('Anchor Points'!$E$6-'Anchor Points'!$E$5),IF(A31&lt;=70,'Anchor Points'!$E$6+(A31-'Anchor Points'!$A$6)/('Anchor Points'!$A$7-'Anchor Points'!$A$6)*('Anchor Points'!$E$7-'Anchor Points'!$E$6),IF(A31&lt;=90,'Anchor Points'!$E$7+(A31-'Anchor Points'!$A$7)/('Anchor Points'!$A$8-'Anchor Points'!$A$7)*('Anchor Points'!$E$8-'Anchor Points'!$E$7),'Anchor Points'!$E$8+(A31-'Anchor Points'!$A$8)/('Anchor Points'!$A$9-'Anchor Points'!$A$8)*('Anchor Points'!$E$9-'Anchor Points'!$E$8)))))))</x:f>
        <x:v>0</x:v>
      </x:c>
      <x:c r="H31" s="30" t="n">
        <x:f>ROUND(G31,0)</x:f>
        <x:v>0</x:v>
      </x:c>
      <x:c r="I31" s="28" t="n">
        <x:f>IF(A31&lt;=15,'Anchor Points'!$F$2+(A31-'Anchor Points'!$A$2)/('Anchor Points'!$A$3-'Anchor Points'!$A$2)*('Anchor Points'!$F$3-'Anchor Points'!$F$2),IF(A31&lt;=25,'Anchor Points'!$F$3+(A31-'Anchor Points'!$A$3)/('Anchor Points'!$A$4-'Anchor Points'!$A$3)*('Anchor Points'!$F$4-'Anchor Points'!$F$3),IF(A31&lt;=40,'Anchor Points'!$F$4+(A31-'Anchor Points'!$A$4)/('Anchor Points'!$A$5-'Anchor Points'!$A$4)*('Anchor Points'!$F$5-'Anchor Points'!$F$4),IF(A31&lt;=55,'Anchor Points'!$F$5+(A31-'Anchor Points'!$A$5)/('Anchor Points'!$A$6-'Anchor Points'!$A$5)*('Anchor Points'!$F$6-'Anchor Points'!$F$5),IF(A31&lt;=70,'Anchor Points'!$F$6+(A31-'Anchor Points'!$A$6)/('Anchor Points'!$A$7-'Anchor Points'!$A$6)*('Anchor Points'!$F$7-'Anchor Points'!$F$6),IF(A31&lt;=90,'Anchor Points'!$F$7+(A31-'Anchor Points'!$A$7)/('Anchor Points'!$A$8-'Anchor Points'!$A$7)*('Anchor Points'!$F$8-'Anchor Points'!$F$7),'Anchor Points'!$F$8+(A31-'Anchor Points'!$A$8)/('Anchor Points'!$A$9-'Anchor Points'!$A$8)*('Anchor Points'!$F$9-'Anchor Points'!$F$8)))))))</x:f>
        <x:v>0</x:v>
      </x:c>
      <x:c r="J31" s="28" t="n">
        <x:v>8</x:v>
      </x:c>
      <x:c r="K31" s="56" t="n">
        <x:v>9</x:v>
      </x:c>
      <x:c r="L31" s="52" t="n">
        <x:v>10</x:v>
      </x:c>
      <x:c r="M31" s="52" t="n">
        <x:v>60</x:v>
      </x:c>
      <x:c r="N31" s="56" t="n">
        <x:v>65</x:v>
      </x:c>
      <x:c r="O31" s="28" t="n">
        <x:v>70</x:v>
      </x:c>
      <x:c r="P31" s="28" t="n">
        <x:v>65</x:v>
      </x:c>
      <x:c r="Q31" s="55" t="n">
        <x:v>75</x:v>
      </x:c>
      <x:c r="R31" s="28" t="n">
        <x:v>85</x:v>
      </x:c>
      <x:c r="S31" s="28" t="n">
        <x:v>12</x:v>
      </x:c>
      <x:c r="T31" s="28" t="n">
        <x:v>15</x:v>
      </x:c>
      <x:c r="U31" s="55" t="n">
        <x:v>18</x:v>
      </x:c>
      <x:c r="V31" s="28" t="n">
        <x:v>268</x:v>
      </x:c>
      <x:c r="W31" s="55" t="n">
        <x:v>355</x:v>
      </x:c>
      <x:c r="X31" s="28" t="n">
        <x:v>442</x:v>
      </x:c>
    </x:row>
    <x:row r="32">
      <x:c r="A32" s="30" t="n">
        <x:v>30</x:v>
      </x:c>
      <x:c r="B32" s="11" t="str">
        <x:f>IF(A32&lt;=15,"Seedling",IF(A32&lt;=25,"Establishment",IF(A32&lt;=40,"Vegetative Growth",IF(A32&lt;=55,"Flowering &amp; Initial Fruit Set",IF(A32&lt;=80,"Fruit Enlargement",IF(A32&lt;=95,"Ripening","Harvesting"))))))</x:f>
        <x:v>Vegetative Growth</x:v>
      </x:c>
      <x:c r="C32" s="28" t="n">
        <x:f>IF(A32&lt;=15,'Anchor Points'!$B$2+(A32-'Anchor Points'!$A$2)/('Anchor Points'!$A$3-'Anchor Points'!$A$2)*('Anchor Points'!$B$3-'Anchor Points'!$B$2),IF(A32&lt;=25,'Anchor Points'!$B$3+(A32-'Anchor Points'!$A$3)/('Anchor Points'!$A$4-'Anchor Points'!$A$3)*('Anchor Points'!$B$4-'Anchor Points'!$B$3),IF(A32&lt;=40,'Anchor Points'!$B$4+(A32-'Anchor Points'!$A$4)/('Anchor Points'!$A$5-'Anchor Points'!$A$4)*('Anchor Points'!$B$5-'Anchor Points'!$B$4),IF(A32&lt;=55,'Anchor Points'!$B$5+(A32-'Anchor Points'!$A$5)/('Anchor Points'!$A$6-'Anchor Points'!$A$5)*('Anchor Points'!$B$6-'Anchor Points'!$B$5),IF(A32&lt;=70,'Anchor Points'!$B$6+(A32-'Anchor Points'!$A$6)/('Anchor Points'!$A$7-'Anchor Points'!$A$6)*('Anchor Points'!$B$7-'Anchor Points'!$B$6),IF(A32&lt;=90,'Anchor Points'!$B$7+(A32-'Anchor Points'!$A$7)/('Anchor Points'!$A$8-'Anchor Points'!$A$7)*('Anchor Points'!$B$8-'Anchor Points'!$B$7),'Anchor Points'!$B$8+(A32-'Anchor Points'!$A$8)/('Anchor Points'!$A$9-'Anchor Points'!$A$8)*('Anchor Points'!$B$9-'Anchor Points'!$B$8)))))))</x:f>
        <x:v>26</x:v>
      </x:c>
      <x:c r="D32" s="28" t="n">
        <x:f>IF(A32&lt;=15,'Anchor Points'!$C$2+(A32-'Anchor Points'!$A$2)/('Anchor Points'!$A$3-'Anchor Points'!$A$2)*('Anchor Points'!$C$3-'Anchor Points'!$C$2),IF(A32&lt;=25,'Anchor Points'!$C$3+(A32-'Anchor Points'!$A$3)/('Anchor Points'!$A$4-'Anchor Points'!$A$3)*('Anchor Points'!$C$4-'Anchor Points'!$C$3),IF(A32&lt;=40,'Anchor Points'!$C$4+(A32-'Anchor Points'!$A$4)/('Anchor Points'!$A$5-'Anchor Points'!$A$4)*('Anchor Points'!$C$5-'Anchor Points'!$C$4),IF(A32&lt;=55,'Anchor Points'!$C$5+(A32-'Anchor Points'!$A$5)/('Anchor Points'!$A$6-'Anchor Points'!$A$5)*('Anchor Points'!$C$6-'Anchor Points'!$C$5),IF(A32&lt;=70,'Anchor Points'!$C$6+(A32-'Anchor Points'!$A$6)/('Anchor Points'!$A$7-'Anchor Points'!$A$6)*('Anchor Points'!$C$7-'Anchor Points'!$C$6),IF(A32&lt;=90,'Anchor Points'!$C$7+(A32-'Anchor Points'!$A$7)/('Anchor Points'!$A$8-'Anchor Points'!$A$7)*('Anchor Points'!$C$8-'Anchor Points'!$C$7),'Anchor Points'!$C$8+(A32-'Anchor Points'!$A$8)/('Anchor Points'!$A$9-'Anchor Points'!$A$8)*('Anchor Points'!$C$9-'Anchor Points'!$C$8)))))))</x:f>
        <x:v>15</x:v>
      </x:c>
      <x:c r="E32" s="28" t="n">
        <x:f>IF(A32&lt;=15,'Anchor Points'!$D$2+(A32-'Anchor Points'!$A$2)/('Anchor Points'!$A$3-'Anchor Points'!$A$2)*('Anchor Points'!$D$3-'Anchor Points'!$D$2),IF(A32&lt;=25,'Anchor Points'!$D$3+(A32-'Anchor Points'!$A$3)/('Anchor Points'!$A$4-'Anchor Points'!$A$3)*('Anchor Points'!$D$4-'Anchor Points'!$D$3),IF(A32&lt;=40,'Anchor Points'!$D$4+(A32-'Anchor Points'!$A$4)/('Anchor Points'!$A$5-'Anchor Points'!$A$4)*('Anchor Points'!$D$5-'Anchor Points'!$D$4),IF(A32&lt;=55,'Anchor Points'!$D$5+(A32-'Anchor Points'!$A$5)/('Anchor Points'!$A$6-'Anchor Points'!$A$5)*('Anchor Points'!$D$6-'Anchor Points'!$D$5),IF(A32&lt;=70,'Anchor Points'!$D$6+(A32-'Anchor Points'!$A$6)/('Anchor Points'!$A$7-'Anchor Points'!$A$6)*('Anchor Points'!$D$7-'Anchor Points'!$D$6),IF(A32&lt;=90,'Anchor Points'!$D$7+(A32-'Anchor Points'!$A$7)/('Anchor Points'!$A$8-'Anchor Points'!$A$7)*('Anchor Points'!$D$8-'Anchor Points'!$D$7),'Anchor Points'!$D$8+(A32-'Anchor Points'!$A$8)/('Anchor Points'!$A$9-'Anchor Points'!$A$8)*('Anchor Points'!$D$9-'Anchor Points'!$D$8)))))))</x:f>
        <x:v>0.6666666666666666</x:v>
      </x:c>
      <x:c r="F32" s="30" t="n">
        <x:f>ROUND(E32,0)</x:f>
        <x:v>1</x:v>
      </x:c>
      <x:c r="G32" s="28" t="n">
        <x:f>IF(A32&lt;=15,'Anchor Points'!$E$2+(A32-'Anchor Points'!$A$2)/('Anchor Points'!$A$3-'Anchor Points'!$A$2)*('Anchor Points'!$E$3-'Anchor Points'!$E$2),IF(A32&lt;=25,'Anchor Points'!$E$3+(A32-'Anchor Points'!$A$3)/('Anchor Points'!$A$4-'Anchor Points'!$A$3)*('Anchor Points'!$E$4-'Anchor Points'!$E$3),IF(A32&lt;=40,'Anchor Points'!$E$4+(A32-'Anchor Points'!$A$4)/('Anchor Points'!$A$5-'Anchor Points'!$A$4)*('Anchor Points'!$E$5-'Anchor Points'!$E$4),IF(A32&lt;=55,'Anchor Points'!$E$5+(A32-'Anchor Points'!$A$5)/('Anchor Points'!$A$6-'Anchor Points'!$A$5)*('Anchor Points'!$E$6-'Anchor Points'!$E$5),IF(A32&lt;=70,'Anchor Points'!$E$6+(A32-'Anchor Points'!$A$6)/('Anchor Points'!$A$7-'Anchor Points'!$A$6)*('Anchor Points'!$E$7-'Anchor Points'!$E$6),IF(A32&lt;=90,'Anchor Points'!$E$7+(A32-'Anchor Points'!$A$7)/('Anchor Points'!$A$8-'Anchor Points'!$A$7)*('Anchor Points'!$E$8-'Anchor Points'!$E$7),'Anchor Points'!$E$8+(A32-'Anchor Points'!$A$8)/('Anchor Points'!$A$9-'Anchor Points'!$A$8)*('Anchor Points'!$E$9-'Anchor Points'!$E$8)))))))</x:f>
        <x:v>0</x:v>
      </x:c>
      <x:c r="H32" s="30" t="n">
        <x:f>ROUND(G32,0)</x:f>
        <x:v>0</x:v>
      </x:c>
      <x:c r="I32" s="28" t="n">
        <x:f>IF(A32&lt;=15,'Anchor Points'!$F$2+(A32-'Anchor Points'!$A$2)/('Anchor Points'!$A$3-'Anchor Points'!$A$2)*('Anchor Points'!$F$3-'Anchor Points'!$F$2),IF(A32&lt;=25,'Anchor Points'!$F$3+(A32-'Anchor Points'!$A$3)/('Anchor Points'!$A$4-'Anchor Points'!$A$3)*('Anchor Points'!$F$4-'Anchor Points'!$F$3),IF(A32&lt;=40,'Anchor Points'!$F$4+(A32-'Anchor Points'!$A$4)/('Anchor Points'!$A$5-'Anchor Points'!$A$4)*('Anchor Points'!$F$5-'Anchor Points'!$F$4),IF(A32&lt;=55,'Anchor Points'!$F$5+(A32-'Anchor Points'!$A$5)/('Anchor Points'!$A$6-'Anchor Points'!$A$5)*('Anchor Points'!$F$6-'Anchor Points'!$F$5),IF(A32&lt;=70,'Anchor Points'!$F$6+(A32-'Anchor Points'!$A$6)/('Anchor Points'!$A$7-'Anchor Points'!$A$6)*('Anchor Points'!$F$7-'Anchor Points'!$F$6),IF(A32&lt;=90,'Anchor Points'!$F$7+(A32-'Anchor Points'!$A$7)/('Anchor Points'!$A$8-'Anchor Points'!$A$7)*('Anchor Points'!$F$8-'Anchor Points'!$F$7),'Anchor Points'!$F$8+(A32-'Anchor Points'!$A$8)/('Anchor Points'!$A$9-'Anchor Points'!$A$8)*('Anchor Points'!$F$9-'Anchor Points'!$F$8)))))))</x:f>
        <x:v>0</x:v>
      </x:c>
      <x:c r="J32" s="28" t="n">
        <x:v>8</x:v>
      </x:c>
      <x:c r="K32" s="56" t="n">
        <x:v>9</x:v>
      </x:c>
      <x:c r="L32" s="52" t="n">
        <x:v>10</x:v>
      </x:c>
      <x:c r="M32" s="52" t="n">
        <x:v>60</x:v>
      </x:c>
      <x:c r="N32" s="56" t="n">
        <x:v>65</x:v>
      </x:c>
      <x:c r="O32" s="28" t="n">
        <x:v>70</x:v>
      </x:c>
      <x:c r="P32" s="28" t="n">
        <x:v>65</x:v>
      </x:c>
      <x:c r="Q32" s="55" t="n">
        <x:v>75</x:v>
      </x:c>
      <x:c r="R32" s="28" t="n">
        <x:v>85</x:v>
      </x:c>
      <x:c r="S32" s="28" t="n">
        <x:v>12</x:v>
      </x:c>
      <x:c r="T32" s="28" t="n">
        <x:v>15</x:v>
      </x:c>
      <x:c r="U32" s="55" t="n">
        <x:v>18</x:v>
      </x:c>
      <x:c r="V32" s="28" t="n">
        <x:v>280</x:v>
      </x:c>
      <x:c r="W32" s="55" t="n">
        <x:v>370</x:v>
      </x:c>
      <x:c r="X32" s="28" t="n">
        <x:v>460</x:v>
      </x:c>
    </x:row>
    <x:row r="33">
      <x:c r="A33" s="30" t="n">
        <x:v>31</x:v>
      </x:c>
      <x:c r="B33" s="11" t="str">
        <x:f>IF(A33&lt;=15,"Seedling",IF(A33&lt;=25,"Establishment",IF(A33&lt;=40,"Vegetative Growth",IF(A33&lt;=55,"Flowering &amp; Initial Fruit Set",IF(A33&lt;=80,"Fruit Enlargement",IF(A33&lt;=95,"Ripening","Harvesting"))))))</x:f>
        <x:v>Vegetative Growth</x:v>
      </x:c>
      <x:c r="C33" s="28" t="n">
        <x:f>IF(A33&lt;=15,'Anchor Points'!$B$2+(A33-'Anchor Points'!$A$2)/('Anchor Points'!$A$3-'Anchor Points'!$A$2)*('Anchor Points'!$B$3-'Anchor Points'!$B$2),IF(A33&lt;=25,'Anchor Points'!$B$3+(A33-'Anchor Points'!$A$3)/('Anchor Points'!$A$4-'Anchor Points'!$A$3)*('Anchor Points'!$B$4-'Anchor Points'!$B$3),IF(A33&lt;=40,'Anchor Points'!$B$4+(A33-'Anchor Points'!$A$4)/('Anchor Points'!$A$5-'Anchor Points'!$A$4)*('Anchor Points'!$B$5-'Anchor Points'!$B$4),IF(A33&lt;=55,'Anchor Points'!$B$5+(A33-'Anchor Points'!$A$5)/('Anchor Points'!$A$6-'Anchor Points'!$A$5)*('Anchor Points'!$B$6-'Anchor Points'!$B$5),IF(A33&lt;=70,'Anchor Points'!$B$6+(A33-'Anchor Points'!$A$6)/('Anchor Points'!$A$7-'Anchor Points'!$A$6)*('Anchor Points'!$B$7-'Anchor Points'!$B$6),IF(A33&lt;=90,'Anchor Points'!$B$7+(A33-'Anchor Points'!$A$7)/('Anchor Points'!$A$8-'Anchor Points'!$A$7)*('Anchor Points'!$B$8-'Anchor Points'!$B$7),'Anchor Points'!$B$8+(A33-'Anchor Points'!$A$8)/('Anchor Points'!$A$9-'Anchor Points'!$A$8)*('Anchor Points'!$B$9-'Anchor Points'!$B$8)))))))</x:f>
        <x:v>27.2</x:v>
      </x:c>
      <x:c r="D33" s="28" t="n">
        <x:f>IF(A33&lt;=15,'Anchor Points'!$C$2+(A33-'Anchor Points'!$A$2)/('Anchor Points'!$A$3-'Anchor Points'!$A$2)*('Anchor Points'!$C$3-'Anchor Points'!$C$2),IF(A33&lt;=25,'Anchor Points'!$C$3+(A33-'Anchor Points'!$A$3)/('Anchor Points'!$A$4-'Anchor Points'!$A$3)*('Anchor Points'!$C$4-'Anchor Points'!$C$3),IF(A33&lt;=40,'Anchor Points'!$C$4+(A33-'Anchor Points'!$A$4)/('Anchor Points'!$A$5-'Anchor Points'!$A$4)*('Anchor Points'!$C$5-'Anchor Points'!$C$4),IF(A33&lt;=55,'Anchor Points'!$C$5+(A33-'Anchor Points'!$A$5)/('Anchor Points'!$A$6-'Anchor Points'!$A$5)*('Anchor Points'!$C$6-'Anchor Points'!$C$5),IF(A33&lt;=70,'Anchor Points'!$C$6+(A33-'Anchor Points'!$A$6)/('Anchor Points'!$A$7-'Anchor Points'!$A$6)*('Anchor Points'!$C$7-'Anchor Points'!$C$6),IF(A33&lt;=90,'Anchor Points'!$C$7+(A33-'Anchor Points'!$A$7)/('Anchor Points'!$A$8-'Anchor Points'!$A$7)*('Anchor Points'!$C$8-'Anchor Points'!$C$7),'Anchor Points'!$C$8+(A33-'Anchor Points'!$A$8)/('Anchor Points'!$A$9-'Anchor Points'!$A$8)*('Anchor Points'!$C$9-'Anchor Points'!$C$8)))))))</x:f>
        <x:v>16</x:v>
      </x:c>
      <x:c r="E33" s="28" t="n">
        <x:f>IF(A33&lt;=15,'Anchor Points'!$D$2+(A33-'Anchor Points'!$A$2)/('Anchor Points'!$A$3-'Anchor Points'!$A$2)*('Anchor Points'!$D$3-'Anchor Points'!$D$2),IF(A33&lt;=25,'Anchor Points'!$D$3+(A33-'Anchor Points'!$A$3)/('Anchor Points'!$A$4-'Anchor Points'!$A$3)*('Anchor Points'!$D$4-'Anchor Points'!$D$3),IF(A33&lt;=40,'Anchor Points'!$D$4+(A33-'Anchor Points'!$A$4)/('Anchor Points'!$A$5-'Anchor Points'!$A$4)*('Anchor Points'!$D$5-'Anchor Points'!$D$4),IF(A33&lt;=55,'Anchor Points'!$D$5+(A33-'Anchor Points'!$A$5)/('Anchor Points'!$A$6-'Anchor Points'!$A$5)*('Anchor Points'!$D$6-'Anchor Points'!$D$5),IF(A33&lt;=70,'Anchor Points'!$D$6+(A33-'Anchor Points'!$A$6)/('Anchor Points'!$A$7-'Anchor Points'!$A$6)*('Anchor Points'!$D$7-'Anchor Points'!$D$6),IF(A33&lt;=90,'Anchor Points'!$D$7+(A33-'Anchor Points'!$A$7)/('Anchor Points'!$A$8-'Anchor Points'!$A$7)*('Anchor Points'!$D$8-'Anchor Points'!$D$7),'Anchor Points'!$D$8+(A33-'Anchor Points'!$A$8)/('Anchor Points'!$A$9-'Anchor Points'!$A$8)*('Anchor Points'!$D$9-'Anchor Points'!$D$8)))))))</x:f>
        <x:v>0.8</x:v>
      </x:c>
      <x:c r="F33" s="30" t="n">
        <x:f>ROUND(E33,0)</x:f>
        <x:v>1</x:v>
      </x:c>
      <x:c r="G33" s="28" t="n">
        <x:f>IF(A33&lt;=15,'Anchor Points'!$E$2+(A33-'Anchor Points'!$A$2)/('Anchor Points'!$A$3-'Anchor Points'!$A$2)*('Anchor Points'!$E$3-'Anchor Points'!$E$2),IF(A33&lt;=25,'Anchor Points'!$E$3+(A33-'Anchor Points'!$A$3)/('Anchor Points'!$A$4-'Anchor Points'!$A$3)*('Anchor Points'!$E$4-'Anchor Points'!$E$3),IF(A33&lt;=40,'Anchor Points'!$E$4+(A33-'Anchor Points'!$A$4)/('Anchor Points'!$A$5-'Anchor Points'!$A$4)*('Anchor Points'!$E$5-'Anchor Points'!$E$4),IF(A33&lt;=55,'Anchor Points'!$E$5+(A33-'Anchor Points'!$A$5)/('Anchor Points'!$A$6-'Anchor Points'!$A$5)*('Anchor Points'!$E$6-'Anchor Points'!$E$5),IF(A33&lt;=70,'Anchor Points'!$E$6+(A33-'Anchor Points'!$A$6)/('Anchor Points'!$A$7-'Anchor Points'!$A$6)*('Anchor Points'!$E$7-'Anchor Points'!$E$6),IF(A33&lt;=90,'Anchor Points'!$E$7+(A33-'Anchor Points'!$A$7)/('Anchor Points'!$A$8-'Anchor Points'!$A$7)*('Anchor Points'!$E$8-'Anchor Points'!$E$7),'Anchor Points'!$E$8+(A33-'Anchor Points'!$A$8)/('Anchor Points'!$A$9-'Anchor Points'!$A$8)*('Anchor Points'!$E$9-'Anchor Points'!$E$8)))))))</x:f>
        <x:v>0</x:v>
      </x:c>
      <x:c r="H33" s="30" t="n">
        <x:f>ROUND(G33,0)</x:f>
        <x:v>0</x:v>
      </x:c>
      <x:c r="I33" s="28" t="n">
        <x:f>IF(A33&lt;=15,'Anchor Points'!$F$2+(A33-'Anchor Points'!$A$2)/('Anchor Points'!$A$3-'Anchor Points'!$A$2)*('Anchor Points'!$F$3-'Anchor Points'!$F$2),IF(A33&lt;=25,'Anchor Points'!$F$3+(A33-'Anchor Points'!$A$3)/('Anchor Points'!$A$4-'Anchor Points'!$A$3)*('Anchor Points'!$F$4-'Anchor Points'!$F$3),IF(A33&lt;=40,'Anchor Points'!$F$4+(A33-'Anchor Points'!$A$4)/('Anchor Points'!$A$5-'Anchor Points'!$A$4)*('Anchor Points'!$F$5-'Anchor Points'!$F$4),IF(A33&lt;=55,'Anchor Points'!$F$5+(A33-'Anchor Points'!$A$5)/('Anchor Points'!$A$6-'Anchor Points'!$A$5)*('Anchor Points'!$F$6-'Anchor Points'!$F$5),IF(A33&lt;=70,'Anchor Points'!$F$6+(A33-'Anchor Points'!$A$6)/('Anchor Points'!$A$7-'Anchor Points'!$A$6)*('Anchor Points'!$F$7-'Anchor Points'!$F$6),IF(A33&lt;=90,'Anchor Points'!$F$7+(A33-'Anchor Points'!$A$7)/('Anchor Points'!$A$8-'Anchor Points'!$A$7)*('Anchor Points'!$F$8-'Anchor Points'!$F$7),'Anchor Points'!$F$8+(A33-'Anchor Points'!$A$8)/('Anchor Points'!$A$9-'Anchor Points'!$A$8)*('Anchor Points'!$F$9-'Anchor Points'!$F$8)))))))</x:f>
        <x:v>0</x:v>
      </x:c>
      <x:c r="J33" s="28" t="n">
        <x:v>8</x:v>
      </x:c>
      <x:c r="K33" s="56" t="n">
        <x:v>9</x:v>
      </x:c>
      <x:c r="L33" s="52" t="n">
        <x:v>10</x:v>
      </x:c>
      <x:c r="M33" s="52" t="n">
        <x:v>60</x:v>
      </x:c>
      <x:c r="N33" s="56" t="n">
        <x:v>65</x:v>
      </x:c>
      <x:c r="O33" s="28" t="n">
        <x:v>70</x:v>
      </x:c>
      <x:c r="P33" s="28" t="n">
        <x:v>65</x:v>
      </x:c>
      <x:c r="Q33" s="55" t="n">
        <x:v>75</x:v>
      </x:c>
      <x:c r="R33" s="28" t="n">
        <x:v>85</x:v>
      </x:c>
      <x:c r="S33" s="28" t="n">
        <x:v>12</x:v>
      </x:c>
      <x:c r="T33" s="28" t="n">
        <x:v>15</x:v>
      </x:c>
      <x:c r="U33" s="55" t="n">
        <x:v>18</x:v>
      </x:c>
      <x:c r="V33" s="28" t="n">
        <x:v>292</x:v>
      </x:c>
      <x:c r="W33" s="55" t="n">
        <x:v>385</x:v>
      </x:c>
      <x:c r="X33" s="28" t="n">
        <x:v>478</x:v>
      </x:c>
    </x:row>
    <x:row r="34">
      <x:c r="A34" s="30" t="n">
        <x:v>32</x:v>
      </x:c>
      <x:c r="B34" s="11" t="str">
        <x:f>IF(A34&lt;=15,"Seedling",IF(A34&lt;=25,"Establishment",IF(A34&lt;=40,"Vegetative Growth",IF(A34&lt;=55,"Flowering &amp; Initial Fruit Set",IF(A34&lt;=80,"Fruit Enlargement",IF(A34&lt;=95,"Ripening","Harvesting"))))))</x:f>
        <x:v>Vegetative Growth</x:v>
      </x:c>
      <x:c r="C34" s="28" t="n">
        <x:f>IF(A34&lt;=15,'Anchor Points'!$B$2+(A34-'Anchor Points'!$A$2)/('Anchor Points'!$A$3-'Anchor Points'!$A$2)*('Anchor Points'!$B$3-'Anchor Points'!$B$2),IF(A34&lt;=25,'Anchor Points'!$B$3+(A34-'Anchor Points'!$A$3)/('Anchor Points'!$A$4-'Anchor Points'!$A$3)*('Anchor Points'!$B$4-'Anchor Points'!$B$3),IF(A34&lt;=40,'Anchor Points'!$B$4+(A34-'Anchor Points'!$A$4)/('Anchor Points'!$A$5-'Anchor Points'!$A$4)*('Anchor Points'!$B$5-'Anchor Points'!$B$4),IF(A34&lt;=55,'Anchor Points'!$B$5+(A34-'Anchor Points'!$A$5)/('Anchor Points'!$A$6-'Anchor Points'!$A$5)*('Anchor Points'!$B$6-'Anchor Points'!$B$5),IF(A34&lt;=70,'Anchor Points'!$B$6+(A34-'Anchor Points'!$A$6)/('Anchor Points'!$A$7-'Anchor Points'!$A$6)*('Anchor Points'!$B$7-'Anchor Points'!$B$6),IF(A34&lt;=90,'Anchor Points'!$B$7+(A34-'Anchor Points'!$A$7)/('Anchor Points'!$A$8-'Anchor Points'!$A$7)*('Anchor Points'!$B$8-'Anchor Points'!$B$7),'Anchor Points'!$B$8+(A34-'Anchor Points'!$A$8)/('Anchor Points'!$A$9-'Anchor Points'!$A$8)*('Anchor Points'!$B$9-'Anchor Points'!$B$8)))))))</x:f>
        <x:v>28.4</x:v>
      </x:c>
      <x:c r="D34" s="28" t="n">
        <x:f>IF(A34&lt;=15,'Anchor Points'!$C$2+(A34-'Anchor Points'!$A$2)/('Anchor Points'!$A$3-'Anchor Points'!$A$2)*('Anchor Points'!$C$3-'Anchor Points'!$C$2),IF(A34&lt;=25,'Anchor Points'!$C$3+(A34-'Anchor Points'!$A$3)/('Anchor Points'!$A$4-'Anchor Points'!$A$3)*('Anchor Points'!$C$4-'Anchor Points'!$C$3),IF(A34&lt;=40,'Anchor Points'!$C$4+(A34-'Anchor Points'!$A$4)/('Anchor Points'!$A$5-'Anchor Points'!$A$4)*('Anchor Points'!$C$5-'Anchor Points'!$C$4),IF(A34&lt;=55,'Anchor Points'!$C$5+(A34-'Anchor Points'!$A$5)/('Anchor Points'!$A$6-'Anchor Points'!$A$5)*('Anchor Points'!$C$6-'Anchor Points'!$C$5),IF(A34&lt;=70,'Anchor Points'!$C$6+(A34-'Anchor Points'!$A$6)/('Anchor Points'!$A$7-'Anchor Points'!$A$6)*('Anchor Points'!$C$7-'Anchor Points'!$C$6),IF(A34&lt;=90,'Anchor Points'!$C$7+(A34-'Anchor Points'!$A$7)/('Anchor Points'!$A$8-'Anchor Points'!$A$7)*('Anchor Points'!$C$8-'Anchor Points'!$C$7),'Anchor Points'!$C$8+(A34-'Anchor Points'!$A$8)/('Anchor Points'!$A$9-'Anchor Points'!$A$8)*('Anchor Points'!$C$9-'Anchor Points'!$C$8)))))))</x:f>
        <x:v>17</x:v>
      </x:c>
      <x:c r="E34" s="28" t="n">
        <x:f>IF(A34&lt;=15,'Anchor Points'!$D$2+(A34-'Anchor Points'!$A$2)/('Anchor Points'!$A$3-'Anchor Points'!$A$2)*('Anchor Points'!$D$3-'Anchor Points'!$D$2),IF(A34&lt;=25,'Anchor Points'!$D$3+(A34-'Anchor Points'!$A$3)/('Anchor Points'!$A$4-'Anchor Points'!$A$3)*('Anchor Points'!$D$4-'Anchor Points'!$D$3),IF(A34&lt;=40,'Anchor Points'!$D$4+(A34-'Anchor Points'!$A$4)/('Anchor Points'!$A$5-'Anchor Points'!$A$4)*('Anchor Points'!$D$5-'Anchor Points'!$D$4),IF(A34&lt;=55,'Anchor Points'!$D$5+(A34-'Anchor Points'!$A$5)/('Anchor Points'!$A$6-'Anchor Points'!$A$5)*('Anchor Points'!$D$6-'Anchor Points'!$D$5),IF(A34&lt;=70,'Anchor Points'!$D$6+(A34-'Anchor Points'!$A$6)/('Anchor Points'!$A$7-'Anchor Points'!$A$6)*('Anchor Points'!$D$7-'Anchor Points'!$D$6),IF(A34&lt;=90,'Anchor Points'!$D$7+(A34-'Anchor Points'!$A$7)/('Anchor Points'!$A$8-'Anchor Points'!$A$7)*('Anchor Points'!$D$8-'Anchor Points'!$D$7),'Anchor Points'!$D$8+(A34-'Anchor Points'!$A$8)/('Anchor Points'!$A$9-'Anchor Points'!$A$8)*('Anchor Points'!$D$9-'Anchor Points'!$D$8)))))))</x:f>
        <x:v>0.9333333333333333</x:v>
      </x:c>
      <x:c r="F34" s="30" t="n">
        <x:f>ROUND(E34,0)</x:f>
        <x:v>1</x:v>
      </x:c>
      <x:c r="G34" s="28" t="n">
        <x:f>IF(A34&lt;=15,'Anchor Points'!$E$2+(A34-'Anchor Points'!$A$2)/('Anchor Points'!$A$3-'Anchor Points'!$A$2)*('Anchor Points'!$E$3-'Anchor Points'!$E$2),IF(A34&lt;=25,'Anchor Points'!$E$3+(A34-'Anchor Points'!$A$3)/('Anchor Points'!$A$4-'Anchor Points'!$A$3)*('Anchor Points'!$E$4-'Anchor Points'!$E$3),IF(A34&lt;=40,'Anchor Points'!$E$4+(A34-'Anchor Points'!$A$4)/('Anchor Points'!$A$5-'Anchor Points'!$A$4)*('Anchor Points'!$E$5-'Anchor Points'!$E$4),IF(A34&lt;=55,'Anchor Points'!$E$5+(A34-'Anchor Points'!$A$5)/('Anchor Points'!$A$6-'Anchor Points'!$A$5)*('Anchor Points'!$E$6-'Anchor Points'!$E$5),IF(A34&lt;=70,'Anchor Points'!$E$6+(A34-'Anchor Points'!$A$6)/('Anchor Points'!$A$7-'Anchor Points'!$A$6)*('Anchor Points'!$E$7-'Anchor Points'!$E$6),IF(A34&lt;=90,'Anchor Points'!$E$7+(A34-'Anchor Points'!$A$7)/('Anchor Points'!$A$8-'Anchor Points'!$A$7)*('Anchor Points'!$E$8-'Anchor Points'!$E$7),'Anchor Points'!$E$8+(A34-'Anchor Points'!$A$8)/('Anchor Points'!$A$9-'Anchor Points'!$A$8)*('Anchor Points'!$E$9-'Anchor Points'!$E$8)))))))</x:f>
        <x:v>0</x:v>
      </x:c>
      <x:c r="H34" s="30" t="n">
        <x:f>ROUND(G34,0)</x:f>
        <x:v>0</x:v>
      </x:c>
      <x:c r="I34" s="28" t="n">
        <x:f>IF(A34&lt;=15,'Anchor Points'!$F$2+(A34-'Anchor Points'!$A$2)/('Anchor Points'!$A$3-'Anchor Points'!$A$2)*('Anchor Points'!$F$3-'Anchor Points'!$F$2),IF(A34&lt;=25,'Anchor Points'!$F$3+(A34-'Anchor Points'!$A$3)/('Anchor Points'!$A$4-'Anchor Points'!$A$3)*('Anchor Points'!$F$4-'Anchor Points'!$F$3),IF(A34&lt;=40,'Anchor Points'!$F$4+(A34-'Anchor Points'!$A$4)/('Anchor Points'!$A$5-'Anchor Points'!$A$4)*('Anchor Points'!$F$5-'Anchor Points'!$F$4),IF(A34&lt;=55,'Anchor Points'!$F$5+(A34-'Anchor Points'!$A$5)/('Anchor Points'!$A$6-'Anchor Points'!$A$5)*('Anchor Points'!$F$6-'Anchor Points'!$F$5),IF(A34&lt;=70,'Anchor Points'!$F$6+(A34-'Anchor Points'!$A$6)/('Anchor Points'!$A$7-'Anchor Points'!$A$6)*('Anchor Points'!$F$7-'Anchor Points'!$F$6),IF(A34&lt;=90,'Anchor Points'!$F$7+(A34-'Anchor Points'!$A$7)/('Anchor Points'!$A$8-'Anchor Points'!$A$7)*('Anchor Points'!$F$8-'Anchor Points'!$F$7),'Anchor Points'!$F$8+(A34-'Anchor Points'!$A$8)/('Anchor Points'!$A$9-'Anchor Points'!$A$8)*('Anchor Points'!$F$9-'Anchor Points'!$F$8)))))))</x:f>
        <x:v>0</x:v>
      </x:c>
      <x:c r="J34" s="28" t="n">
        <x:v>8</x:v>
      </x:c>
      <x:c r="K34" s="56" t="n">
        <x:v>9</x:v>
      </x:c>
      <x:c r="L34" s="52" t="n">
        <x:v>10</x:v>
      </x:c>
      <x:c r="M34" s="52" t="n">
        <x:v>60</x:v>
      </x:c>
      <x:c r="N34" s="56" t="n">
        <x:v>65</x:v>
      </x:c>
      <x:c r="O34" s="28" t="n">
        <x:v>70</x:v>
      </x:c>
      <x:c r="P34" s="28" t="n">
        <x:v>65</x:v>
      </x:c>
      <x:c r="Q34" s="55" t="n">
        <x:v>75</x:v>
      </x:c>
      <x:c r="R34" s="28" t="n">
        <x:v>85</x:v>
      </x:c>
      <x:c r="S34" s="28" t="n">
        <x:v>12</x:v>
      </x:c>
      <x:c r="T34" s="28" t="n">
        <x:v>15</x:v>
      </x:c>
      <x:c r="U34" s="55" t="n">
        <x:v>18</x:v>
      </x:c>
      <x:c r="V34" s="28" t="n">
        <x:v>304</x:v>
      </x:c>
      <x:c r="W34" s="55" t="n">
        <x:v>400</x:v>
      </x:c>
      <x:c r="X34" s="28" t="n">
        <x:v>496</x:v>
      </x:c>
    </x:row>
    <x:row r="35">
      <x:c r="A35" s="30" t="n">
        <x:v>33</x:v>
      </x:c>
      <x:c r="B35" s="11" t="str">
        <x:f>IF(A35&lt;=15,"Seedling",IF(A35&lt;=25,"Establishment",IF(A35&lt;=40,"Vegetative Growth",IF(A35&lt;=55,"Flowering &amp; Initial Fruit Set",IF(A35&lt;=80,"Fruit Enlargement",IF(A35&lt;=95,"Ripening","Harvesting"))))))</x:f>
        <x:v>Vegetative Growth</x:v>
      </x:c>
      <x:c r="C35" s="28" t="n">
        <x:f>IF(A35&lt;=15,'Anchor Points'!$B$2+(A35-'Anchor Points'!$A$2)/('Anchor Points'!$A$3-'Anchor Points'!$A$2)*('Anchor Points'!$B$3-'Anchor Points'!$B$2),IF(A35&lt;=25,'Anchor Points'!$B$3+(A35-'Anchor Points'!$A$3)/('Anchor Points'!$A$4-'Anchor Points'!$A$3)*('Anchor Points'!$B$4-'Anchor Points'!$B$3),IF(A35&lt;=40,'Anchor Points'!$B$4+(A35-'Anchor Points'!$A$4)/('Anchor Points'!$A$5-'Anchor Points'!$A$4)*('Anchor Points'!$B$5-'Anchor Points'!$B$4),IF(A35&lt;=55,'Anchor Points'!$B$5+(A35-'Anchor Points'!$A$5)/('Anchor Points'!$A$6-'Anchor Points'!$A$5)*('Anchor Points'!$B$6-'Anchor Points'!$B$5),IF(A35&lt;=70,'Anchor Points'!$B$6+(A35-'Anchor Points'!$A$6)/('Anchor Points'!$A$7-'Anchor Points'!$A$6)*('Anchor Points'!$B$7-'Anchor Points'!$B$6),IF(A35&lt;=90,'Anchor Points'!$B$7+(A35-'Anchor Points'!$A$7)/('Anchor Points'!$A$8-'Anchor Points'!$A$7)*('Anchor Points'!$B$8-'Anchor Points'!$B$7),'Anchor Points'!$B$8+(A35-'Anchor Points'!$A$8)/('Anchor Points'!$A$9-'Anchor Points'!$A$8)*('Anchor Points'!$B$9-'Anchor Points'!$B$8)))))))</x:f>
        <x:v>29.6</x:v>
      </x:c>
      <x:c r="D35" s="28" t="n">
        <x:f>IF(A35&lt;=15,'Anchor Points'!$C$2+(A35-'Anchor Points'!$A$2)/('Anchor Points'!$A$3-'Anchor Points'!$A$2)*('Anchor Points'!$C$3-'Anchor Points'!$C$2),IF(A35&lt;=25,'Anchor Points'!$C$3+(A35-'Anchor Points'!$A$3)/('Anchor Points'!$A$4-'Anchor Points'!$A$3)*('Anchor Points'!$C$4-'Anchor Points'!$C$3),IF(A35&lt;=40,'Anchor Points'!$C$4+(A35-'Anchor Points'!$A$4)/('Anchor Points'!$A$5-'Anchor Points'!$A$4)*('Anchor Points'!$C$5-'Anchor Points'!$C$4),IF(A35&lt;=55,'Anchor Points'!$C$5+(A35-'Anchor Points'!$A$5)/('Anchor Points'!$A$6-'Anchor Points'!$A$5)*('Anchor Points'!$C$6-'Anchor Points'!$C$5),IF(A35&lt;=70,'Anchor Points'!$C$6+(A35-'Anchor Points'!$A$6)/('Anchor Points'!$A$7-'Anchor Points'!$A$6)*('Anchor Points'!$C$7-'Anchor Points'!$C$6),IF(A35&lt;=90,'Anchor Points'!$C$7+(A35-'Anchor Points'!$A$7)/('Anchor Points'!$A$8-'Anchor Points'!$A$7)*('Anchor Points'!$C$8-'Anchor Points'!$C$7),'Anchor Points'!$C$8+(A35-'Anchor Points'!$A$8)/('Anchor Points'!$A$9-'Anchor Points'!$A$8)*('Anchor Points'!$C$9-'Anchor Points'!$C$8)))))))</x:f>
        <x:v>18</x:v>
      </x:c>
      <x:c r="E35" s="28" t="n">
        <x:f>IF(A35&lt;=15,'Anchor Points'!$D$2+(A35-'Anchor Points'!$A$2)/('Anchor Points'!$A$3-'Anchor Points'!$A$2)*('Anchor Points'!$D$3-'Anchor Points'!$D$2),IF(A35&lt;=25,'Anchor Points'!$D$3+(A35-'Anchor Points'!$A$3)/('Anchor Points'!$A$4-'Anchor Points'!$A$3)*('Anchor Points'!$D$4-'Anchor Points'!$D$3),IF(A35&lt;=40,'Anchor Points'!$D$4+(A35-'Anchor Points'!$A$4)/('Anchor Points'!$A$5-'Anchor Points'!$A$4)*('Anchor Points'!$D$5-'Anchor Points'!$D$4),IF(A35&lt;=55,'Anchor Points'!$D$5+(A35-'Anchor Points'!$A$5)/('Anchor Points'!$A$6-'Anchor Points'!$A$5)*('Anchor Points'!$D$6-'Anchor Points'!$D$5),IF(A35&lt;=70,'Anchor Points'!$D$6+(A35-'Anchor Points'!$A$6)/('Anchor Points'!$A$7-'Anchor Points'!$A$6)*('Anchor Points'!$D$7-'Anchor Points'!$D$6),IF(A35&lt;=90,'Anchor Points'!$D$7+(A35-'Anchor Points'!$A$7)/('Anchor Points'!$A$8-'Anchor Points'!$A$7)*('Anchor Points'!$D$8-'Anchor Points'!$D$7),'Anchor Points'!$D$8+(A35-'Anchor Points'!$A$8)/('Anchor Points'!$A$9-'Anchor Points'!$A$8)*('Anchor Points'!$D$9-'Anchor Points'!$D$8)))))))</x:f>
        <x:v>1.0666666666666667</x:v>
      </x:c>
      <x:c r="F35" s="30" t="n">
        <x:f>ROUND(E35,0)</x:f>
        <x:v>1</x:v>
      </x:c>
      <x:c r="G35" s="28" t="n">
        <x:f>IF(A35&lt;=15,'Anchor Points'!$E$2+(A35-'Anchor Points'!$A$2)/('Anchor Points'!$A$3-'Anchor Points'!$A$2)*('Anchor Points'!$E$3-'Anchor Points'!$E$2),IF(A35&lt;=25,'Anchor Points'!$E$3+(A35-'Anchor Points'!$A$3)/('Anchor Points'!$A$4-'Anchor Points'!$A$3)*('Anchor Points'!$E$4-'Anchor Points'!$E$3),IF(A35&lt;=40,'Anchor Points'!$E$4+(A35-'Anchor Points'!$A$4)/('Anchor Points'!$A$5-'Anchor Points'!$A$4)*('Anchor Points'!$E$5-'Anchor Points'!$E$4),IF(A35&lt;=55,'Anchor Points'!$E$5+(A35-'Anchor Points'!$A$5)/('Anchor Points'!$A$6-'Anchor Points'!$A$5)*('Anchor Points'!$E$6-'Anchor Points'!$E$5),IF(A35&lt;=70,'Anchor Points'!$E$6+(A35-'Anchor Points'!$A$6)/('Anchor Points'!$A$7-'Anchor Points'!$A$6)*('Anchor Points'!$E$7-'Anchor Points'!$E$6),IF(A35&lt;=90,'Anchor Points'!$E$7+(A35-'Anchor Points'!$A$7)/('Anchor Points'!$A$8-'Anchor Points'!$A$7)*('Anchor Points'!$E$8-'Anchor Points'!$E$7),'Anchor Points'!$E$8+(A35-'Anchor Points'!$A$8)/('Anchor Points'!$A$9-'Anchor Points'!$A$8)*('Anchor Points'!$E$9-'Anchor Points'!$E$8)))))))</x:f>
        <x:v>0</x:v>
      </x:c>
      <x:c r="H35" s="30" t="n">
        <x:f>ROUND(G35,0)</x:f>
        <x:v>0</x:v>
      </x:c>
      <x:c r="I35" s="28" t="n">
        <x:f>IF(A35&lt;=15,'Anchor Points'!$F$2+(A35-'Anchor Points'!$A$2)/('Anchor Points'!$A$3-'Anchor Points'!$A$2)*('Anchor Points'!$F$3-'Anchor Points'!$F$2),IF(A35&lt;=25,'Anchor Points'!$F$3+(A35-'Anchor Points'!$A$3)/('Anchor Points'!$A$4-'Anchor Points'!$A$3)*('Anchor Points'!$F$4-'Anchor Points'!$F$3),IF(A35&lt;=40,'Anchor Points'!$F$4+(A35-'Anchor Points'!$A$4)/('Anchor Points'!$A$5-'Anchor Points'!$A$4)*('Anchor Points'!$F$5-'Anchor Points'!$F$4),IF(A35&lt;=55,'Anchor Points'!$F$5+(A35-'Anchor Points'!$A$5)/('Anchor Points'!$A$6-'Anchor Points'!$A$5)*('Anchor Points'!$F$6-'Anchor Points'!$F$5),IF(A35&lt;=70,'Anchor Points'!$F$6+(A35-'Anchor Points'!$A$6)/('Anchor Points'!$A$7-'Anchor Points'!$A$6)*('Anchor Points'!$F$7-'Anchor Points'!$F$6),IF(A35&lt;=90,'Anchor Points'!$F$7+(A35-'Anchor Points'!$A$7)/('Anchor Points'!$A$8-'Anchor Points'!$A$7)*('Anchor Points'!$F$8-'Anchor Points'!$F$7),'Anchor Points'!$F$8+(A35-'Anchor Points'!$A$8)/('Anchor Points'!$A$9-'Anchor Points'!$A$8)*('Anchor Points'!$F$9-'Anchor Points'!$F$8)))))))</x:f>
        <x:v>0</x:v>
      </x:c>
      <x:c r="J35" s="28" t="n">
        <x:v>8</x:v>
      </x:c>
      <x:c r="K35" s="56" t="n">
        <x:v>9</x:v>
      </x:c>
      <x:c r="L35" s="52" t="n">
        <x:v>10</x:v>
      </x:c>
      <x:c r="M35" s="52" t="n">
        <x:v>60</x:v>
      </x:c>
      <x:c r="N35" s="56" t="n">
        <x:v>65</x:v>
      </x:c>
      <x:c r="O35" s="28" t="n">
        <x:v>70</x:v>
      </x:c>
      <x:c r="P35" s="28" t="n">
        <x:v>65</x:v>
      </x:c>
      <x:c r="Q35" s="55" t="n">
        <x:v>75</x:v>
      </x:c>
      <x:c r="R35" s="28" t="n">
        <x:v>85</x:v>
      </x:c>
      <x:c r="S35" s="28" t="n">
        <x:v>12</x:v>
      </x:c>
      <x:c r="T35" s="28" t="n">
        <x:v>15</x:v>
      </x:c>
      <x:c r="U35" s="55" t="n">
        <x:v>18</x:v>
      </x:c>
      <x:c r="V35" s="28" t="n">
        <x:v>316</x:v>
      </x:c>
      <x:c r="W35" s="55" t="n">
        <x:v>415</x:v>
      </x:c>
      <x:c r="X35" s="28" t="n">
        <x:v>514</x:v>
      </x:c>
    </x:row>
    <x:row r="36">
      <x:c r="A36" s="30" t="n">
        <x:v>34</x:v>
      </x:c>
      <x:c r="B36" s="11" t="str">
        <x:f>IF(A36&lt;=15,"Seedling",IF(A36&lt;=25,"Establishment",IF(A36&lt;=40,"Vegetative Growth",IF(A36&lt;=55,"Flowering &amp; Initial Fruit Set",IF(A36&lt;=80,"Fruit Enlargement",IF(A36&lt;=95,"Ripening","Harvesting"))))))</x:f>
        <x:v>Vegetative Growth</x:v>
      </x:c>
      <x:c r="C36" s="28" t="n">
        <x:f>IF(A36&lt;=15,'Anchor Points'!$B$2+(A36-'Anchor Points'!$A$2)/('Anchor Points'!$A$3-'Anchor Points'!$A$2)*('Anchor Points'!$B$3-'Anchor Points'!$B$2),IF(A36&lt;=25,'Anchor Points'!$B$3+(A36-'Anchor Points'!$A$3)/('Anchor Points'!$A$4-'Anchor Points'!$A$3)*('Anchor Points'!$B$4-'Anchor Points'!$B$3),IF(A36&lt;=40,'Anchor Points'!$B$4+(A36-'Anchor Points'!$A$4)/('Anchor Points'!$A$5-'Anchor Points'!$A$4)*('Anchor Points'!$B$5-'Anchor Points'!$B$4),IF(A36&lt;=55,'Anchor Points'!$B$5+(A36-'Anchor Points'!$A$5)/('Anchor Points'!$A$6-'Anchor Points'!$A$5)*('Anchor Points'!$B$6-'Anchor Points'!$B$5),IF(A36&lt;=70,'Anchor Points'!$B$6+(A36-'Anchor Points'!$A$6)/('Anchor Points'!$A$7-'Anchor Points'!$A$6)*('Anchor Points'!$B$7-'Anchor Points'!$B$6),IF(A36&lt;=90,'Anchor Points'!$B$7+(A36-'Anchor Points'!$A$7)/('Anchor Points'!$A$8-'Anchor Points'!$A$7)*('Anchor Points'!$B$8-'Anchor Points'!$B$7),'Anchor Points'!$B$8+(A36-'Anchor Points'!$A$8)/('Anchor Points'!$A$9-'Anchor Points'!$A$8)*('Anchor Points'!$B$9-'Anchor Points'!$B$8)))))))</x:f>
        <x:v>30.799999999999997</x:v>
      </x:c>
      <x:c r="D36" s="28" t="n">
        <x:f>IF(A36&lt;=15,'Anchor Points'!$C$2+(A36-'Anchor Points'!$A$2)/('Anchor Points'!$A$3-'Anchor Points'!$A$2)*('Anchor Points'!$C$3-'Anchor Points'!$C$2),IF(A36&lt;=25,'Anchor Points'!$C$3+(A36-'Anchor Points'!$A$3)/('Anchor Points'!$A$4-'Anchor Points'!$A$3)*('Anchor Points'!$C$4-'Anchor Points'!$C$3),IF(A36&lt;=40,'Anchor Points'!$C$4+(A36-'Anchor Points'!$A$4)/('Anchor Points'!$A$5-'Anchor Points'!$A$4)*('Anchor Points'!$C$5-'Anchor Points'!$C$4),IF(A36&lt;=55,'Anchor Points'!$C$5+(A36-'Anchor Points'!$A$5)/('Anchor Points'!$A$6-'Anchor Points'!$A$5)*('Anchor Points'!$C$6-'Anchor Points'!$C$5),IF(A36&lt;=70,'Anchor Points'!$C$6+(A36-'Anchor Points'!$A$6)/('Anchor Points'!$A$7-'Anchor Points'!$A$6)*('Anchor Points'!$C$7-'Anchor Points'!$C$6),IF(A36&lt;=90,'Anchor Points'!$C$7+(A36-'Anchor Points'!$A$7)/('Anchor Points'!$A$8-'Anchor Points'!$A$7)*('Anchor Points'!$C$8-'Anchor Points'!$C$7),'Anchor Points'!$C$8+(A36-'Anchor Points'!$A$8)/('Anchor Points'!$A$9-'Anchor Points'!$A$8)*('Anchor Points'!$C$9-'Anchor Points'!$C$8)))))))</x:f>
        <x:v>19</x:v>
      </x:c>
      <x:c r="E36" s="28" t="n">
        <x:f>IF(A36&lt;=15,'Anchor Points'!$D$2+(A36-'Anchor Points'!$A$2)/('Anchor Points'!$A$3-'Anchor Points'!$A$2)*('Anchor Points'!$D$3-'Anchor Points'!$D$2),IF(A36&lt;=25,'Anchor Points'!$D$3+(A36-'Anchor Points'!$A$3)/('Anchor Points'!$A$4-'Anchor Points'!$A$3)*('Anchor Points'!$D$4-'Anchor Points'!$D$3),IF(A36&lt;=40,'Anchor Points'!$D$4+(A36-'Anchor Points'!$A$4)/('Anchor Points'!$A$5-'Anchor Points'!$A$4)*('Anchor Points'!$D$5-'Anchor Points'!$D$4),IF(A36&lt;=55,'Anchor Points'!$D$5+(A36-'Anchor Points'!$A$5)/('Anchor Points'!$A$6-'Anchor Points'!$A$5)*('Anchor Points'!$D$6-'Anchor Points'!$D$5),IF(A36&lt;=70,'Anchor Points'!$D$6+(A36-'Anchor Points'!$A$6)/('Anchor Points'!$A$7-'Anchor Points'!$A$6)*('Anchor Points'!$D$7-'Anchor Points'!$D$6),IF(A36&lt;=90,'Anchor Points'!$D$7+(A36-'Anchor Points'!$A$7)/('Anchor Points'!$A$8-'Anchor Points'!$A$7)*('Anchor Points'!$D$8-'Anchor Points'!$D$7),'Anchor Points'!$D$8+(A36-'Anchor Points'!$A$8)/('Anchor Points'!$A$9-'Anchor Points'!$A$8)*('Anchor Points'!$D$9-'Anchor Points'!$D$8)))))))</x:f>
        <x:v>1.2</x:v>
      </x:c>
      <x:c r="F36" s="30" t="n">
        <x:f>ROUND(E36,0)</x:f>
        <x:v>1</x:v>
      </x:c>
      <x:c r="G36" s="28" t="n">
        <x:f>IF(A36&lt;=15,'Anchor Points'!$E$2+(A36-'Anchor Points'!$A$2)/('Anchor Points'!$A$3-'Anchor Points'!$A$2)*('Anchor Points'!$E$3-'Anchor Points'!$E$2),IF(A36&lt;=25,'Anchor Points'!$E$3+(A36-'Anchor Points'!$A$3)/('Anchor Points'!$A$4-'Anchor Points'!$A$3)*('Anchor Points'!$E$4-'Anchor Points'!$E$3),IF(A36&lt;=40,'Anchor Points'!$E$4+(A36-'Anchor Points'!$A$4)/('Anchor Points'!$A$5-'Anchor Points'!$A$4)*('Anchor Points'!$E$5-'Anchor Points'!$E$4),IF(A36&lt;=55,'Anchor Points'!$E$5+(A36-'Anchor Points'!$A$5)/('Anchor Points'!$A$6-'Anchor Points'!$A$5)*('Anchor Points'!$E$6-'Anchor Points'!$E$5),IF(A36&lt;=70,'Anchor Points'!$E$6+(A36-'Anchor Points'!$A$6)/('Anchor Points'!$A$7-'Anchor Points'!$A$6)*('Anchor Points'!$E$7-'Anchor Points'!$E$6),IF(A36&lt;=90,'Anchor Points'!$E$7+(A36-'Anchor Points'!$A$7)/('Anchor Points'!$A$8-'Anchor Points'!$A$7)*('Anchor Points'!$E$8-'Anchor Points'!$E$7),'Anchor Points'!$E$8+(A36-'Anchor Points'!$A$8)/('Anchor Points'!$A$9-'Anchor Points'!$A$8)*('Anchor Points'!$E$9-'Anchor Points'!$E$8)))))))</x:f>
        <x:v>0</x:v>
      </x:c>
      <x:c r="H36" s="30" t="n">
        <x:f>ROUND(G36,0)</x:f>
        <x:v>0</x:v>
      </x:c>
      <x:c r="I36" s="28" t="n">
        <x:f>IF(A36&lt;=15,'Anchor Points'!$F$2+(A36-'Anchor Points'!$A$2)/('Anchor Points'!$A$3-'Anchor Points'!$A$2)*('Anchor Points'!$F$3-'Anchor Points'!$F$2),IF(A36&lt;=25,'Anchor Points'!$F$3+(A36-'Anchor Points'!$A$3)/('Anchor Points'!$A$4-'Anchor Points'!$A$3)*('Anchor Points'!$F$4-'Anchor Points'!$F$3),IF(A36&lt;=40,'Anchor Points'!$F$4+(A36-'Anchor Points'!$A$4)/('Anchor Points'!$A$5-'Anchor Points'!$A$4)*('Anchor Points'!$F$5-'Anchor Points'!$F$4),IF(A36&lt;=55,'Anchor Points'!$F$5+(A36-'Anchor Points'!$A$5)/('Anchor Points'!$A$6-'Anchor Points'!$A$5)*('Anchor Points'!$F$6-'Anchor Points'!$F$5),IF(A36&lt;=70,'Anchor Points'!$F$6+(A36-'Anchor Points'!$A$6)/('Anchor Points'!$A$7-'Anchor Points'!$A$6)*('Anchor Points'!$F$7-'Anchor Points'!$F$6),IF(A36&lt;=90,'Anchor Points'!$F$7+(A36-'Anchor Points'!$A$7)/('Anchor Points'!$A$8-'Anchor Points'!$A$7)*('Anchor Points'!$F$8-'Anchor Points'!$F$7),'Anchor Points'!$F$8+(A36-'Anchor Points'!$A$8)/('Anchor Points'!$A$9-'Anchor Points'!$A$8)*('Anchor Points'!$F$9-'Anchor Points'!$F$8)))))))</x:f>
        <x:v>0</x:v>
      </x:c>
      <x:c r="J36" s="28" t="n">
        <x:v>8</x:v>
      </x:c>
      <x:c r="K36" s="56" t="n">
        <x:v>9</x:v>
      </x:c>
      <x:c r="L36" s="52" t="n">
        <x:v>10</x:v>
      </x:c>
      <x:c r="M36" s="52" t="n">
        <x:v>60</x:v>
      </x:c>
      <x:c r="N36" s="56" t="n">
        <x:v>65</x:v>
      </x:c>
      <x:c r="O36" s="28" t="n">
        <x:v>70</x:v>
      </x:c>
      <x:c r="P36" s="28" t="n">
        <x:v>65</x:v>
      </x:c>
      <x:c r="Q36" s="55" t="n">
        <x:v>75</x:v>
      </x:c>
      <x:c r="R36" s="28" t="n">
        <x:v>85</x:v>
      </x:c>
      <x:c r="S36" s="28" t="n">
        <x:v>12</x:v>
      </x:c>
      <x:c r="T36" s="28" t="n">
        <x:v>15</x:v>
      </x:c>
      <x:c r="U36" s="55" t="n">
        <x:v>18</x:v>
      </x:c>
      <x:c r="V36" s="28" t="n">
        <x:v>328</x:v>
      </x:c>
      <x:c r="W36" s="55" t="n">
        <x:v>430</x:v>
      </x:c>
      <x:c r="X36" s="28" t="n">
        <x:v>532</x:v>
      </x:c>
    </x:row>
    <x:row r="37">
      <x:c r="A37" s="30" t="n">
        <x:v>35</x:v>
      </x:c>
      <x:c r="B37" s="11" t="str">
        <x:f>IF(A37&lt;=15,"Seedling",IF(A37&lt;=25,"Establishment",IF(A37&lt;=40,"Vegetative Growth",IF(A37&lt;=55,"Flowering &amp; Initial Fruit Set",IF(A37&lt;=80,"Fruit Enlargement",IF(A37&lt;=95,"Ripening","Harvesting"))))))</x:f>
        <x:v>Vegetative Growth</x:v>
      </x:c>
      <x:c r="C37" s="28" t="n">
        <x:f>IF(A37&lt;=15,'Anchor Points'!$B$2+(A37-'Anchor Points'!$A$2)/('Anchor Points'!$A$3-'Anchor Points'!$A$2)*('Anchor Points'!$B$3-'Anchor Points'!$B$2),IF(A37&lt;=25,'Anchor Points'!$B$3+(A37-'Anchor Points'!$A$3)/('Anchor Points'!$A$4-'Anchor Points'!$A$3)*('Anchor Points'!$B$4-'Anchor Points'!$B$3),IF(A37&lt;=40,'Anchor Points'!$B$4+(A37-'Anchor Points'!$A$4)/('Anchor Points'!$A$5-'Anchor Points'!$A$4)*('Anchor Points'!$B$5-'Anchor Points'!$B$4),IF(A37&lt;=55,'Anchor Points'!$B$5+(A37-'Anchor Points'!$A$5)/('Anchor Points'!$A$6-'Anchor Points'!$A$5)*('Anchor Points'!$B$6-'Anchor Points'!$B$5),IF(A37&lt;=70,'Anchor Points'!$B$6+(A37-'Anchor Points'!$A$6)/('Anchor Points'!$A$7-'Anchor Points'!$A$6)*('Anchor Points'!$B$7-'Anchor Points'!$B$6),IF(A37&lt;=90,'Anchor Points'!$B$7+(A37-'Anchor Points'!$A$7)/('Anchor Points'!$A$8-'Anchor Points'!$A$7)*('Anchor Points'!$B$8-'Anchor Points'!$B$7),'Anchor Points'!$B$8+(A37-'Anchor Points'!$A$8)/('Anchor Points'!$A$9-'Anchor Points'!$A$8)*('Anchor Points'!$B$9-'Anchor Points'!$B$8)))))))</x:f>
        <x:v>32</x:v>
      </x:c>
      <x:c r="D37" s="28" t="n">
        <x:f>IF(A37&lt;=15,'Anchor Points'!$C$2+(A37-'Anchor Points'!$A$2)/('Anchor Points'!$A$3-'Anchor Points'!$A$2)*('Anchor Points'!$C$3-'Anchor Points'!$C$2),IF(A37&lt;=25,'Anchor Points'!$C$3+(A37-'Anchor Points'!$A$3)/('Anchor Points'!$A$4-'Anchor Points'!$A$3)*('Anchor Points'!$C$4-'Anchor Points'!$C$3),IF(A37&lt;=40,'Anchor Points'!$C$4+(A37-'Anchor Points'!$A$4)/('Anchor Points'!$A$5-'Anchor Points'!$A$4)*('Anchor Points'!$C$5-'Anchor Points'!$C$4),IF(A37&lt;=55,'Anchor Points'!$C$5+(A37-'Anchor Points'!$A$5)/('Anchor Points'!$A$6-'Anchor Points'!$A$5)*('Anchor Points'!$C$6-'Anchor Points'!$C$5),IF(A37&lt;=70,'Anchor Points'!$C$6+(A37-'Anchor Points'!$A$6)/('Anchor Points'!$A$7-'Anchor Points'!$A$6)*('Anchor Points'!$C$7-'Anchor Points'!$C$6),IF(A37&lt;=90,'Anchor Points'!$C$7+(A37-'Anchor Points'!$A$7)/('Anchor Points'!$A$8-'Anchor Points'!$A$7)*('Anchor Points'!$C$8-'Anchor Points'!$C$7),'Anchor Points'!$C$8+(A37-'Anchor Points'!$A$8)/('Anchor Points'!$A$9-'Anchor Points'!$A$8)*('Anchor Points'!$C$9-'Anchor Points'!$C$8)))))))</x:f>
        <x:v>20</x:v>
      </x:c>
      <x:c r="E37" s="28" t="n">
        <x:f>IF(A37&lt;=15,'Anchor Points'!$D$2+(A37-'Anchor Points'!$A$2)/('Anchor Points'!$A$3-'Anchor Points'!$A$2)*('Anchor Points'!$D$3-'Anchor Points'!$D$2),IF(A37&lt;=25,'Anchor Points'!$D$3+(A37-'Anchor Points'!$A$3)/('Anchor Points'!$A$4-'Anchor Points'!$A$3)*('Anchor Points'!$D$4-'Anchor Points'!$D$3),IF(A37&lt;=40,'Anchor Points'!$D$4+(A37-'Anchor Points'!$A$4)/('Anchor Points'!$A$5-'Anchor Points'!$A$4)*('Anchor Points'!$D$5-'Anchor Points'!$D$4),IF(A37&lt;=55,'Anchor Points'!$D$5+(A37-'Anchor Points'!$A$5)/('Anchor Points'!$A$6-'Anchor Points'!$A$5)*('Anchor Points'!$D$6-'Anchor Points'!$D$5),IF(A37&lt;=70,'Anchor Points'!$D$6+(A37-'Anchor Points'!$A$6)/('Anchor Points'!$A$7-'Anchor Points'!$A$6)*('Anchor Points'!$D$7-'Anchor Points'!$D$6),IF(A37&lt;=90,'Anchor Points'!$D$7+(A37-'Anchor Points'!$A$7)/('Anchor Points'!$A$8-'Anchor Points'!$A$7)*('Anchor Points'!$D$8-'Anchor Points'!$D$7),'Anchor Points'!$D$8+(A37-'Anchor Points'!$A$8)/('Anchor Points'!$A$9-'Anchor Points'!$A$8)*('Anchor Points'!$D$9-'Anchor Points'!$D$8)))))))</x:f>
        <x:v>1.3333333333333333</x:v>
      </x:c>
      <x:c r="F37" s="30" t="n">
        <x:f>ROUND(E37,0)</x:f>
        <x:v>1</x:v>
      </x:c>
      <x:c r="G37" s="28" t="n">
        <x:f>IF(A37&lt;=15,'Anchor Points'!$E$2+(A37-'Anchor Points'!$A$2)/('Anchor Points'!$A$3-'Anchor Points'!$A$2)*('Anchor Points'!$E$3-'Anchor Points'!$E$2),IF(A37&lt;=25,'Anchor Points'!$E$3+(A37-'Anchor Points'!$A$3)/('Anchor Points'!$A$4-'Anchor Points'!$A$3)*('Anchor Points'!$E$4-'Anchor Points'!$E$3),IF(A37&lt;=40,'Anchor Points'!$E$4+(A37-'Anchor Points'!$A$4)/('Anchor Points'!$A$5-'Anchor Points'!$A$4)*('Anchor Points'!$E$5-'Anchor Points'!$E$4),IF(A37&lt;=55,'Anchor Points'!$E$5+(A37-'Anchor Points'!$A$5)/('Anchor Points'!$A$6-'Anchor Points'!$A$5)*('Anchor Points'!$E$6-'Anchor Points'!$E$5),IF(A37&lt;=70,'Anchor Points'!$E$6+(A37-'Anchor Points'!$A$6)/('Anchor Points'!$A$7-'Anchor Points'!$A$6)*('Anchor Points'!$E$7-'Anchor Points'!$E$6),IF(A37&lt;=90,'Anchor Points'!$E$7+(A37-'Anchor Points'!$A$7)/('Anchor Points'!$A$8-'Anchor Points'!$A$7)*('Anchor Points'!$E$8-'Anchor Points'!$E$7),'Anchor Points'!$E$8+(A37-'Anchor Points'!$A$8)/('Anchor Points'!$A$9-'Anchor Points'!$A$8)*('Anchor Points'!$E$9-'Anchor Points'!$E$8)))))))</x:f>
        <x:v>0</x:v>
      </x:c>
      <x:c r="H37" s="30" t="n">
        <x:f>ROUND(G37,0)</x:f>
        <x:v>0</x:v>
      </x:c>
      <x:c r="I37" s="28" t="n">
        <x:f>IF(A37&lt;=15,'Anchor Points'!$F$2+(A37-'Anchor Points'!$A$2)/('Anchor Points'!$A$3-'Anchor Points'!$A$2)*('Anchor Points'!$F$3-'Anchor Points'!$F$2),IF(A37&lt;=25,'Anchor Points'!$F$3+(A37-'Anchor Points'!$A$3)/('Anchor Points'!$A$4-'Anchor Points'!$A$3)*('Anchor Points'!$F$4-'Anchor Points'!$F$3),IF(A37&lt;=40,'Anchor Points'!$F$4+(A37-'Anchor Points'!$A$4)/('Anchor Points'!$A$5-'Anchor Points'!$A$4)*('Anchor Points'!$F$5-'Anchor Points'!$F$4),IF(A37&lt;=55,'Anchor Points'!$F$5+(A37-'Anchor Points'!$A$5)/('Anchor Points'!$A$6-'Anchor Points'!$A$5)*('Anchor Points'!$F$6-'Anchor Points'!$F$5),IF(A37&lt;=70,'Anchor Points'!$F$6+(A37-'Anchor Points'!$A$6)/('Anchor Points'!$A$7-'Anchor Points'!$A$6)*('Anchor Points'!$F$7-'Anchor Points'!$F$6),IF(A37&lt;=90,'Anchor Points'!$F$7+(A37-'Anchor Points'!$A$7)/('Anchor Points'!$A$8-'Anchor Points'!$A$7)*('Anchor Points'!$F$8-'Anchor Points'!$F$7),'Anchor Points'!$F$8+(A37-'Anchor Points'!$A$8)/('Anchor Points'!$A$9-'Anchor Points'!$A$8)*('Anchor Points'!$F$9-'Anchor Points'!$F$8)))))))</x:f>
        <x:v>0</x:v>
      </x:c>
      <x:c r="J37" s="28" t="n">
        <x:v>8</x:v>
      </x:c>
      <x:c r="K37" s="56" t="n">
        <x:v>9</x:v>
      </x:c>
      <x:c r="L37" s="52" t="n">
        <x:v>10</x:v>
      </x:c>
      <x:c r="M37" s="52" t="n">
        <x:v>60</x:v>
      </x:c>
      <x:c r="N37" s="56" t="n">
        <x:v>65</x:v>
      </x:c>
      <x:c r="O37" s="28" t="n">
        <x:v>70</x:v>
      </x:c>
      <x:c r="P37" s="28" t="n">
        <x:v>65</x:v>
      </x:c>
      <x:c r="Q37" s="55" t="n">
        <x:v>75</x:v>
      </x:c>
      <x:c r="R37" s="28" t="n">
        <x:v>85</x:v>
      </x:c>
      <x:c r="S37" s="28" t="n">
        <x:v>12</x:v>
      </x:c>
      <x:c r="T37" s="28" t="n">
        <x:v>15</x:v>
      </x:c>
      <x:c r="U37" s="55" t="n">
        <x:v>18</x:v>
      </x:c>
      <x:c r="V37" s="28" t="n">
        <x:v>340</x:v>
      </x:c>
      <x:c r="W37" s="55" t="n">
        <x:v>445</x:v>
      </x:c>
      <x:c r="X37" s="28" t="n">
        <x:v>550</x:v>
      </x:c>
    </x:row>
    <x:row r="38">
      <x:c r="A38" s="30" t="n">
        <x:v>36</x:v>
      </x:c>
      <x:c r="B38" s="11" t="str">
        <x:f>IF(A38&lt;=15,"Seedling",IF(A38&lt;=25,"Establishment",IF(A38&lt;=40,"Vegetative Growth",IF(A38&lt;=55,"Flowering &amp; Initial Fruit Set",IF(A38&lt;=80,"Fruit Enlargement",IF(A38&lt;=95,"Ripening","Harvesting"))))))</x:f>
        <x:v>Vegetative Growth</x:v>
      </x:c>
      <x:c r="C38" s="28" t="n">
        <x:f>IF(A38&lt;=15,'Anchor Points'!$B$2+(A38-'Anchor Points'!$A$2)/('Anchor Points'!$A$3-'Anchor Points'!$A$2)*('Anchor Points'!$B$3-'Anchor Points'!$B$2),IF(A38&lt;=25,'Anchor Points'!$B$3+(A38-'Anchor Points'!$A$3)/('Anchor Points'!$A$4-'Anchor Points'!$A$3)*('Anchor Points'!$B$4-'Anchor Points'!$B$3),IF(A38&lt;=40,'Anchor Points'!$B$4+(A38-'Anchor Points'!$A$4)/('Anchor Points'!$A$5-'Anchor Points'!$A$4)*('Anchor Points'!$B$5-'Anchor Points'!$B$4),IF(A38&lt;=55,'Anchor Points'!$B$5+(A38-'Anchor Points'!$A$5)/('Anchor Points'!$A$6-'Anchor Points'!$A$5)*('Anchor Points'!$B$6-'Anchor Points'!$B$5),IF(A38&lt;=70,'Anchor Points'!$B$6+(A38-'Anchor Points'!$A$6)/('Anchor Points'!$A$7-'Anchor Points'!$A$6)*('Anchor Points'!$B$7-'Anchor Points'!$B$6),IF(A38&lt;=90,'Anchor Points'!$B$7+(A38-'Anchor Points'!$A$7)/('Anchor Points'!$A$8-'Anchor Points'!$A$7)*('Anchor Points'!$B$8-'Anchor Points'!$B$7),'Anchor Points'!$B$8+(A38-'Anchor Points'!$A$8)/('Anchor Points'!$A$9-'Anchor Points'!$A$8)*('Anchor Points'!$B$9-'Anchor Points'!$B$8)))))))</x:f>
        <x:v>33.2</x:v>
      </x:c>
      <x:c r="D38" s="28" t="n">
        <x:f>IF(A38&lt;=15,'Anchor Points'!$C$2+(A38-'Anchor Points'!$A$2)/('Anchor Points'!$A$3-'Anchor Points'!$A$2)*('Anchor Points'!$C$3-'Anchor Points'!$C$2),IF(A38&lt;=25,'Anchor Points'!$C$3+(A38-'Anchor Points'!$A$3)/('Anchor Points'!$A$4-'Anchor Points'!$A$3)*('Anchor Points'!$C$4-'Anchor Points'!$C$3),IF(A38&lt;=40,'Anchor Points'!$C$4+(A38-'Anchor Points'!$A$4)/('Anchor Points'!$A$5-'Anchor Points'!$A$4)*('Anchor Points'!$C$5-'Anchor Points'!$C$4),IF(A38&lt;=55,'Anchor Points'!$C$5+(A38-'Anchor Points'!$A$5)/('Anchor Points'!$A$6-'Anchor Points'!$A$5)*('Anchor Points'!$C$6-'Anchor Points'!$C$5),IF(A38&lt;=70,'Anchor Points'!$C$6+(A38-'Anchor Points'!$A$6)/('Anchor Points'!$A$7-'Anchor Points'!$A$6)*('Anchor Points'!$C$7-'Anchor Points'!$C$6),IF(A38&lt;=90,'Anchor Points'!$C$7+(A38-'Anchor Points'!$A$7)/('Anchor Points'!$A$8-'Anchor Points'!$A$7)*('Anchor Points'!$C$8-'Anchor Points'!$C$7),'Anchor Points'!$C$8+(A38-'Anchor Points'!$A$8)/('Anchor Points'!$A$9-'Anchor Points'!$A$8)*('Anchor Points'!$C$9-'Anchor Points'!$C$8)))))))</x:f>
        <x:v>21</x:v>
      </x:c>
      <x:c r="E38" s="28" t="n">
        <x:f>IF(A38&lt;=15,'Anchor Points'!$D$2+(A38-'Anchor Points'!$A$2)/('Anchor Points'!$A$3-'Anchor Points'!$A$2)*('Anchor Points'!$D$3-'Anchor Points'!$D$2),IF(A38&lt;=25,'Anchor Points'!$D$3+(A38-'Anchor Points'!$A$3)/('Anchor Points'!$A$4-'Anchor Points'!$A$3)*('Anchor Points'!$D$4-'Anchor Points'!$D$3),IF(A38&lt;=40,'Anchor Points'!$D$4+(A38-'Anchor Points'!$A$4)/('Anchor Points'!$A$5-'Anchor Points'!$A$4)*('Anchor Points'!$D$5-'Anchor Points'!$D$4),IF(A38&lt;=55,'Anchor Points'!$D$5+(A38-'Anchor Points'!$A$5)/('Anchor Points'!$A$6-'Anchor Points'!$A$5)*('Anchor Points'!$D$6-'Anchor Points'!$D$5),IF(A38&lt;=70,'Anchor Points'!$D$6+(A38-'Anchor Points'!$A$6)/('Anchor Points'!$A$7-'Anchor Points'!$A$6)*('Anchor Points'!$D$7-'Anchor Points'!$D$6),IF(A38&lt;=90,'Anchor Points'!$D$7+(A38-'Anchor Points'!$A$7)/('Anchor Points'!$A$8-'Anchor Points'!$A$7)*('Anchor Points'!$D$8-'Anchor Points'!$D$7),'Anchor Points'!$D$8+(A38-'Anchor Points'!$A$8)/('Anchor Points'!$A$9-'Anchor Points'!$A$8)*('Anchor Points'!$D$9-'Anchor Points'!$D$8)))))))</x:f>
        <x:v>1.4666666666666666</x:v>
      </x:c>
      <x:c r="F38" s="30" t="n">
        <x:f>ROUND(E38,0)</x:f>
        <x:v>1</x:v>
      </x:c>
      <x:c r="G38" s="28" t="n">
        <x:f>IF(A38&lt;=15,'Anchor Points'!$E$2+(A38-'Anchor Points'!$A$2)/('Anchor Points'!$A$3-'Anchor Points'!$A$2)*('Anchor Points'!$E$3-'Anchor Points'!$E$2),IF(A38&lt;=25,'Anchor Points'!$E$3+(A38-'Anchor Points'!$A$3)/('Anchor Points'!$A$4-'Anchor Points'!$A$3)*('Anchor Points'!$E$4-'Anchor Points'!$E$3),IF(A38&lt;=40,'Anchor Points'!$E$4+(A38-'Anchor Points'!$A$4)/('Anchor Points'!$A$5-'Anchor Points'!$A$4)*('Anchor Points'!$E$5-'Anchor Points'!$E$4),IF(A38&lt;=55,'Anchor Points'!$E$5+(A38-'Anchor Points'!$A$5)/('Anchor Points'!$A$6-'Anchor Points'!$A$5)*('Anchor Points'!$E$6-'Anchor Points'!$E$5),IF(A38&lt;=70,'Anchor Points'!$E$6+(A38-'Anchor Points'!$A$6)/('Anchor Points'!$A$7-'Anchor Points'!$A$6)*('Anchor Points'!$E$7-'Anchor Points'!$E$6),IF(A38&lt;=90,'Anchor Points'!$E$7+(A38-'Anchor Points'!$A$7)/('Anchor Points'!$A$8-'Anchor Points'!$A$7)*('Anchor Points'!$E$8-'Anchor Points'!$E$7),'Anchor Points'!$E$8+(A38-'Anchor Points'!$A$8)/('Anchor Points'!$A$9-'Anchor Points'!$A$8)*('Anchor Points'!$E$9-'Anchor Points'!$E$8)))))))</x:f>
        <x:v>0</x:v>
      </x:c>
      <x:c r="H38" s="30" t="n">
        <x:f>ROUND(G38,0)</x:f>
        <x:v>0</x:v>
      </x:c>
      <x:c r="I38" s="28" t="n">
        <x:f>IF(A38&lt;=15,'Anchor Points'!$F$2+(A38-'Anchor Points'!$A$2)/('Anchor Points'!$A$3-'Anchor Points'!$A$2)*('Anchor Points'!$F$3-'Anchor Points'!$F$2),IF(A38&lt;=25,'Anchor Points'!$F$3+(A38-'Anchor Points'!$A$3)/('Anchor Points'!$A$4-'Anchor Points'!$A$3)*('Anchor Points'!$F$4-'Anchor Points'!$F$3),IF(A38&lt;=40,'Anchor Points'!$F$4+(A38-'Anchor Points'!$A$4)/('Anchor Points'!$A$5-'Anchor Points'!$A$4)*('Anchor Points'!$F$5-'Anchor Points'!$F$4),IF(A38&lt;=55,'Anchor Points'!$F$5+(A38-'Anchor Points'!$A$5)/('Anchor Points'!$A$6-'Anchor Points'!$A$5)*('Anchor Points'!$F$6-'Anchor Points'!$F$5),IF(A38&lt;=70,'Anchor Points'!$F$6+(A38-'Anchor Points'!$A$6)/('Anchor Points'!$A$7-'Anchor Points'!$A$6)*('Anchor Points'!$F$7-'Anchor Points'!$F$6),IF(A38&lt;=90,'Anchor Points'!$F$7+(A38-'Anchor Points'!$A$7)/('Anchor Points'!$A$8-'Anchor Points'!$A$7)*('Anchor Points'!$F$8-'Anchor Points'!$F$7),'Anchor Points'!$F$8+(A38-'Anchor Points'!$A$8)/('Anchor Points'!$A$9-'Anchor Points'!$A$8)*('Anchor Points'!$F$9-'Anchor Points'!$F$8)))))))</x:f>
        <x:v>0</x:v>
      </x:c>
      <x:c r="J38" s="28" t="n">
        <x:v>8</x:v>
      </x:c>
      <x:c r="K38" s="56" t="n">
        <x:v>9</x:v>
      </x:c>
      <x:c r="L38" s="52" t="n">
        <x:v>10</x:v>
      </x:c>
      <x:c r="M38" s="52" t="n">
        <x:v>60</x:v>
      </x:c>
      <x:c r="N38" s="56" t="n">
        <x:v>65</x:v>
      </x:c>
      <x:c r="O38" s="28" t="n">
        <x:v>70</x:v>
      </x:c>
      <x:c r="P38" s="28" t="n">
        <x:v>65</x:v>
      </x:c>
      <x:c r="Q38" s="55" t="n">
        <x:v>75</x:v>
      </x:c>
      <x:c r="R38" s="28" t="n">
        <x:v>85</x:v>
      </x:c>
      <x:c r="S38" s="28" t="n">
        <x:v>12</x:v>
      </x:c>
      <x:c r="T38" s="28" t="n">
        <x:v>15</x:v>
      </x:c>
      <x:c r="U38" s="55" t="n">
        <x:v>18</x:v>
      </x:c>
      <x:c r="V38" s="28" t="n">
        <x:v>352</x:v>
      </x:c>
      <x:c r="W38" s="55" t="n">
        <x:v>460</x:v>
      </x:c>
      <x:c r="X38" s="28" t="n">
        <x:v>568</x:v>
      </x:c>
    </x:row>
    <x:row r="39">
      <x:c r="A39" s="30" t="n">
        <x:v>37</x:v>
      </x:c>
      <x:c r="B39" s="11" t="str">
        <x:f>IF(A39&lt;=15,"Seedling",IF(A39&lt;=25,"Establishment",IF(A39&lt;=40,"Vegetative Growth",IF(A39&lt;=55,"Flowering &amp; Initial Fruit Set",IF(A39&lt;=80,"Fruit Enlargement",IF(A39&lt;=95,"Ripening","Harvesting"))))))</x:f>
        <x:v>Vegetative Growth</x:v>
      </x:c>
      <x:c r="C39" s="28" t="n">
        <x:f>IF(A39&lt;=15,'Anchor Points'!$B$2+(A39-'Anchor Points'!$A$2)/('Anchor Points'!$A$3-'Anchor Points'!$A$2)*('Anchor Points'!$B$3-'Anchor Points'!$B$2),IF(A39&lt;=25,'Anchor Points'!$B$3+(A39-'Anchor Points'!$A$3)/('Anchor Points'!$A$4-'Anchor Points'!$A$3)*('Anchor Points'!$B$4-'Anchor Points'!$B$3),IF(A39&lt;=40,'Anchor Points'!$B$4+(A39-'Anchor Points'!$A$4)/('Anchor Points'!$A$5-'Anchor Points'!$A$4)*('Anchor Points'!$B$5-'Anchor Points'!$B$4),IF(A39&lt;=55,'Anchor Points'!$B$5+(A39-'Anchor Points'!$A$5)/('Anchor Points'!$A$6-'Anchor Points'!$A$5)*('Anchor Points'!$B$6-'Anchor Points'!$B$5),IF(A39&lt;=70,'Anchor Points'!$B$6+(A39-'Anchor Points'!$A$6)/('Anchor Points'!$A$7-'Anchor Points'!$A$6)*('Anchor Points'!$B$7-'Anchor Points'!$B$6),IF(A39&lt;=90,'Anchor Points'!$B$7+(A39-'Anchor Points'!$A$7)/('Anchor Points'!$A$8-'Anchor Points'!$A$7)*('Anchor Points'!$B$8-'Anchor Points'!$B$7),'Anchor Points'!$B$8+(A39-'Anchor Points'!$A$8)/('Anchor Points'!$A$9-'Anchor Points'!$A$8)*('Anchor Points'!$B$9-'Anchor Points'!$B$8)))))))</x:f>
        <x:v>34.4</x:v>
      </x:c>
      <x:c r="D39" s="28" t="n">
        <x:f>IF(A39&lt;=15,'Anchor Points'!$C$2+(A39-'Anchor Points'!$A$2)/('Anchor Points'!$A$3-'Anchor Points'!$A$2)*('Anchor Points'!$C$3-'Anchor Points'!$C$2),IF(A39&lt;=25,'Anchor Points'!$C$3+(A39-'Anchor Points'!$A$3)/('Anchor Points'!$A$4-'Anchor Points'!$A$3)*('Anchor Points'!$C$4-'Anchor Points'!$C$3),IF(A39&lt;=40,'Anchor Points'!$C$4+(A39-'Anchor Points'!$A$4)/('Anchor Points'!$A$5-'Anchor Points'!$A$4)*('Anchor Points'!$C$5-'Anchor Points'!$C$4),IF(A39&lt;=55,'Anchor Points'!$C$5+(A39-'Anchor Points'!$A$5)/('Anchor Points'!$A$6-'Anchor Points'!$A$5)*('Anchor Points'!$C$6-'Anchor Points'!$C$5),IF(A39&lt;=70,'Anchor Points'!$C$6+(A39-'Anchor Points'!$A$6)/('Anchor Points'!$A$7-'Anchor Points'!$A$6)*('Anchor Points'!$C$7-'Anchor Points'!$C$6),IF(A39&lt;=90,'Anchor Points'!$C$7+(A39-'Anchor Points'!$A$7)/('Anchor Points'!$A$8-'Anchor Points'!$A$7)*('Anchor Points'!$C$8-'Anchor Points'!$C$7),'Anchor Points'!$C$8+(A39-'Anchor Points'!$A$8)/('Anchor Points'!$A$9-'Anchor Points'!$A$8)*('Anchor Points'!$C$9-'Anchor Points'!$C$8)))))))</x:f>
        <x:v>22</x:v>
      </x:c>
      <x:c r="E39" s="28" t="n">
        <x:f>IF(A39&lt;=15,'Anchor Points'!$D$2+(A39-'Anchor Points'!$A$2)/('Anchor Points'!$A$3-'Anchor Points'!$A$2)*('Anchor Points'!$D$3-'Anchor Points'!$D$2),IF(A39&lt;=25,'Anchor Points'!$D$3+(A39-'Anchor Points'!$A$3)/('Anchor Points'!$A$4-'Anchor Points'!$A$3)*('Anchor Points'!$D$4-'Anchor Points'!$D$3),IF(A39&lt;=40,'Anchor Points'!$D$4+(A39-'Anchor Points'!$A$4)/('Anchor Points'!$A$5-'Anchor Points'!$A$4)*('Anchor Points'!$D$5-'Anchor Points'!$D$4),IF(A39&lt;=55,'Anchor Points'!$D$5+(A39-'Anchor Points'!$A$5)/('Anchor Points'!$A$6-'Anchor Points'!$A$5)*('Anchor Points'!$D$6-'Anchor Points'!$D$5),IF(A39&lt;=70,'Anchor Points'!$D$6+(A39-'Anchor Points'!$A$6)/('Anchor Points'!$A$7-'Anchor Points'!$A$6)*('Anchor Points'!$D$7-'Anchor Points'!$D$6),IF(A39&lt;=90,'Anchor Points'!$D$7+(A39-'Anchor Points'!$A$7)/('Anchor Points'!$A$8-'Anchor Points'!$A$7)*('Anchor Points'!$D$8-'Anchor Points'!$D$7),'Anchor Points'!$D$8+(A39-'Anchor Points'!$A$8)/('Anchor Points'!$A$9-'Anchor Points'!$A$8)*('Anchor Points'!$D$9-'Anchor Points'!$D$8)))))))</x:f>
        <x:v>1.6</x:v>
      </x:c>
      <x:c r="F39" s="30" t="n">
        <x:f>ROUND(E39,0)</x:f>
        <x:v>2</x:v>
      </x:c>
      <x:c r="G39" s="28" t="n">
        <x:f>IF(A39&lt;=15,'Anchor Points'!$E$2+(A39-'Anchor Points'!$A$2)/('Anchor Points'!$A$3-'Anchor Points'!$A$2)*('Anchor Points'!$E$3-'Anchor Points'!$E$2),IF(A39&lt;=25,'Anchor Points'!$E$3+(A39-'Anchor Points'!$A$3)/('Anchor Points'!$A$4-'Anchor Points'!$A$3)*('Anchor Points'!$E$4-'Anchor Points'!$E$3),IF(A39&lt;=40,'Anchor Points'!$E$4+(A39-'Anchor Points'!$A$4)/('Anchor Points'!$A$5-'Anchor Points'!$A$4)*('Anchor Points'!$E$5-'Anchor Points'!$E$4),IF(A39&lt;=55,'Anchor Points'!$E$5+(A39-'Anchor Points'!$A$5)/('Anchor Points'!$A$6-'Anchor Points'!$A$5)*('Anchor Points'!$E$6-'Anchor Points'!$E$5),IF(A39&lt;=70,'Anchor Points'!$E$6+(A39-'Anchor Points'!$A$6)/('Anchor Points'!$A$7-'Anchor Points'!$A$6)*('Anchor Points'!$E$7-'Anchor Points'!$E$6),IF(A39&lt;=90,'Anchor Points'!$E$7+(A39-'Anchor Points'!$A$7)/('Anchor Points'!$A$8-'Anchor Points'!$A$7)*('Anchor Points'!$E$8-'Anchor Points'!$E$7),'Anchor Points'!$E$8+(A39-'Anchor Points'!$A$8)/('Anchor Points'!$A$9-'Anchor Points'!$A$8)*('Anchor Points'!$E$9-'Anchor Points'!$E$8)))))))</x:f>
        <x:v>0</x:v>
      </x:c>
      <x:c r="H39" s="30" t="n">
        <x:f>ROUND(G39,0)</x:f>
        <x:v>0</x:v>
      </x:c>
      <x:c r="I39" s="28" t="n">
        <x:f>IF(A39&lt;=15,'Anchor Points'!$F$2+(A39-'Anchor Points'!$A$2)/('Anchor Points'!$A$3-'Anchor Points'!$A$2)*('Anchor Points'!$F$3-'Anchor Points'!$F$2),IF(A39&lt;=25,'Anchor Points'!$F$3+(A39-'Anchor Points'!$A$3)/('Anchor Points'!$A$4-'Anchor Points'!$A$3)*('Anchor Points'!$F$4-'Anchor Points'!$F$3),IF(A39&lt;=40,'Anchor Points'!$F$4+(A39-'Anchor Points'!$A$4)/('Anchor Points'!$A$5-'Anchor Points'!$A$4)*('Anchor Points'!$F$5-'Anchor Points'!$F$4),IF(A39&lt;=55,'Anchor Points'!$F$5+(A39-'Anchor Points'!$A$5)/('Anchor Points'!$A$6-'Anchor Points'!$A$5)*('Anchor Points'!$F$6-'Anchor Points'!$F$5),IF(A39&lt;=70,'Anchor Points'!$F$6+(A39-'Anchor Points'!$A$6)/('Anchor Points'!$A$7-'Anchor Points'!$A$6)*('Anchor Points'!$F$7-'Anchor Points'!$F$6),IF(A39&lt;=90,'Anchor Points'!$F$7+(A39-'Anchor Points'!$A$7)/('Anchor Points'!$A$8-'Anchor Points'!$A$7)*('Anchor Points'!$F$8-'Anchor Points'!$F$7),'Anchor Points'!$F$8+(A39-'Anchor Points'!$A$8)/('Anchor Points'!$A$9-'Anchor Points'!$A$8)*('Anchor Points'!$F$9-'Anchor Points'!$F$8)))))))</x:f>
        <x:v>0</x:v>
      </x:c>
      <x:c r="J39" s="28" t="n">
        <x:v>8</x:v>
      </x:c>
      <x:c r="K39" s="56" t="n">
        <x:v>9</x:v>
      </x:c>
      <x:c r="L39" s="52" t="n">
        <x:v>10</x:v>
      </x:c>
      <x:c r="M39" s="52" t="n">
        <x:v>60</x:v>
      </x:c>
      <x:c r="N39" s="56" t="n">
        <x:v>65</x:v>
      </x:c>
      <x:c r="O39" s="28" t="n">
        <x:v>70</x:v>
      </x:c>
      <x:c r="P39" s="28" t="n">
        <x:v>65</x:v>
      </x:c>
      <x:c r="Q39" s="55" t="n">
        <x:v>75</x:v>
      </x:c>
      <x:c r="R39" s="28" t="n">
        <x:v>85</x:v>
      </x:c>
      <x:c r="S39" s="28" t="n">
        <x:v>12</x:v>
      </x:c>
      <x:c r="T39" s="28" t="n">
        <x:v>15</x:v>
      </x:c>
      <x:c r="U39" s="55" t="n">
        <x:v>18</x:v>
      </x:c>
      <x:c r="V39" s="28" t="n">
        <x:v>364</x:v>
      </x:c>
      <x:c r="W39" s="55" t="n">
        <x:v>475</x:v>
      </x:c>
      <x:c r="X39" s="28" t="n">
        <x:v>586</x:v>
      </x:c>
    </x:row>
    <x:row r="40">
      <x:c r="A40" s="30" t="n">
        <x:v>38</x:v>
      </x:c>
      <x:c r="B40" s="11" t="str">
        <x:f>IF(A40&lt;=15,"Seedling",IF(A40&lt;=25,"Establishment",IF(A40&lt;=40,"Vegetative Growth",IF(A40&lt;=55,"Flowering &amp; Initial Fruit Set",IF(A40&lt;=80,"Fruit Enlargement",IF(A40&lt;=95,"Ripening","Harvesting"))))))</x:f>
        <x:v>Vegetative Growth</x:v>
      </x:c>
      <x:c r="C40" s="28" t="n">
        <x:f>IF(A40&lt;=15,'Anchor Points'!$B$2+(A40-'Anchor Points'!$A$2)/('Anchor Points'!$A$3-'Anchor Points'!$A$2)*('Anchor Points'!$B$3-'Anchor Points'!$B$2),IF(A40&lt;=25,'Anchor Points'!$B$3+(A40-'Anchor Points'!$A$3)/('Anchor Points'!$A$4-'Anchor Points'!$A$3)*('Anchor Points'!$B$4-'Anchor Points'!$B$3),IF(A40&lt;=40,'Anchor Points'!$B$4+(A40-'Anchor Points'!$A$4)/('Anchor Points'!$A$5-'Anchor Points'!$A$4)*('Anchor Points'!$B$5-'Anchor Points'!$B$4),IF(A40&lt;=55,'Anchor Points'!$B$5+(A40-'Anchor Points'!$A$5)/('Anchor Points'!$A$6-'Anchor Points'!$A$5)*('Anchor Points'!$B$6-'Anchor Points'!$B$5),IF(A40&lt;=70,'Anchor Points'!$B$6+(A40-'Anchor Points'!$A$6)/('Anchor Points'!$A$7-'Anchor Points'!$A$6)*('Anchor Points'!$B$7-'Anchor Points'!$B$6),IF(A40&lt;=90,'Anchor Points'!$B$7+(A40-'Anchor Points'!$A$7)/('Anchor Points'!$A$8-'Anchor Points'!$A$7)*('Anchor Points'!$B$8-'Anchor Points'!$B$7),'Anchor Points'!$B$8+(A40-'Anchor Points'!$A$8)/('Anchor Points'!$A$9-'Anchor Points'!$A$8)*('Anchor Points'!$B$9-'Anchor Points'!$B$8)))))))</x:f>
        <x:v>35.6</x:v>
      </x:c>
      <x:c r="D40" s="28" t="n">
        <x:f>IF(A40&lt;=15,'Anchor Points'!$C$2+(A40-'Anchor Points'!$A$2)/('Anchor Points'!$A$3-'Anchor Points'!$A$2)*('Anchor Points'!$C$3-'Anchor Points'!$C$2),IF(A40&lt;=25,'Anchor Points'!$C$3+(A40-'Anchor Points'!$A$3)/('Anchor Points'!$A$4-'Anchor Points'!$A$3)*('Anchor Points'!$C$4-'Anchor Points'!$C$3),IF(A40&lt;=40,'Anchor Points'!$C$4+(A40-'Anchor Points'!$A$4)/('Anchor Points'!$A$5-'Anchor Points'!$A$4)*('Anchor Points'!$C$5-'Anchor Points'!$C$4),IF(A40&lt;=55,'Anchor Points'!$C$5+(A40-'Anchor Points'!$A$5)/('Anchor Points'!$A$6-'Anchor Points'!$A$5)*('Anchor Points'!$C$6-'Anchor Points'!$C$5),IF(A40&lt;=70,'Anchor Points'!$C$6+(A40-'Anchor Points'!$A$6)/('Anchor Points'!$A$7-'Anchor Points'!$A$6)*('Anchor Points'!$C$7-'Anchor Points'!$C$6),IF(A40&lt;=90,'Anchor Points'!$C$7+(A40-'Anchor Points'!$A$7)/('Anchor Points'!$A$8-'Anchor Points'!$A$7)*('Anchor Points'!$C$8-'Anchor Points'!$C$7),'Anchor Points'!$C$8+(A40-'Anchor Points'!$A$8)/('Anchor Points'!$A$9-'Anchor Points'!$A$8)*('Anchor Points'!$C$9-'Anchor Points'!$C$8)))))))</x:f>
        <x:v>23</x:v>
      </x:c>
      <x:c r="E40" s="28" t="n">
        <x:f>IF(A40&lt;=15,'Anchor Points'!$D$2+(A40-'Anchor Points'!$A$2)/('Anchor Points'!$A$3-'Anchor Points'!$A$2)*('Anchor Points'!$D$3-'Anchor Points'!$D$2),IF(A40&lt;=25,'Anchor Points'!$D$3+(A40-'Anchor Points'!$A$3)/('Anchor Points'!$A$4-'Anchor Points'!$A$3)*('Anchor Points'!$D$4-'Anchor Points'!$D$3),IF(A40&lt;=40,'Anchor Points'!$D$4+(A40-'Anchor Points'!$A$4)/('Anchor Points'!$A$5-'Anchor Points'!$A$4)*('Anchor Points'!$D$5-'Anchor Points'!$D$4),IF(A40&lt;=55,'Anchor Points'!$D$5+(A40-'Anchor Points'!$A$5)/('Anchor Points'!$A$6-'Anchor Points'!$A$5)*('Anchor Points'!$D$6-'Anchor Points'!$D$5),IF(A40&lt;=70,'Anchor Points'!$D$6+(A40-'Anchor Points'!$A$6)/('Anchor Points'!$A$7-'Anchor Points'!$A$6)*('Anchor Points'!$D$7-'Anchor Points'!$D$6),IF(A40&lt;=90,'Anchor Points'!$D$7+(A40-'Anchor Points'!$A$7)/('Anchor Points'!$A$8-'Anchor Points'!$A$7)*('Anchor Points'!$D$8-'Anchor Points'!$D$7),'Anchor Points'!$D$8+(A40-'Anchor Points'!$A$8)/('Anchor Points'!$A$9-'Anchor Points'!$A$8)*('Anchor Points'!$D$9-'Anchor Points'!$D$8)))))))</x:f>
        <x:v>1.7333333333333334</x:v>
      </x:c>
      <x:c r="F40" s="30" t="n">
        <x:f>ROUND(E40,0)</x:f>
        <x:v>2</x:v>
      </x:c>
      <x:c r="G40" s="28" t="n">
        <x:f>IF(A40&lt;=15,'Anchor Points'!$E$2+(A40-'Anchor Points'!$A$2)/('Anchor Points'!$A$3-'Anchor Points'!$A$2)*('Anchor Points'!$E$3-'Anchor Points'!$E$2),IF(A40&lt;=25,'Anchor Points'!$E$3+(A40-'Anchor Points'!$A$3)/('Anchor Points'!$A$4-'Anchor Points'!$A$3)*('Anchor Points'!$E$4-'Anchor Points'!$E$3),IF(A40&lt;=40,'Anchor Points'!$E$4+(A40-'Anchor Points'!$A$4)/('Anchor Points'!$A$5-'Anchor Points'!$A$4)*('Anchor Points'!$E$5-'Anchor Points'!$E$4),IF(A40&lt;=55,'Anchor Points'!$E$5+(A40-'Anchor Points'!$A$5)/('Anchor Points'!$A$6-'Anchor Points'!$A$5)*('Anchor Points'!$E$6-'Anchor Points'!$E$5),IF(A40&lt;=70,'Anchor Points'!$E$6+(A40-'Anchor Points'!$A$6)/('Anchor Points'!$A$7-'Anchor Points'!$A$6)*('Anchor Points'!$E$7-'Anchor Points'!$E$6),IF(A40&lt;=90,'Anchor Points'!$E$7+(A40-'Anchor Points'!$A$7)/('Anchor Points'!$A$8-'Anchor Points'!$A$7)*('Anchor Points'!$E$8-'Anchor Points'!$E$7),'Anchor Points'!$E$8+(A40-'Anchor Points'!$A$8)/('Anchor Points'!$A$9-'Anchor Points'!$A$8)*('Anchor Points'!$E$9-'Anchor Points'!$E$8)))))))</x:f>
        <x:v>0</x:v>
      </x:c>
      <x:c r="H40" s="30" t="n">
        <x:f>ROUND(G40,0)</x:f>
        <x:v>0</x:v>
      </x:c>
      <x:c r="I40" s="28" t="n">
        <x:f>IF(A40&lt;=15,'Anchor Points'!$F$2+(A40-'Anchor Points'!$A$2)/('Anchor Points'!$A$3-'Anchor Points'!$A$2)*('Anchor Points'!$F$3-'Anchor Points'!$F$2),IF(A40&lt;=25,'Anchor Points'!$F$3+(A40-'Anchor Points'!$A$3)/('Anchor Points'!$A$4-'Anchor Points'!$A$3)*('Anchor Points'!$F$4-'Anchor Points'!$F$3),IF(A40&lt;=40,'Anchor Points'!$F$4+(A40-'Anchor Points'!$A$4)/('Anchor Points'!$A$5-'Anchor Points'!$A$4)*('Anchor Points'!$F$5-'Anchor Points'!$F$4),IF(A40&lt;=55,'Anchor Points'!$F$5+(A40-'Anchor Points'!$A$5)/('Anchor Points'!$A$6-'Anchor Points'!$A$5)*('Anchor Points'!$F$6-'Anchor Points'!$F$5),IF(A40&lt;=70,'Anchor Points'!$F$6+(A40-'Anchor Points'!$A$6)/('Anchor Points'!$A$7-'Anchor Points'!$A$6)*('Anchor Points'!$F$7-'Anchor Points'!$F$6),IF(A40&lt;=90,'Anchor Points'!$F$7+(A40-'Anchor Points'!$A$7)/('Anchor Points'!$A$8-'Anchor Points'!$A$7)*('Anchor Points'!$F$8-'Anchor Points'!$F$7),'Anchor Points'!$F$8+(A40-'Anchor Points'!$A$8)/('Anchor Points'!$A$9-'Anchor Points'!$A$8)*('Anchor Points'!$F$9-'Anchor Points'!$F$8)))))))</x:f>
        <x:v>0</x:v>
      </x:c>
      <x:c r="J40" s="28" t="n">
        <x:v>8</x:v>
      </x:c>
      <x:c r="K40" s="56" t="n">
        <x:v>9</x:v>
      </x:c>
      <x:c r="L40" s="52" t="n">
        <x:v>10</x:v>
      </x:c>
      <x:c r="M40" s="52" t="n">
        <x:v>60</x:v>
      </x:c>
      <x:c r="N40" s="56" t="n">
        <x:v>65</x:v>
      </x:c>
      <x:c r="O40" s="28" t="n">
        <x:v>70</x:v>
      </x:c>
      <x:c r="P40" s="28" t="n">
        <x:v>65</x:v>
      </x:c>
      <x:c r="Q40" s="55" t="n">
        <x:v>75</x:v>
      </x:c>
      <x:c r="R40" s="28" t="n">
        <x:v>85</x:v>
      </x:c>
      <x:c r="S40" s="28" t="n">
        <x:v>12</x:v>
      </x:c>
      <x:c r="T40" s="28" t="n">
        <x:v>15</x:v>
      </x:c>
      <x:c r="U40" s="55" t="n">
        <x:v>18</x:v>
      </x:c>
      <x:c r="V40" s="28" t="n">
        <x:v>376</x:v>
      </x:c>
      <x:c r="W40" s="55" t="n">
        <x:v>490</x:v>
      </x:c>
      <x:c r="X40" s="28" t="n">
        <x:v>604</x:v>
      </x:c>
    </x:row>
    <x:row r="41">
      <x:c r="A41" s="30" t="n">
        <x:v>39</x:v>
      </x:c>
      <x:c r="B41" s="11" t="str">
        <x:f>IF(A41&lt;=15,"Seedling",IF(A41&lt;=25,"Establishment",IF(A41&lt;=40,"Vegetative Growth",IF(A41&lt;=55,"Flowering &amp; Initial Fruit Set",IF(A41&lt;=80,"Fruit Enlargement",IF(A41&lt;=95,"Ripening","Harvesting"))))))</x:f>
        <x:v>Vegetative Growth</x:v>
      </x:c>
      <x:c r="C41" s="28" t="n">
        <x:f>IF(A41&lt;=15,'Anchor Points'!$B$2+(A41-'Anchor Points'!$A$2)/('Anchor Points'!$A$3-'Anchor Points'!$A$2)*('Anchor Points'!$B$3-'Anchor Points'!$B$2),IF(A41&lt;=25,'Anchor Points'!$B$3+(A41-'Anchor Points'!$A$3)/('Anchor Points'!$A$4-'Anchor Points'!$A$3)*('Anchor Points'!$B$4-'Anchor Points'!$B$3),IF(A41&lt;=40,'Anchor Points'!$B$4+(A41-'Anchor Points'!$A$4)/('Anchor Points'!$A$5-'Anchor Points'!$A$4)*('Anchor Points'!$B$5-'Anchor Points'!$B$4),IF(A41&lt;=55,'Anchor Points'!$B$5+(A41-'Anchor Points'!$A$5)/('Anchor Points'!$A$6-'Anchor Points'!$A$5)*('Anchor Points'!$B$6-'Anchor Points'!$B$5),IF(A41&lt;=70,'Anchor Points'!$B$6+(A41-'Anchor Points'!$A$6)/('Anchor Points'!$A$7-'Anchor Points'!$A$6)*('Anchor Points'!$B$7-'Anchor Points'!$B$6),IF(A41&lt;=90,'Anchor Points'!$B$7+(A41-'Anchor Points'!$A$7)/('Anchor Points'!$A$8-'Anchor Points'!$A$7)*('Anchor Points'!$B$8-'Anchor Points'!$B$7),'Anchor Points'!$B$8+(A41-'Anchor Points'!$A$8)/('Anchor Points'!$A$9-'Anchor Points'!$A$8)*('Anchor Points'!$B$9-'Anchor Points'!$B$8)))))))</x:f>
        <x:v>36.8</x:v>
      </x:c>
      <x:c r="D41" s="28" t="n">
        <x:f>IF(A41&lt;=15,'Anchor Points'!$C$2+(A41-'Anchor Points'!$A$2)/('Anchor Points'!$A$3-'Anchor Points'!$A$2)*('Anchor Points'!$C$3-'Anchor Points'!$C$2),IF(A41&lt;=25,'Anchor Points'!$C$3+(A41-'Anchor Points'!$A$3)/('Anchor Points'!$A$4-'Anchor Points'!$A$3)*('Anchor Points'!$C$4-'Anchor Points'!$C$3),IF(A41&lt;=40,'Anchor Points'!$C$4+(A41-'Anchor Points'!$A$4)/('Anchor Points'!$A$5-'Anchor Points'!$A$4)*('Anchor Points'!$C$5-'Anchor Points'!$C$4),IF(A41&lt;=55,'Anchor Points'!$C$5+(A41-'Anchor Points'!$A$5)/('Anchor Points'!$A$6-'Anchor Points'!$A$5)*('Anchor Points'!$C$6-'Anchor Points'!$C$5),IF(A41&lt;=70,'Anchor Points'!$C$6+(A41-'Anchor Points'!$A$6)/('Anchor Points'!$A$7-'Anchor Points'!$A$6)*('Anchor Points'!$C$7-'Anchor Points'!$C$6),IF(A41&lt;=90,'Anchor Points'!$C$7+(A41-'Anchor Points'!$A$7)/('Anchor Points'!$A$8-'Anchor Points'!$A$7)*('Anchor Points'!$C$8-'Anchor Points'!$C$7),'Anchor Points'!$C$8+(A41-'Anchor Points'!$A$8)/('Anchor Points'!$A$9-'Anchor Points'!$A$8)*('Anchor Points'!$C$9-'Anchor Points'!$C$8)))))))</x:f>
        <x:v>24</x:v>
      </x:c>
      <x:c r="E41" s="28" t="n">
        <x:f>IF(A41&lt;=15,'Anchor Points'!$D$2+(A41-'Anchor Points'!$A$2)/('Anchor Points'!$A$3-'Anchor Points'!$A$2)*('Anchor Points'!$D$3-'Anchor Points'!$D$2),IF(A41&lt;=25,'Anchor Points'!$D$3+(A41-'Anchor Points'!$A$3)/('Anchor Points'!$A$4-'Anchor Points'!$A$3)*('Anchor Points'!$D$4-'Anchor Points'!$D$3),IF(A41&lt;=40,'Anchor Points'!$D$4+(A41-'Anchor Points'!$A$4)/('Anchor Points'!$A$5-'Anchor Points'!$A$4)*('Anchor Points'!$D$5-'Anchor Points'!$D$4),IF(A41&lt;=55,'Anchor Points'!$D$5+(A41-'Anchor Points'!$A$5)/('Anchor Points'!$A$6-'Anchor Points'!$A$5)*('Anchor Points'!$D$6-'Anchor Points'!$D$5),IF(A41&lt;=70,'Anchor Points'!$D$6+(A41-'Anchor Points'!$A$6)/('Anchor Points'!$A$7-'Anchor Points'!$A$6)*('Anchor Points'!$D$7-'Anchor Points'!$D$6),IF(A41&lt;=90,'Anchor Points'!$D$7+(A41-'Anchor Points'!$A$7)/('Anchor Points'!$A$8-'Anchor Points'!$A$7)*('Anchor Points'!$D$8-'Anchor Points'!$D$7),'Anchor Points'!$D$8+(A41-'Anchor Points'!$A$8)/('Anchor Points'!$A$9-'Anchor Points'!$A$8)*('Anchor Points'!$D$9-'Anchor Points'!$D$8)))))))</x:f>
        <x:v>1.8666666666666667</x:v>
      </x:c>
      <x:c r="F41" s="30" t="n">
        <x:f>ROUND(E41,0)</x:f>
        <x:v>2</x:v>
      </x:c>
      <x:c r="G41" s="28" t="n">
        <x:f>IF(A41&lt;=15,'Anchor Points'!$E$2+(A41-'Anchor Points'!$A$2)/('Anchor Points'!$A$3-'Anchor Points'!$A$2)*('Anchor Points'!$E$3-'Anchor Points'!$E$2),IF(A41&lt;=25,'Anchor Points'!$E$3+(A41-'Anchor Points'!$A$3)/('Anchor Points'!$A$4-'Anchor Points'!$A$3)*('Anchor Points'!$E$4-'Anchor Points'!$E$3),IF(A41&lt;=40,'Anchor Points'!$E$4+(A41-'Anchor Points'!$A$4)/('Anchor Points'!$A$5-'Anchor Points'!$A$4)*('Anchor Points'!$E$5-'Anchor Points'!$E$4),IF(A41&lt;=55,'Anchor Points'!$E$5+(A41-'Anchor Points'!$A$5)/('Anchor Points'!$A$6-'Anchor Points'!$A$5)*('Anchor Points'!$E$6-'Anchor Points'!$E$5),IF(A41&lt;=70,'Anchor Points'!$E$6+(A41-'Anchor Points'!$A$6)/('Anchor Points'!$A$7-'Anchor Points'!$A$6)*('Anchor Points'!$E$7-'Anchor Points'!$E$6),IF(A41&lt;=90,'Anchor Points'!$E$7+(A41-'Anchor Points'!$A$7)/('Anchor Points'!$A$8-'Anchor Points'!$A$7)*('Anchor Points'!$E$8-'Anchor Points'!$E$7),'Anchor Points'!$E$8+(A41-'Anchor Points'!$A$8)/('Anchor Points'!$A$9-'Anchor Points'!$A$8)*('Anchor Points'!$E$9-'Anchor Points'!$E$8)))))))</x:f>
        <x:v>0</x:v>
      </x:c>
      <x:c r="H41" s="30" t="n">
        <x:f>ROUND(G41,0)</x:f>
        <x:v>0</x:v>
      </x:c>
      <x:c r="I41" s="28" t="n">
        <x:f>IF(A41&lt;=15,'Anchor Points'!$F$2+(A41-'Anchor Points'!$A$2)/('Anchor Points'!$A$3-'Anchor Points'!$A$2)*('Anchor Points'!$F$3-'Anchor Points'!$F$2),IF(A41&lt;=25,'Anchor Points'!$F$3+(A41-'Anchor Points'!$A$3)/('Anchor Points'!$A$4-'Anchor Points'!$A$3)*('Anchor Points'!$F$4-'Anchor Points'!$F$3),IF(A41&lt;=40,'Anchor Points'!$F$4+(A41-'Anchor Points'!$A$4)/('Anchor Points'!$A$5-'Anchor Points'!$A$4)*('Anchor Points'!$F$5-'Anchor Points'!$F$4),IF(A41&lt;=55,'Anchor Points'!$F$5+(A41-'Anchor Points'!$A$5)/('Anchor Points'!$A$6-'Anchor Points'!$A$5)*('Anchor Points'!$F$6-'Anchor Points'!$F$5),IF(A41&lt;=70,'Anchor Points'!$F$6+(A41-'Anchor Points'!$A$6)/('Anchor Points'!$A$7-'Anchor Points'!$A$6)*('Anchor Points'!$F$7-'Anchor Points'!$F$6),IF(A41&lt;=90,'Anchor Points'!$F$7+(A41-'Anchor Points'!$A$7)/('Anchor Points'!$A$8-'Anchor Points'!$A$7)*('Anchor Points'!$F$8-'Anchor Points'!$F$7),'Anchor Points'!$F$8+(A41-'Anchor Points'!$A$8)/('Anchor Points'!$A$9-'Anchor Points'!$A$8)*('Anchor Points'!$F$9-'Anchor Points'!$F$8)))))))</x:f>
        <x:v>0</x:v>
      </x:c>
      <x:c r="J41" s="28" t="n">
        <x:v>8</x:v>
      </x:c>
      <x:c r="K41" s="56" t="n">
        <x:v>9</x:v>
      </x:c>
      <x:c r="L41" s="52" t="n">
        <x:v>10</x:v>
      </x:c>
      <x:c r="M41" s="52" t="n">
        <x:v>60</x:v>
      </x:c>
      <x:c r="N41" s="56" t="n">
        <x:v>65</x:v>
      </x:c>
      <x:c r="O41" s="28" t="n">
        <x:v>70</x:v>
      </x:c>
      <x:c r="P41" s="28" t="n">
        <x:v>65</x:v>
      </x:c>
      <x:c r="Q41" s="55" t="n">
        <x:v>75</x:v>
      </x:c>
      <x:c r="R41" s="28" t="n">
        <x:v>85</x:v>
      </x:c>
      <x:c r="S41" s="28" t="n">
        <x:v>12</x:v>
      </x:c>
      <x:c r="T41" s="28" t="n">
        <x:v>15</x:v>
      </x:c>
      <x:c r="U41" s="55" t="n">
        <x:v>18</x:v>
      </x:c>
      <x:c r="V41" s="28" t="n">
        <x:v>388</x:v>
      </x:c>
      <x:c r="W41" s="55" t="n">
        <x:v>505</x:v>
      </x:c>
      <x:c r="X41" s="28" t="n">
        <x:v>622</x:v>
      </x:c>
    </x:row>
    <x:row r="42">
      <x:c r="A42" s="30" t="n">
        <x:v>40</x:v>
      </x:c>
      <x:c r="B42" s="11" t="str">
        <x:f>IF(A42&lt;=15,"Seedling",IF(A42&lt;=25,"Establishment",IF(A42&lt;=40,"Vegetative Growth",IF(A42&lt;=55,"Flowering &amp; Initial Fruit Set",IF(A42&lt;=80,"Fruit Enlargement",IF(A42&lt;=95,"Ripening","Harvesting"))))))</x:f>
        <x:v>Vegetative Growth</x:v>
      </x:c>
      <x:c r="C42" s="28" t="n">
        <x:f>IF(A42&lt;=15,'Anchor Points'!$B$2+(A42-'Anchor Points'!$A$2)/('Anchor Points'!$A$3-'Anchor Points'!$A$2)*('Anchor Points'!$B$3-'Anchor Points'!$B$2),IF(A42&lt;=25,'Anchor Points'!$B$3+(A42-'Anchor Points'!$A$3)/('Anchor Points'!$A$4-'Anchor Points'!$A$3)*('Anchor Points'!$B$4-'Anchor Points'!$B$3),IF(A42&lt;=40,'Anchor Points'!$B$4+(A42-'Anchor Points'!$A$4)/('Anchor Points'!$A$5-'Anchor Points'!$A$4)*('Anchor Points'!$B$5-'Anchor Points'!$B$4),IF(A42&lt;=55,'Anchor Points'!$B$5+(A42-'Anchor Points'!$A$5)/('Anchor Points'!$A$6-'Anchor Points'!$A$5)*('Anchor Points'!$B$6-'Anchor Points'!$B$5),IF(A42&lt;=70,'Anchor Points'!$B$6+(A42-'Anchor Points'!$A$6)/('Anchor Points'!$A$7-'Anchor Points'!$A$6)*('Anchor Points'!$B$7-'Anchor Points'!$B$6),IF(A42&lt;=90,'Anchor Points'!$B$7+(A42-'Anchor Points'!$A$7)/('Anchor Points'!$A$8-'Anchor Points'!$A$7)*('Anchor Points'!$B$8-'Anchor Points'!$B$7),'Anchor Points'!$B$8+(A42-'Anchor Points'!$A$8)/('Anchor Points'!$A$9-'Anchor Points'!$A$8)*('Anchor Points'!$B$9-'Anchor Points'!$B$8)))))))</x:f>
        <x:v>38</x:v>
      </x:c>
      <x:c r="D42" s="28" t="n">
        <x:f>IF(A42&lt;=15,'Anchor Points'!$C$2+(A42-'Anchor Points'!$A$2)/('Anchor Points'!$A$3-'Anchor Points'!$A$2)*('Anchor Points'!$C$3-'Anchor Points'!$C$2),IF(A42&lt;=25,'Anchor Points'!$C$3+(A42-'Anchor Points'!$A$3)/('Anchor Points'!$A$4-'Anchor Points'!$A$3)*('Anchor Points'!$C$4-'Anchor Points'!$C$3),IF(A42&lt;=40,'Anchor Points'!$C$4+(A42-'Anchor Points'!$A$4)/('Anchor Points'!$A$5-'Anchor Points'!$A$4)*('Anchor Points'!$C$5-'Anchor Points'!$C$4),IF(A42&lt;=55,'Anchor Points'!$C$5+(A42-'Anchor Points'!$A$5)/('Anchor Points'!$A$6-'Anchor Points'!$A$5)*('Anchor Points'!$C$6-'Anchor Points'!$C$5),IF(A42&lt;=70,'Anchor Points'!$C$6+(A42-'Anchor Points'!$A$6)/('Anchor Points'!$A$7-'Anchor Points'!$A$6)*('Anchor Points'!$C$7-'Anchor Points'!$C$6),IF(A42&lt;=90,'Anchor Points'!$C$7+(A42-'Anchor Points'!$A$7)/('Anchor Points'!$A$8-'Anchor Points'!$A$7)*('Anchor Points'!$C$8-'Anchor Points'!$C$7),'Anchor Points'!$C$8+(A42-'Anchor Points'!$A$8)/('Anchor Points'!$A$9-'Anchor Points'!$A$8)*('Anchor Points'!$C$9-'Anchor Points'!$C$8)))))))</x:f>
        <x:v>25</x:v>
      </x:c>
      <x:c r="E42" s="28" t="n">
        <x:f>IF(A42&lt;=15,'Anchor Points'!$D$2+(A42-'Anchor Points'!$A$2)/('Anchor Points'!$A$3-'Anchor Points'!$A$2)*('Anchor Points'!$D$3-'Anchor Points'!$D$2),IF(A42&lt;=25,'Anchor Points'!$D$3+(A42-'Anchor Points'!$A$3)/('Anchor Points'!$A$4-'Anchor Points'!$A$3)*('Anchor Points'!$D$4-'Anchor Points'!$D$3),IF(A42&lt;=40,'Anchor Points'!$D$4+(A42-'Anchor Points'!$A$4)/('Anchor Points'!$A$5-'Anchor Points'!$A$4)*('Anchor Points'!$D$5-'Anchor Points'!$D$4),IF(A42&lt;=55,'Anchor Points'!$D$5+(A42-'Anchor Points'!$A$5)/('Anchor Points'!$A$6-'Anchor Points'!$A$5)*('Anchor Points'!$D$6-'Anchor Points'!$D$5),IF(A42&lt;=70,'Anchor Points'!$D$6+(A42-'Anchor Points'!$A$6)/('Anchor Points'!$A$7-'Anchor Points'!$A$6)*('Anchor Points'!$D$7-'Anchor Points'!$D$6),IF(A42&lt;=90,'Anchor Points'!$D$7+(A42-'Anchor Points'!$A$7)/('Anchor Points'!$A$8-'Anchor Points'!$A$7)*('Anchor Points'!$D$8-'Anchor Points'!$D$7),'Anchor Points'!$D$8+(A42-'Anchor Points'!$A$8)/('Anchor Points'!$A$9-'Anchor Points'!$A$8)*('Anchor Points'!$D$9-'Anchor Points'!$D$8)))))))</x:f>
        <x:v>2</x:v>
      </x:c>
      <x:c r="F42" s="30" t="n">
        <x:f>ROUND(E42,0)</x:f>
        <x:v>2</x:v>
      </x:c>
      <x:c r="G42" s="28" t="n">
        <x:f>IF(A42&lt;=15,'Anchor Points'!$E$2+(A42-'Anchor Points'!$A$2)/('Anchor Points'!$A$3-'Anchor Points'!$A$2)*('Anchor Points'!$E$3-'Anchor Points'!$E$2),IF(A42&lt;=25,'Anchor Points'!$E$3+(A42-'Anchor Points'!$A$3)/('Anchor Points'!$A$4-'Anchor Points'!$A$3)*('Anchor Points'!$E$4-'Anchor Points'!$E$3),IF(A42&lt;=40,'Anchor Points'!$E$4+(A42-'Anchor Points'!$A$4)/('Anchor Points'!$A$5-'Anchor Points'!$A$4)*('Anchor Points'!$E$5-'Anchor Points'!$E$4),IF(A42&lt;=55,'Anchor Points'!$E$5+(A42-'Anchor Points'!$A$5)/('Anchor Points'!$A$6-'Anchor Points'!$A$5)*('Anchor Points'!$E$6-'Anchor Points'!$E$5),IF(A42&lt;=70,'Anchor Points'!$E$6+(A42-'Anchor Points'!$A$6)/('Anchor Points'!$A$7-'Anchor Points'!$A$6)*('Anchor Points'!$E$7-'Anchor Points'!$E$6),IF(A42&lt;=90,'Anchor Points'!$E$7+(A42-'Anchor Points'!$A$7)/('Anchor Points'!$A$8-'Anchor Points'!$A$7)*('Anchor Points'!$E$8-'Anchor Points'!$E$7),'Anchor Points'!$E$8+(A42-'Anchor Points'!$A$8)/('Anchor Points'!$A$9-'Anchor Points'!$A$8)*('Anchor Points'!$E$9-'Anchor Points'!$E$8)))))))</x:f>
        <x:v>0</x:v>
      </x:c>
      <x:c r="H42" s="30" t="n">
        <x:f>ROUND(G42,0)</x:f>
        <x:v>0</x:v>
      </x:c>
      <x:c r="I42" s="28" t="n">
        <x:f>IF(A42&lt;=15,'Anchor Points'!$F$2+(A42-'Anchor Points'!$A$2)/('Anchor Points'!$A$3-'Anchor Points'!$A$2)*('Anchor Points'!$F$3-'Anchor Points'!$F$2),IF(A42&lt;=25,'Anchor Points'!$F$3+(A42-'Anchor Points'!$A$3)/('Anchor Points'!$A$4-'Anchor Points'!$A$3)*('Anchor Points'!$F$4-'Anchor Points'!$F$3),IF(A42&lt;=40,'Anchor Points'!$F$4+(A42-'Anchor Points'!$A$4)/('Anchor Points'!$A$5-'Anchor Points'!$A$4)*('Anchor Points'!$F$5-'Anchor Points'!$F$4),IF(A42&lt;=55,'Anchor Points'!$F$5+(A42-'Anchor Points'!$A$5)/('Anchor Points'!$A$6-'Anchor Points'!$A$5)*('Anchor Points'!$F$6-'Anchor Points'!$F$5),IF(A42&lt;=70,'Anchor Points'!$F$6+(A42-'Anchor Points'!$A$6)/('Anchor Points'!$A$7-'Anchor Points'!$A$6)*('Anchor Points'!$F$7-'Anchor Points'!$F$6),IF(A42&lt;=90,'Anchor Points'!$F$7+(A42-'Anchor Points'!$A$7)/('Anchor Points'!$A$8-'Anchor Points'!$A$7)*('Anchor Points'!$F$8-'Anchor Points'!$F$7),'Anchor Points'!$F$8+(A42-'Anchor Points'!$A$8)/('Anchor Points'!$A$9-'Anchor Points'!$A$8)*('Anchor Points'!$F$9-'Anchor Points'!$F$8)))))))</x:f>
        <x:v>0</x:v>
      </x:c>
      <x:c r="J42" s="28" t="n">
        <x:v>8</x:v>
      </x:c>
      <x:c r="K42" s="56" t="n">
        <x:v>9</x:v>
      </x:c>
      <x:c r="L42" s="52" t="n">
        <x:v>10</x:v>
      </x:c>
      <x:c r="M42" s="52" t="n">
        <x:v>60</x:v>
      </x:c>
      <x:c r="N42" s="56" t="n">
        <x:v>65</x:v>
      </x:c>
      <x:c r="O42" s="28" t="n">
        <x:v>70</x:v>
      </x:c>
      <x:c r="P42" s="28" t="n">
        <x:v>65</x:v>
      </x:c>
      <x:c r="Q42" s="55" t="n">
        <x:v>75</x:v>
      </x:c>
      <x:c r="R42" s="28" t="n">
        <x:v>85</x:v>
      </x:c>
      <x:c r="S42" s="28" t="n">
        <x:v>12</x:v>
      </x:c>
      <x:c r="T42" s="28" t="n">
        <x:v>15</x:v>
      </x:c>
      <x:c r="U42" s="55" t="n">
        <x:v>18</x:v>
      </x:c>
      <x:c r="V42" s="28" t="n">
        <x:v>400</x:v>
      </x:c>
      <x:c r="W42" s="55" t="n">
        <x:v>520</x:v>
      </x:c>
      <x:c r="X42" s="28" t="n">
        <x:v>640</x:v>
      </x:c>
    </x:row>
    <x:row r="43">
      <x:c r="A43" s="30" t="n">
        <x:v>41</x:v>
      </x:c>
      <x:c r="B43" s="11" t="str">
        <x:f>IF(A43&lt;=15,"Seedling",IF(A43&lt;=25,"Establishment",IF(A43&lt;=40,"Vegetative Growth",IF(A43&lt;=55,"Flowering &amp; Initial Fruit Set",IF(A43&lt;=80,"Fruit Enlargement",IF(A43&lt;=95,"Ripening","Harvesting"))))))</x:f>
        <x:v>Flowering &amp; Initial Fruit Set</x:v>
      </x:c>
      <x:c r="C43" s="28" t="n">
        <x:f>IF(A43&lt;=15,'Anchor Points'!$B$2+(A43-'Anchor Points'!$A$2)/('Anchor Points'!$A$3-'Anchor Points'!$A$2)*('Anchor Points'!$B$3-'Anchor Points'!$B$2),IF(A43&lt;=25,'Anchor Points'!$B$3+(A43-'Anchor Points'!$A$3)/('Anchor Points'!$A$4-'Anchor Points'!$A$3)*('Anchor Points'!$B$4-'Anchor Points'!$B$3),IF(A43&lt;=40,'Anchor Points'!$B$4+(A43-'Anchor Points'!$A$4)/('Anchor Points'!$A$5-'Anchor Points'!$A$4)*('Anchor Points'!$B$5-'Anchor Points'!$B$4),IF(A43&lt;=55,'Anchor Points'!$B$5+(A43-'Anchor Points'!$A$5)/('Anchor Points'!$A$6-'Anchor Points'!$A$5)*('Anchor Points'!$B$6-'Anchor Points'!$B$5),IF(A43&lt;=70,'Anchor Points'!$B$6+(A43-'Anchor Points'!$A$6)/('Anchor Points'!$A$7-'Anchor Points'!$A$6)*('Anchor Points'!$B$7-'Anchor Points'!$B$6),IF(A43&lt;=90,'Anchor Points'!$B$7+(A43-'Anchor Points'!$A$7)/('Anchor Points'!$A$8-'Anchor Points'!$A$7)*('Anchor Points'!$B$8-'Anchor Points'!$B$7),'Anchor Points'!$B$8+(A43-'Anchor Points'!$A$8)/('Anchor Points'!$A$9-'Anchor Points'!$A$8)*('Anchor Points'!$B$9-'Anchor Points'!$B$8)))))))</x:f>
        <x:v>39.333333333333336</x:v>
      </x:c>
      <x:c r="D43" s="28" t="n">
        <x:f>IF(A43&lt;=15,'Anchor Points'!$C$2+(A43-'Anchor Points'!$A$2)/('Anchor Points'!$A$3-'Anchor Points'!$A$2)*('Anchor Points'!$C$3-'Anchor Points'!$C$2),IF(A43&lt;=25,'Anchor Points'!$C$3+(A43-'Anchor Points'!$A$3)/('Anchor Points'!$A$4-'Anchor Points'!$A$3)*('Anchor Points'!$C$4-'Anchor Points'!$C$3),IF(A43&lt;=40,'Anchor Points'!$C$4+(A43-'Anchor Points'!$A$4)/('Anchor Points'!$A$5-'Anchor Points'!$A$4)*('Anchor Points'!$C$5-'Anchor Points'!$C$4),IF(A43&lt;=55,'Anchor Points'!$C$5+(A43-'Anchor Points'!$A$5)/('Anchor Points'!$A$6-'Anchor Points'!$A$5)*('Anchor Points'!$C$6-'Anchor Points'!$C$5),IF(A43&lt;=70,'Anchor Points'!$C$6+(A43-'Anchor Points'!$A$6)/('Anchor Points'!$A$7-'Anchor Points'!$A$6)*('Anchor Points'!$C$7-'Anchor Points'!$C$6),IF(A43&lt;=90,'Anchor Points'!$C$7+(A43-'Anchor Points'!$A$7)/('Anchor Points'!$A$8-'Anchor Points'!$A$7)*('Anchor Points'!$C$8-'Anchor Points'!$C$7),'Anchor Points'!$C$8+(A43-'Anchor Points'!$A$8)/('Anchor Points'!$A$9-'Anchor Points'!$A$8)*('Anchor Points'!$C$9-'Anchor Points'!$C$8)))))))</x:f>
        <x:v>26.333333333333332</x:v>
      </x:c>
      <x:c r="E43" s="28" t="n">
        <x:f>IF(A43&lt;=15,'Anchor Points'!$D$2+(A43-'Anchor Points'!$A$2)/('Anchor Points'!$A$3-'Anchor Points'!$A$2)*('Anchor Points'!$D$3-'Anchor Points'!$D$2),IF(A43&lt;=25,'Anchor Points'!$D$3+(A43-'Anchor Points'!$A$3)/('Anchor Points'!$A$4-'Anchor Points'!$A$3)*('Anchor Points'!$D$4-'Anchor Points'!$D$3),IF(A43&lt;=40,'Anchor Points'!$D$4+(A43-'Anchor Points'!$A$4)/('Anchor Points'!$A$5-'Anchor Points'!$A$4)*('Anchor Points'!$D$5-'Anchor Points'!$D$4),IF(A43&lt;=55,'Anchor Points'!$D$5+(A43-'Anchor Points'!$A$5)/('Anchor Points'!$A$6-'Anchor Points'!$A$5)*('Anchor Points'!$D$6-'Anchor Points'!$D$5),IF(A43&lt;=70,'Anchor Points'!$D$6+(A43-'Anchor Points'!$A$6)/('Anchor Points'!$A$7-'Anchor Points'!$A$6)*('Anchor Points'!$D$7-'Anchor Points'!$D$6),IF(A43&lt;=90,'Anchor Points'!$D$7+(A43-'Anchor Points'!$A$7)/('Anchor Points'!$A$8-'Anchor Points'!$A$7)*('Anchor Points'!$D$8-'Anchor Points'!$D$7),'Anchor Points'!$D$8+(A43-'Anchor Points'!$A$8)/('Anchor Points'!$A$9-'Anchor Points'!$A$8)*('Anchor Points'!$D$9-'Anchor Points'!$D$8)))))))</x:f>
        <x:v>2.3333333333333335</x:v>
      </x:c>
      <x:c r="F43" s="30" t="n">
        <x:f>ROUND(E43,0)</x:f>
        <x:v>2</x:v>
      </x:c>
      <x:c r="G43" s="28" t="n">
        <x:f>IF(A43&lt;=15,'Anchor Points'!$E$2+(A43-'Anchor Points'!$A$2)/('Anchor Points'!$A$3-'Anchor Points'!$A$2)*('Anchor Points'!$E$3-'Anchor Points'!$E$2),IF(A43&lt;=25,'Anchor Points'!$E$3+(A43-'Anchor Points'!$A$3)/('Anchor Points'!$A$4-'Anchor Points'!$A$3)*('Anchor Points'!$E$4-'Anchor Points'!$E$3),IF(A43&lt;=40,'Anchor Points'!$E$4+(A43-'Anchor Points'!$A$4)/('Anchor Points'!$A$5-'Anchor Points'!$A$4)*('Anchor Points'!$E$5-'Anchor Points'!$E$4),IF(A43&lt;=55,'Anchor Points'!$E$5+(A43-'Anchor Points'!$A$5)/('Anchor Points'!$A$6-'Anchor Points'!$A$5)*('Anchor Points'!$E$6-'Anchor Points'!$E$5),IF(A43&lt;=70,'Anchor Points'!$E$6+(A43-'Anchor Points'!$A$6)/('Anchor Points'!$A$7-'Anchor Points'!$A$6)*('Anchor Points'!$E$7-'Anchor Points'!$E$6),IF(A43&lt;=90,'Anchor Points'!$E$7+(A43-'Anchor Points'!$A$7)/('Anchor Points'!$A$8-'Anchor Points'!$A$7)*('Anchor Points'!$E$8-'Anchor Points'!$E$7),'Anchor Points'!$E$8+(A43-'Anchor Points'!$A$8)/('Anchor Points'!$A$9-'Anchor Points'!$A$8)*('Anchor Points'!$E$9-'Anchor Points'!$E$8)))))))</x:f>
        <x:v>0.06666666666666667</x:v>
      </x:c>
      <x:c r="H43" s="30" t="n">
        <x:f>ROUND(G43,0)</x:f>
        <x:v>0</x:v>
      </x:c>
      <x:c r="I43" s="28" t="n">
        <x:f>IF(A43&lt;=15,'Anchor Points'!$F$2+(A43-'Anchor Points'!$A$2)/('Anchor Points'!$A$3-'Anchor Points'!$A$2)*('Anchor Points'!$F$3-'Anchor Points'!$F$2),IF(A43&lt;=25,'Anchor Points'!$F$3+(A43-'Anchor Points'!$A$3)/('Anchor Points'!$A$4-'Anchor Points'!$A$3)*('Anchor Points'!$F$4-'Anchor Points'!$F$3),IF(A43&lt;=40,'Anchor Points'!$F$4+(A43-'Anchor Points'!$A$4)/('Anchor Points'!$A$5-'Anchor Points'!$A$4)*('Anchor Points'!$F$5-'Anchor Points'!$F$4),IF(A43&lt;=55,'Anchor Points'!$F$5+(A43-'Anchor Points'!$A$5)/('Anchor Points'!$A$6-'Anchor Points'!$A$5)*('Anchor Points'!$F$6-'Anchor Points'!$F$5),IF(A43&lt;=70,'Anchor Points'!$F$6+(A43-'Anchor Points'!$A$6)/('Anchor Points'!$A$7-'Anchor Points'!$A$6)*('Anchor Points'!$F$7-'Anchor Points'!$F$6),IF(A43&lt;=90,'Anchor Points'!$F$7+(A43-'Anchor Points'!$A$7)/('Anchor Points'!$A$8-'Anchor Points'!$A$7)*('Anchor Points'!$F$8-'Anchor Points'!$F$7),'Anchor Points'!$F$8+(A43-'Anchor Points'!$A$8)/('Anchor Points'!$A$9-'Anchor Points'!$A$8)*('Anchor Points'!$F$9-'Anchor Points'!$F$8)))))))</x:f>
        <x:v>0.5333333333333333</x:v>
      </x:c>
      <x:c r="J43" s="28" t="n">
        <x:v>8</x:v>
      </x:c>
      <x:c r="K43" s="56" t="n">
        <x:v>9</x:v>
      </x:c>
      <x:c r="L43" s="52" t="n">
        <x:v>10</x:v>
      </x:c>
      <x:c r="M43" s="52" t="n">
        <x:v>60</x:v>
      </x:c>
      <x:c r="N43" s="56" t="n">
        <x:v>65</x:v>
      </x:c>
      <x:c r="O43" s="28" t="n">
        <x:v>70</x:v>
      </x:c>
      <x:c r="P43" s="28" t="n">
        <x:v>70</x:v>
      </x:c>
      <x:c r="Q43" s="55" t="n">
        <x:v>80</x:v>
      </x:c>
      <x:c r="R43" s="28" t="n">
        <x:v>90</x:v>
      </x:c>
      <x:c r="S43" s="28" t="n">
        <x:v>11</x:v>
      </x:c>
      <x:c r="T43" s="28" t="n">
        <x:v>14</x:v>
      </x:c>
      <x:c r="U43" s="55" t="n">
        <x:v>16</x:v>
      </x:c>
      <x:c r="V43" s="28" t="n">
        <x:v>411</x:v>
      </x:c>
      <x:c r="W43" s="55" t="n">
        <x:v>534</x:v>
      </x:c>
      <x:c r="X43" s="28" t="n">
        <x:v>656</x:v>
      </x:c>
    </x:row>
    <x:row r="44">
      <x:c r="A44" s="30" t="n">
        <x:v>42</x:v>
      </x:c>
      <x:c r="B44" s="11" t="str">
        <x:f>IF(A44&lt;=15,"Seedling",IF(A44&lt;=25,"Establishment",IF(A44&lt;=40,"Vegetative Growth",IF(A44&lt;=55,"Flowering &amp; Initial Fruit Set",IF(A44&lt;=80,"Fruit Enlargement",IF(A44&lt;=95,"Ripening","Harvesting"))))))</x:f>
        <x:v>Flowering &amp; Initial Fruit Set</x:v>
      </x:c>
      <x:c r="C44" s="28" t="n">
        <x:f>IF(A44&lt;=15,'Anchor Points'!$B$2+(A44-'Anchor Points'!$A$2)/('Anchor Points'!$A$3-'Anchor Points'!$A$2)*('Anchor Points'!$B$3-'Anchor Points'!$B$2),IF(A44&lt;=25,'Anchor Points'!$B$3+(A44-'Anchor Points'!$A$3)/('Anchor Points'!$A$4-'Anchor Points'!$A$3)*('Anchor Points'!$B$4-'Anchor Points'!$B$3),IF(A44&lt;=40,'Anchor Points'!$B$4+(A44-'Anchor Points'!$A$4)/('Anchor Points'!$A$5-'Anchor Points'!$A$4)*('Anchor Points'!$B$5-'Anchor Points'!$B$4),IF(A44&lt;=55,'Anchor Points'!$B$5+(A44-'Anchor Points'!$A$5)/('Anchor Points'!$A$6-'Anchor Points'!$A$5)*('Anchor Points'!$B$6-'Anchor Points'!$B$5),IF(A44&lt;=70,'Anchor Points'!$B$6+(A44-'Anchor Points'!$A$6)/('Anchor Points'!$A$7-'Anchor Points'!$A$6)*('Anchor Points'!$B$7-'Anchor Points'!$B$6),IF(A44&lt;=90,'Anchor Points'!$B$7+(A44-'Anchor Points'!$A$7)/('Anchor Points'!$A$8-'Anchor Points'!$A$7)*('Anchor Points'!$B$8-'Anchor Points'!$B$7),'Anchor Points'!$B$8+(A44-'Anchor Points'!$A$8)/('Anchor Points'!$A$9-'Anchor Points'!$A$8)*('Anchor Points'!$B$9-'Anchor Points'!$B$8)))))))</x:f>
        <x:v>40.666666666666664</x:v>
      </x:c>
      <x:c r="D44" s="28" t="n">
        <x:f>IF(A44&lt;=15,'Anchor Points'!$C$2+(A44-'Anchor Points'!$A$2)/('Anchor Points'!$A$3-'Anchor Points'!$A$2)*('Anchor Points'!$C$3-'Anchor Points'!$C$2),IF(A44&lt;=25,'Anchor Points'!$C$3+(A44-'Anchor Points'!$A$3)/('Anchor Points'!$A$4-'Anchor Points'!$A$3)*('Anchor Points'!$C$4-'Anchor Points'!$C$3),IF(A44&lt;=40,'Anchor Points'!$C$4+(A44-'Anchor Points'!$A$4)/('Anchor Points'!$A$5-'Anchor Points'!$A$4)*('Anchor Points'!$C$5-'Anchor Points'!$C$4),IF(A44&lt;=55,'Anchor Points'!$C$5+(A44-'Anchor Points'!$A$5)/('Anchor Points'!$A$6-'Anchor Points'!$A$5)*('Anchor Points'!$C$6-'Anchor Points'!$C$5),IF(A44&lt;=70,'Anchor Points'!$C$6+(A44-'Anchor Points'!$A$6)/('Anchor Points'!$A$7-'Anchor Points'!$A$6)*('Anchor Points'!$C$7-'Anchor Points'!$C$6),IF(A44&lt;=90,'Anchor Points'!$C$7+(A44-'Anchor Points'!$A$7)/('Anchor Points'!$A$8-'Anchor Points'!$A$7)*('Anchor Points'!$C$8-'Anchor Points'!$C$7),'Anchor Points'!$C$8+(A44-'Anchor Points'!$A$8)/('Anchor Points'!$A$9-'Anchor Points'!$A$8)*('Anchor Points'!$C$9-'Anchor Points'!$C$8)))))))</x:f>
        <x:v>27.666666666666668</x:v>
      </x:c>
      <x:c r="E44" s="28" t="n">
        <x:f>IF(A44&lt;=15,'Anchor Points'!$D$2+(A44-'Anchor Points'!$A$2)/('Anchor Points'!$A$3-'Anchor Points'!$A$2)*('Anchor Points'!$D$3-'Anchor Points'!$D$2),IF(A44&lt;=25,'Anchor Points'!$D$3+(A44-'Anchor Points'!$A$3)/('Anchor Points'!$A$4-'Anchor Points'!$A$3)*('Anchor Points'!$D$4-'Anchor Points'!$D$3),IF(A44&lt;=40,'Anchor Points'!$D$4+(A44-'Anchor Points'!$A$4)/('Anchor Points'!$A$5-'Anchor Points'!$A$4)*('Anchor Points'!$D$5-'Anchor Points'!$D$4),IF(A44&lt;=55,'Anchor Points'!$D$5+(A44-'Anchor Points'!$A$5)/('Anchor Points'!$A$6-'Anchor Points'!$A$5)*('Anchor Points'!$D$6-'Anchor Points'!$D$5),IF(A44&lt;=70,'Anchor Points'!$D$6+(A44-'Anchor Points'!$A$6)/('Anchor Points'!$A$7-'Anchor Points'!$A$6)*('Anchor Points'!$D$7-'Anchor Points'!$D$6),IF(A44&lt;=90,'Anchor Points'!$D$7+(A44-'Anchor Points'!$A$7)/('Anchor Points'!$A$8-'Anchor Points'!$A$7)*('Anchor Points'!$D$8-'Anchor Points'!$D$7),'Anchor Points'!$D$8+(A44-'Anchor Points'!$A$8)/('Anchor Points'!$A$9-'Anchor Points'!$A$8)*('Anchor Points'!$D$9-'Anchor Points'!$D$8)))))))</x:f>
        <x:v>2.6666666666666665</x:v>
      </x:c>
      <x:c r="F44" s="30" t="n">
        <x:f>ROUND(E44,0)</x:f>
        <x:v>3</x:v>
      </x:c>
      <x:c r="G44" s="28" t="n">
        <x:f>IF(A44&lt;=15,'Anchor Points'!$E$2+(A44-'Anchor Points'!$A$2)/('Anchor Points'!$A$3-'Anchor Points'!$A$2)*('Anchor Points'!$E$3-'Anchor Points'!$E$2),IF(A44&lt;=25,'Anchor Points'!$E$3+(A44-'Anchor Points'!$A$3)/('Anchor Points'!$A$4-'Anchor Points'!$A$3)*('Anchor Points'!$E$4-'Anchor Points'!$E$3),IF(A44&lt;=40,'Anchor Points'!$E$4+(A44-'Anchor Points'!$A$4)/('Anchor Points'!$A$5-'Anchor Points'!$A$4)*('Anchor Points'!$E$5-'Anchor Points'!$E$4),IF(A44&lt;=55,'Anchor Points'!$E$5+(A44-'Anchor Points'!$A$5)/('Anchor Points'!$A$6-'Anchor Points'!$A$5)*('Anchor Points'!$E$6-'Anchor Points'!$E$5),IF(A44&lt;=70,'Anchor Points'!$E$6+(A44-'Anchor Points'!$A$6)/('Anchor Points'!$A$7-'Anchor Points'!$A$6)*('Anchor Points'!$E$7-'Anchor Points'!$E$6),IF(A44&lt;=90,'Anchor Points'!$E$7+(A44-'Anchor Points'!$A$7)/('Anchor Points'!$A$8-'Anchor Points'!$A$7)*('Anchor Points'!$E$8-'Anchor Points'!$E$7),'Anchor Points'!$E$8+(A44-'Anchor Points'!$A$8)/('Anchor Points'!$A$9-'Anchor Points'!$A$8)*('Anchor Points'!$E$9-'Anchor Points'!$E$8)))))))</x:f>
        <x:v>0.13333333333333333</x:v>
      </x:c>
      <x:c r="H44" s="30" t="n">
        <x:f>ROUND(G44,0)</x:f>
        <x:v>0</x:v>
      </x:c>
      <x:c r="I44" s="28" t="n">
        <x:f>IF(A44&lt;=15,'Anchor Points'!$F$2+(A44-'Anchor Points'!$A$2)/('Anchor Points'!$A$3-'Anchor Points'!$A$2)*('Anchor Points'!$F$3-'Anchor Points'!$F$2),IF(A44&lt;=25,'Anchor Points'!$F$3+(A44-'Anchor Points'!$A$3)/('Anchor Points'!$A$4-'Anchor Points'!$A$3)*('Anchor Points'!$F$4-'Anchor Points'!$F$3),IF(A44&lt;=40,'Anchor Points'!$F$4+(A44-'Anchor Points'!$A$4)/('Anchor Points'!$A$5-'Anchor Points'!$A$4)*('Anchor Points'!$F$5-'Anchor Points'!$F$4),IF(A44&lt;=55,'Anchor Points'!$F$5+(A44-'Anchor Points'!$A$5)/('Anchor Points'!$A$6-'Anchor Points'!$A$5)*('Anchor Points'!$F$6-'Anchor Points'!$F$5),IF(A44&lt;=70,'Anchor Points'!$F$6+(A44-'Anchor Points'!$A$6)/('Anchor Points'!$A$7-'Anchor Points'!$A$6)*('Anchor Points'!$F$7-'Anchor Points'!$F$6),IF(A44&lt;=90,'Anchor Points'!$F$7+(A44-'Anchor Points'!$A$7)/('Anchor Points'!$A$8-'Anchor Points'!$A$7)*('Anchor Points'!$F$8-'Anchor Points'!$F$7),'Anchor Points'!$F$8+(A44-'Anchor Points'!$A$8)/('Anchor Points'!$A$9-'Anchor Points'!$A$8)*('Anchor Points'!$F$9-'Anchor Points'!$F$8)))))))</x:f>
        <x:v>1.0666666666666667</x:v>
      </x:c>
      <x:c r="J44" s="28" t="n">
        <x:v>8</x:v>
      </x:c>
      <x:c r="K44" s="56" t="n">
        <x:v>9</x:v>
      </x:c>
      <x:c r="L44" s="52" t="n">
        <x:v>10</x:v>
      </x:c>
      <x:c r="M44" s="52" t="n">
        <x:v>60</x:v>
      </x:c>
      <x:c r="N44" s="56" t="n">
        <x:v>65</x:v>
      </x:c>
      <x:c r="O44" s="28" t="n">
        <x:v>70</x:v>
      </x:c>
      <x:c r="P44" s="28" t="n">
        <x:v>70</x:v>
      </x:c>
      <x:c r="Q44" s="55" t="n">
        <x:v>80</x:v>
      </x:c>
      <x:c r="R44" s="28" t="n">
        <x:v>90</x:v>
      </x:c>
      <x:c r="S44" s="28" t="n">
        <x:v>11</x:v>
      </x:c>
      <x:c r="T44" s="28" t="n">
        <x:v>14</x:v>
      </x:c>
      <x:c r="U44" s="55" t="n">
        <x:v>16</x:v>
      </x:c>
      <x:c r="V44" s="28" t="n">
        <x:v>422</x:v>
      </x:c>
      <x:c r="W44" s="55" t="n">
        <x:v>548</x:v>
      </x:c>
      <x:c r="X44" s="28" t="n">
        <x:v>672</x:v>
      </x:c>
    </x:row>
    <x:row r="45">
      <x:c r="A45" s="30" t="n">
        <x:v>43</x:v>
      </x:c>
      <x:c r="B45" s="11" t="str">
        <x:f>IF(A45&lt;=15,"Seedling",IF(A45&lt;=25,"Establishment",IF(A45&lt;=40,"Vegetative Growth",IF(A45&lt;=55,"Flowering &amp; Initial Fruit Set",IF(A45&lt;=80,"Fruit Enlargement",IF(A45&lt;=95,"Ripening","Harvesting"))))))</x:f>
        <x:v>Flowering &amp; Initial Fruit Set</x:v>
      </x:c>
      <x:c r="C45" s="28" t="n">
        <x:f>IF(A45&lt;=15,'Anchor Points'!$B$2+(A45-'Anchor Points'!$A$2)/('Anchor Points'!$A$3-'Anchor Points'!$A$2)*('Anchor Points'!$B$3-'Anchor Points'!$B$2),IF(A45&lt;=25,'Anchor Points'!$B$3+(A45-'Anchor Points'!$A$3)/('Anchor Points'!$A$4-'Anchor Points'!$A$3)*('Anchor Points'!$B$4-'Anchor Points'!$B$3),IF(A45&lt;=40,'Anchor Points'!$B$4+(A45-'Anchor Points'!$A$4)/('Anchor Points'!$A$5-'Anchor Points'!$A$4)*('Anchor Points'!$B$5-'Anchor Points'!$B$4),IF(A45&lt;=55,'Anchor Points'!$B$5+(A45-'Anchor Points'!$A$5)/('Anchor Points'!$A$6-'Anchor Points'!$A$5)*('Anchor Points'!$B$6-'Anchor Points'!$B$5),IF(A45&lt;=70,'Anchor Points'!$B$6+(A45-'Anchor Points'!$A$6)/('Anchor Points'!$A$7-'Anchor Points'!$A$6)*('Anchor Points'!$B$7-'Anchor Points'!$B$6),IF(A45&lt;=90,'Anchor Points'!$B$7+(A45-'Anchor Points'!$A$7)/('Anchor Points'!$A$8-'Anchor Points'!$A$7)*('Anchor Points'!$B$8-'Anchor Points'!$B$7),'Anchor Points'!$B$8+(A45-'Anchor Points'!$A$8)/('Anchor Points'!$A$9-'Anchor Points'!$A$8)*('Anchor Points'!$B$9-'Anchor Points'!$B$8)))))))</x:f>
        <x:v>42</x:v>
      </x:c>
      <x:c r="D45" s="28" t="n">
        <x:f>IF(A45&lt;=15,'Anchor Points'!$C$2+(A45-'Anchor Points'!$A$2)/('Anchor Points'!$A$3-'Anchor Points'!$A$2)*('Anchor Points'!$C$3-'Anchor Points'!$C$2),IF(A45&lt;=25,'Anchor Points'!$C$3+(A45-'Anchor Points'!$A$3)/('Anchor Points'!$A$4-'Anchor Points'!$A$3)*('Anchor Points'!$C$4-'Anchor Points'!$C$3),IF(A45&lt;=40,'Anchor Points'!$C$4+(A45-'Anchor Points'!$A$4)/('Anchor Points'!$A$5-'Anchor Points'!$A$4)*('Anchor Points'!$C$5-'Anchor Points'!$C$4),IF(A45&lt;=55,'Anchor Points'!$C$5+(A45-'Anchor Points'!$A$5)/('Anchor Points'!$A$6-'Anchor Points'!$A$5)*('Anchor Points'!$C$6-'Anchor Points'!$C$5),IF(A45&lt;=70,'Anchor Points'!$C$6+(A45-'Anchor Points'!$A$6)/('Anchor Points'!$A$7-'Anchor Points'!$A$6)*('Anchor Points'!$C$7-'Anchor Points'!$C$6),IF(A45&lt;=90,'Anchor Points'!$C$7+(A45-'Anchor Points'!$A$7)/('Anchor Points'!$A$8-'Anchor Points'!$A$7)*('Anchor Points'!$C$8-'Anchor Points'!$C$7),'Anchor Points'!$C$8+(A45-'Anchor Points'!$A$8)/('Anchor Points'!$A$9-'Anchor Points'!$A$8)*('Anchor Points'!$C$9-'Anchor Points'!$C$8)))))))</x:f>
        <x:v>29</x:v>
      </x:c>
      <x:c r="E45" s="28" t="n">
        <x:f>IF(A45&lt;=15,'Anchor Points'!$D$2+(A45-'Anchor Points'!$A$2)/('Anchor Points'!$A$3-'Anchor Points'!$A$2)*('Anchor Points'!$D$3-'Anchor Points'!$D$2),IF(A45&lt;=25,'Anchor Points'!$D$3+(A45-'Anchor Points'!$A$3)/('Anchor Points'!$A$4-'Anchor Points'!$A$3)*('Anchor Points'!$D$4-'Anchor Points'!$D$3),IF(A45&lt;=40,'Anchor Points'!$D$4+(A45-'Anchor Points'!$A$4)/('Anchor Points'!$A$5-'Anchor Points'!$A$4)*('Anchor Points'!$D$5-'Anchor Points'!$D$4),IF(A45&lt;=55,'Anchor Points'!$D$5+(A45-'Anchor Points'!$A$5)/('Anchor Points'!$A$6-'Anchor Points'!$A$5)*('Anchor Points'!$D$6-'Anchor Points'!$D$5),IF(A45&lt;=70,'Anchor Points'!$D$6+(A45-'Anchor Points'!$A$6)/('Anchor Points'!$A$7-'Anchor Points'!$A$6)*('Anchor Points'!$D$7-'Anchor Points'!$D$6),IF(A45&lt;=90,'Anchor Points'!$D$7+(A45-'Anchor Points'!$A$7)/('Anchor Points'!$A$8-'Anchor Points'!$A$7)*('Anchor Points'!$D$8-'Anchor Points'!$D$7),'Anchor Points'!$D$8+(A45-'Anchor Points'!$A$8)/('Anchor Points'!$A$9-'Anchor Points'!$A$8)*('Anchor Points'!$D$9-'Anchor Points'!$D$8)))))))</x:f>
        <x:v>3</x:v>
      </x:c>
      <x:c r="F45" s="30" t="n">
        <x:f>ROUND(E45,0)</x:f>
        <x:v>3</x:v>
      </x:c>
      <x:c r="G45" s="28" t="n">
        <x:f>IF(A45&lt;=15,'Anchor Points'!$E$2+(A45-'Anchor Points'!$A$2)/('Anchor Points'!$A$3-'Anchor Points'!$A$2)*('Anchor Points'!$E$3-'Anchor Points'!$E$2),IF(A45&lt;=25,'Anchor Points'!$E$3+(A45-'Anchor Points'!$A$3)/('Anchor Points'!$A$4-'Anchor Points'!$A$3)*('Anchor Points'!$E$4-'Anchor Points'!$E$3),IF(A45&lt;=40,'Anchor Points'!$E$4+(A45-'Anchor Points'!$A$4)/('Anchor Points'!$A$5-'Anchor Points'!$A$4)*('Anchor Points'!$E$5-'Anchor Points'!$E$4),IF(A45&lt;=55,'Anchor Points'!$E$5+(A45-'Anchor Points'!$A$5)/('Anchor Points'!$A$6-'Anchor Points'!$A$5)*('Anchor Points'!$E$6-'Anchor Points'!$E$5),IF(A45&lt;=70,'Anchor Points'!$E$6+(A45-'Anchor Points'!$A$6)/('Anchor Points'!$A$7-'Anchor Points'!$A$6)*('Anchor Points'!$E$7-'Anchor Points'!$E$6),IF(A45&lt;=90,'Anchor Points'!$E$7+(A45-'Anchor Points'!$A$7)/('Anchor Points'!$A$8-'Anchor Points'!$A$7)*('Anchor Points'!$E$8-'Anchor Points'!$E$7),'Anchor Points'!$E$8+(A45-'Anchor Points'!$A$8)/('Anchor Points'!$A$9-'Anchor Points'!$A$8)*('Anchor Points'!$E$9-'Anchor Points'!$E$8)))))))</x:f>
        <x:v>0.2</x:v>
      </x:c>
      <x:c r="H45" s="30" t="n">
        <x:f>ROUND(G45,0)</x:f>
        <x:v>0</x:v>
      </x:c>
      <x:c r="I45" s="28" t="n">
        <x:f>IF(A45&lt;=15,'Anchor Points'!$F$2+(A45-'Anchor Points'!$A$2)/('Anchor Points'!$A$3-'Anchor Points'!$A$2)*('Anchor Points'!$F$3-'Anchor Points'!$F$2),IF(A45&lt;=25,'Anchor Points'!$F$3+(A45-'Anchor Points'!$A$3)/('Anchor Points'!$A$4-'Anchor Points'!$A$3)*('Anchor Points'!$F$4-'Anchor Points'!$F$3),IF(A45&lt;=40,'Anchor Points'!$F$4+(A45-'Anchor Points'!$A$4)/('Anchor Points'!$A$5-'Anchor Points'!$A$4)*('Anchor Points'!$F$5-'Anchor Points'!$F$4),IF(A45&lt;=55,'Anchor Points'!$F$5+(A45-'Anchor Points'!$A$5)/('Anchor Points'!$A$6-'Anchor Points'!$A$5)*('Anchor Points'!$F$6-'Anchor Points'!$F$5),IF(A45&lt;=70,'Anchor Points'!$F$6+(A45-'Anchor Points'!$A$6)/('Anchor Points'!$A$7-'Anchor Points'!$A$6)*('Anchor Points'!$F$7-'Anchor Points'!$F$6),IF(A45&lt;=90,'Anchor Points'!$F$7+(A45-'Anchor Points'!$A$7)/('Anchor Points'!$A$8-'Anchor Points'!$A$7)*('Anchor Points'!$F$8-'Anchor Points'!$F$7),'Anchor Points'!$F$8+(A45-'Anchor Points'!$A$8)/('Anchor Points'!$A$9-'Anchor Points'!$A$8)*('Anchor Points'!$F$9-'Anchor Points'!$F$8)))))))</x:f>
        <x:v>1.6</x:v>
      </x:c>
      <x:c r="J45" s="28" t="n">
        <x:v>8</x:v>
      </x:c>
      <x:c r="K45" s="56" t="n">
        <x:v>9</x:v>
      </x:c>
      <x:c r="L45" s="52" t="n">
        <x:v>10</x:v>
      </x:c>
      <x:c r="M45" s="52" t="n">
        <x:v>60</x:v>
      </x:c>
      <x:c r="N45" s="56" t="n">
        <x:v>65</x:v>
      </x:c>
      <x:c r="O45" s="28" t="n">
        <x:v>70</x:v>
      </x:c>
      <x:c r="P45" s="28" t="n">
        <x:v>70</x:v>
      </x:c>
      <x:c r="Q45" s="55" t="n">
        <x:v>80</x:v>
      </x:c>
      <x:c r="R45" s="28" t="n">
        <x:v>90</x:v>
      </x:c>
      <x:c r="S45" s="28" t="n">
        <x:v>11</x:v>
      </x:c>
      <x:c r="T45" s="28" t="n">
        <x:v>14</x:v>
      </x:c>
      <x:c r="U45" s="55" t="n">
        <x:v>16</x:v>
      </x:c>
      <x:c r="V45" s="28" t="n">
        <x:v>433</x:v>
      </x:c>
      <x:c r="W45" s="55" t="n">
        <x:v>562</x:v>
      </x:c>
      <x:c r="X45" s="28" t="n">
        <x:v>688</x:v>
      </x:c>
    </x:row>
    <x:row r="46">
      <x:c r="A46" s="30" t="n">
        <x:v>44</x:v>
      </x:c>
      <x:c r="B46" s="11" t="str">
        <x:f>IF(A46&lt;=15,"Seedling",IF(A46&lt;=25,"Establishment",IF(A46&lt;=40,"Vegetative Growth",IF(A46&lt;=55,"Flowering &amp; Initial Fruit Set",IF(A46&lt;=80,"Fruit Enlargement",IF(A46&lt;=95,"Ripening","Harvesting"))))))</x:f>
        <x:v>Flowering &amp; Initial Fruit Set</x:v>
      </x:c>
      <x:c r="C46" s="28" t="n">
        <x:f>IF(A46&lt;=15,'Anchor Points'!$B$2+(A46-'Anchor Points'!$A$2)/('Anchor Points'!$A$3-'Anchor Points'!$A$2)*('Anchor Points'!$B$3-'Anchor Points'!$B$2),IF(A46&lt;=25,'Anchor Points'!$B$3+(A46-'Anchor Points'!$A$3)/('Anchor Points'!$A$4-'Anchor Points'!$A$3)*('Anchor Points'!$B$4-'Anchor Points'!$B$3),IF(A46&lt;=40,'Anchor Points'!$B$4+(A46-'Anchor Points'!$A$4)/('Anchor Points'!$A$5-'Anchor Points'!$A$4)*('Anchor Points'!$B$5-'Anchor Points'!$B$4),IF(A46&lt;=55,'Anchor Points'!$B$5+(A46-'Anchor Points'!$A$5)/('Anchor Points'!$A$6-'Anchor Points'!$A$5)*('Anchor Points'!$B$6-'Anchor Points'!$B$5),IF(A46&lt;=70,'Anchor Points'!$B$6+(A46-'Anchor Points'!$A$6)/('Anchor Points'!$A$7-'Anchor Points'!$A$6)*('Anchor Points'!$B$7-'Anchor Points'!$B$6),IF(A46&lt;=90,'Anchor Points'!$B$7+(A46-'Anchor Points'!$A$7)/('Anchor Points'!$A$8-'Anchor Points'!$A$7)*('Anchor Points'!$B$8-'Anchor Points'!$B$7),'Anchor Points'!$B$8+(A46-'Anchor Points'!$A$8)/('Anchor Points'!$A$9-'Anchor Points'!$A$8)*('Anchor Points'!$B$9-'Anchor Points'!$B$8)))))))</x:f>
        <x:v>43.333333333333336</x:v>
      </x:c>
      <x:c r="D46" s="28" t="n">
        <x:f>IF(A46&lt;=15,'Anchor Points'!$C$2+(A46-'Anchor Points'!$A$2)/('Anchor Points'!$A$3-'Anchor Points'!$A$2)*('Anchor Points'!$C$3-'Anchor Points'!$C$2),IF(A46&lt;=25,'Anchor Points'!$C$3+(A46-'Anchor Points'!$A$3)/('Anchor Points'!$A$4-'Anchor Points'!$A$3)*('Anchor Points'!$C$4-'Anchor Points'!$C$3),IF(A46&lt;=40,'Anchor Points'!$C$4+(A46-'Anchor Points'!$A$4)/('Anchor Points'!$A$5-'Anchor Points'!$A$4)*('Anchor Points'!$C$5-'Anchor Points'!$C$4),IF(A46&lt;=55,'Anchor Points'!$C$5+(A46-'Anchor Points'!$A$5)/('Anchor Points'!$A$6-'Anchor Points'!$A$5)*('Anchor Points'!$C$6-'Anchor Points'!$C$5),IF(A46&lt;=70,'Anchor Points'!$C$6+(A46-'Anchor Points'!$A$6)/('Anchor Points'!$A$7-'Anchor Points'!$A$6)*('Anchor Points'!$C$7-'Anchor Points'!$C$6),IF(A46&lt;=90,'Anchor Points'!$C$7+(A46-'Anchor Points'!$A$7)/('Anchor Points'!$A$8-'Anchor Points'!$A$7)*('Anchor Points'!$C$8-'Anchor Points'!$C$7),'Anchor Points'!$C$8+(A46-'Anchor Points'!$A$8)/('Anchor Points'!$A$9-'Anchor Points'!$A$8)*('Anchor Points'!$C$9-'Anchor Points'!$C$8)))))))</x:f>
        <x:v>30.333333333333332</x:v>
      </x:c>
      <x:c r="E46" s="28" t="n">
        <x:f>IF(A46&lt;=15,'Anchor Points'!$D$2+(A46-'Anchor Points'!$A$2)/('Anchor Points'!$A$3-'Anchor Points'!$A$2)*('Anchor Points'!$D$3-'Anchor Points'!$D$2),IF(A46&lt;=25,'Anchor Points'!$D$3+(A46-'Anchor Points'!$A$3)/('Anchor Points'!$A$4-'Anchor Points'!$A$3)*('Anchor Points'!$D$4-'Anchor Points'!$D$3),IF(A46&lt;=40,'Anchor Points'!$D$4+(A46-'Anchor Points'!$A$4)/('Anchor Points'!$A$5-'Anchor Points'!$A$4)*('Anchor Points'!$D$5-'Anchor Points'!$D$4),IF(A46&lt;=55,'Anchor Points'!$D$5+(A46-'Anchor Points'!$A$5)/('Anchor Points'!$A$6-'Anchor Points'!$A$5)*('Anchor Points'!$D$6-'Anchor Points'!$D$5),IF(A46&lt;=70,'Anchor Points'!$D$6+(A46-'Anchor Points'!$A$6)/('Anchor Points'!$A$7-'Anchor Points'!$A$6)*('Anchor Points'!$D$7-'Anchor Points'!$D$6),IF(A46&lt;=90,'Anchor Points'!$D$7+(A46-'Anchor Points'!$A$7)/('Anchor Points'!$A$8-'Anchor Points'!$A$7)*('Anchor Points'!$D$8-'Anchor Points'!$D$7),'Anchor Points'!$D$8+(A46-'Anchor Points'!$A$8)/('Anchor Points'!$A$9-'Anchor Points'!$A$8)*('Anchor Points'!$D$9-'Anchor Points'!$D$8)))))))</x:f>
        <x:v>3.333333333333333</x:v>
      </x:c>
      <x:c r="F46" s="30" t="n">
        <x:f>ROUND(E46,0)</x:f>
        <x:v>3</x:v>
      </x:c>
      <x:c r="G46" s="28" t="n">
        <x:f>IF(A46&lt;=15,'Anchor Points'!$E$2+(A46-'Anchor Points'!$A$2)/('Anchor Points'!$A$3-'Anchor Points'!$A$2)*('Anchor Points'!$E$3-'Anchor Points'!$E$2),IF(A46&lt;=25,'Anchor Points'!$E$3+(A46-'Anchor Points'!$A$3)/('Anchor Points'!$A$4-'Anchor Points'!$A$3)*('Anchor Points'!$E$4-'Anchor Points'!$E$3),IF(A46&lt;=40,'Anchor Points'!$E$4+(A46-'Anchor Points'!$A$4)/('Anchor Points'!$A$5-'Anchor Points'!$A$4)*('Anchor Points'!$E$5-'Anchor Points'!$E$4),IF(A46&lt;=55,'Anchor Points'!$E$5+(A46-'Anchor Points'!$A$5)/('Anchor Points'!$A$6-'Anchor Points'!$A$5)*('Anchor Points'!$E$6-'Anchor Points'!$E$5),IF(A46&lt;=70,'Anchor Points'!$E$6+(A46-'Anchor Points'!$A$6)/('Anchor Points'!$A$7-'Anchor Points'!$A$6)*('Anchor Points'!$E$7-'Anchor Points'!$E$6),IF(A46&lt;=90,'Anchor Points'!$E$7+(A46-'Anchor Points'!$A$7)/('Anchor Points'!$A$8-'Anchor Points'!$A$7)*('Anchor Points'!$E$8-'Anchor Points'!$E$7),'Anchor Points'!$E$8+(A46-'Anchor Points'!$A$8)/('Anchor Points'!$A$9-'Anchor Points'!$A$8)*('Anchor Points'!$E$9-'Anchor Points'!$E$8)))))))</x:f>
        <x:v>0.26666666666666666</x:v>
      </x:c>
      <x:c r="H46" s="30" t="n">
        <x:f>ROUND(G46,0)</x:f>
        <x:v>0</x:v>
      </x:c>
      <x:c r="I46" s="28" t="n">
        <x:f>IF(A46&lt;=15,'Anchor Points'!$F$2+(A46-'Anchor Points'!$A$2)/('Anchor Points'!$A$3-'Anchor Points'!$A$2)*('Anchor Points'!$F$3-'Anchor Points'!$F$2),IF(A46&lt;=25,'Anchor Points'!$F$3+(A46-'Anchor Points'!$A$3)/('Anchor Points'!$A$4-'Anchor Points'!$A$3)*('Anchor Points'!$F$4-'Anchor Points'!$F$3),IF(A46&lt;=40,'Anchor Points'!$F$4+(A46-'Anchor Points'!$A$4)/('Anchor Points'!$A$5-'Anchor Points'!$A$4)*('Anchor Points'!$F$5-'Anchor Points'!$F$4),IF(A46&lt;=55,'Anchor Points'!$F$5+(A46-'Anchor Points'!$A$5)/('Anchor Points'!$A$6-'Anchor Points'!$A$5)*('Anchor Points'!$F$6-'Anchor Points'!$F$5),IF(A46&lt;=70,'Anchor Points'!$F$6+(A46-'Anchor Points'!$A$6)/('Anchor Points'!$A$7-'Anchor Points'!$A$6)*('Anchor Points'!$F$7-'Anchor Points'!$F$6),IF(A46&lt;=90,'Anchor Points'!$F$7+(A46-'Anchor Points'!$A$7)/('Anchor Points'!$A$8-'Anchor Points'!$A$7)*('Anchor Points'!$F$8-'Anchor Points'!$F$7),'Anchor Points'!$F$8+(A46-'Anchor Points'!$A$8)/('Anchor Points'!$A$9-'Anchor Points'!$A$8)*('Anchor Points'!$F$9-'Anchor Points'!$F$8)))))))</x:f>
        <x:v>2.1333333333333333</x:v>
      </x:c>
      <x:c r="J46" s="28" t="n">
        <x:v>8</x:v>
      </x:c>
      <x:c r="K46" s="56" t="n">
        <x:v>9</x:v>
      </x:c>
      <x:c r="L46" s="52" t="n">
        <x:v>10</x:v>
      </x:c>
      <x:c r="M46" s="52" t="n">
        <x:v>60</x:v>
      </x:c>
      <x:c r="N46" s="56" t="n">
        <x:v>65</x:v>
      </x:c>
      <x:c r="O46" s="28" t="n">
        <x:v>70</x:v>
      </x:c>
      <x:c r="P46" s="28" t="n">
        <x:v>70</x:v>
      </x:c>
      <x:c r="Q46" s="55" t="n">
        <x:v>80</x:v>
      </x:c>
      <x:c r="R46" s="28" t="n">
        <x:v>90</x:v>
      </x:c>
      <x:c r="S46" s="28" t="n">
        <x:v>11</x:v>
      </x:c>
      <x:c r="T46" s="28" t="n">
        <x:v>14</x:v>
      </x:c>
      <x:c r="U46" s="55" t="n">
        <x:v>16</x:v>
      </x:c>
      <x:c r="V46" s="28" t="n">
        <x:v>444</x:v>
      </x:c>
      <x:c r="W46" s="55" t="n">
        <x:v>576</x:v>
      </x:c>
      <x:c r="X46" s="28" t="n">
        <x:v>704</x:v>
      </x:c>
    </x:row>
    <x:row r="47">
      <x:c r="A47" s="30" t="n">
        <x:v>45</x:v>
      </x:c>
      <x:c r="B47" s="11" t="str">
        <x:f>IF(A47&lt;=15,"Seedling",IF(A47&lt;=25,"Establishment",IF(A47&lt;=40,"Vegetative Growth",IF(A47&lt;=55,"Flowering &amp; Initial Fruit Set",IF(A47&lt;=80,"Fruit Enlargement",IF(A47&lt;=95,"Ripening","Harvesting"))))))</x:f>
        <x:v>Flowering &amp; Initial Fruit Set</x:v>
      </x:c>
      <x:c r="C47" s="28" t="n">
        <x:f>IF(A47&lt;=15,'Anchor Points'!$B$2+(A47-'Anchor Points'!$A$2)/('Anchor Points'!$A$3-'Anchor Points'!$A$2)*('Anchor Points'!$B$3-'Anchor Points'!$B$2),IF(A47&lt;=25,'Anchor Points'!$B$3+(A47-'Anchor Points'!$A$3)/('Anchor Points'!$A$4-'Anchor Points'!$A$3)*('Anchor Points'!$B$4-'Anchor Points'!$B$3),IF(A47&lt;=40,'Anchor Points'!$B$4+(A47-'Anchor Points'!$A$4)/('Anchor Points'!$A$5-'Anchor Points'!$A$4)*('Anchor Points'!$B$5-'Anchor Points'!$B$4),IF(A47&lt;=55,'Anchor Points'!$B$5+(A47-'Anchor Points'!$A$5)/('Anchor Points'!$A$6-'Anchor Points'!$A$5)*('Anchor Points'!$B$6-'Anchor Points'!$B$5),IF(A47&lt;=70,'Anchor Points'!$B$6+(A47-'Anchor Points'!$A$6)/('Anchor Points'!$A$7-'Anchor Points'!$A$6)*('Anchor Points'!$B$7-'Anchor Points'!$B$6),IF(A47&lt;=90,'Anchor Points'!$B$7+(A47-'Anchor Points'!$A$7)/('Anchor Points'!$A$8-'Anchor Points'!$A$7)*('Anchor Points'!$B$8-'Anchor Points'!$B$7),'Anchor Points'!$B$8+(A47-'Anchor Points'!$A$8)/('Anchor Points'!$A$9-'Anchor Points'!$A$8)*('Anchor Points'!$B$9-'Anchor Points'!$B$8)))))))</x:f>
        <x:v>44.666666666666664</x:v>
      </x:c>
      <x:c r="D47" s="28" t="n">
        <x:f>IF(A47&lt;=15,'Anchor Points'!$C$2+(A47-'Anchor Points'!$A$2)/('Anchor Points'!$A$3-'Anchor Points'!$A$2)*('Anchor Points'!$C$3-'Anchor Points'!$C$2),IF(A47&lt;=25,'Anchor Points'!$C$3+(A47-'Anchor Points'!$A$3)/('Anchor Points'!$A$4-'Anchor Points'!$A$3)*('Anchor Points'!$C$4-'Anchor Points'!$C$3),IF(A47&lt;=40,'Anchor Points'!$C$4+(A47-'Anchor Points'!$A$4)/('Anchor Points'!$A$5-'Anchor Points'!$A$4)*('Anchor Points'!$C$5-'Anchor Points'!$C$4),IF(A47&lt;=55,'Anchor Points'!$C$5+(A47-'Anchor Points'!$A$5)/('Anchor Points'!$A$6-'Anchor Points'!$A$5)*('Anchor Points'!$C$6-'Anchor Points'!$C$5),IF(A47&lt;=70,'Anchor Points'!$C$6+(A47-'Anchor Points'!$A$6)/('Anchor Points'!$A$7-'Anchor Points'!$A$6)*('Anchor Points'!$C$7-'Anchor Points'!$C$6),IF(A47&lt;=90,'Anchor Points'!$C$7+(A47-'Anchor Points'!$A$7)/('Anchor Points'!$A$8-'Anchor Points'!$A$7)*('Anchor Points'!$C$8-'Anchor Points'!$C$7),'Anchor Points'!$C$8+(A47-'Anchor Points'!$A$8)/('Anchor Points'!$A$9-'Anchor Points'!$A$8)*('Anchor Points'!$C$9-'Anchor Points'!$C$8)))))))</x:f>
        <x:v>31.666666666666664</x:v>
      </x:c>
      <x:c r="E47" s="28" t="n">
        <x:f>IF(A47&lt;=15,'Anchor Points'!$D$2+(A47-'Anchor Points'!$A$2)/('Anchor Points'!$A$3-'Anchor Points'!$A$2)*('Anchor Points'!$D$3-'Anchor Points'!$D$2),IF(A47&lt;=25,'Anchor Points'!$D$3+(A47-'Anchor Points'!$A$3)/('Anchor Points'!$A$4-'Anchor Points'!$A$3)*('Anchor Points'!$D$4-'Anchor Points'!$D$3),IF(A47&lt;=40,'Anchor Points'!$D$4+(A47-'Anchor Points'!$A$4)/('Anchor Points'!$A$5-'Anchor Points'!$A$4)*('Anchor Points'!$D$5-'Anchor Points'!$D$4),IF(A47&lt;=55,'Anchor Points'!$D$5+(A47-'Anchor Points'!$A$5)/('Anchor Points'!$A$6-'Anchor Points'!$A$5)*('Anchor Points'!$D$6-'Anchor Points'!$D$5),IF(A47&lt;=70,'Anchor Points'!$D$6+(A47-'Anchor Points'!$A$6)/('Anchor Points'!$A$7-'Anchor Points'!$A$6)*('Anchor Points'!$D$7-'Anchor Points'!$D$6),IF(A47&lt;=90,'Anchor Points'!$D$7+(A47-'Anchor Points'!$A$7)/('Anchor Points'!$A$8-'Anchor Points'!$A$7)*('Anchor Points'!$D$8-'Anchor Points'!$D$7),'Anchor Points'!$D$8+(A47-'Anchor Points'!$A$8)/('Anchor Points'!$A$9-'Anchor Points'!$A$8)*('Anchor Points'!$D$9-'Anchor Points'!$D$8)))))))</x:f>
        <x:v>3.6666666666666665</x:v>
      </x:c>
      <x:c r="F47" s="30" t="n">
        <x:f>ROUND(E47,0)</x:f>
        <x:v>4</x:v>
      </x:c>
      <x:c r="G47" s="28" t="n">
        <x:f>IF(A47&lt;=15,'Anchor Points'!$E$2+(A47-'Anchor Points'!$A$2)/('Anchor Points'!$A$3-'Anchor Points'!$A$2)*('Anchor Points'!$E$3-'Anchor Points'!$E$2),IF(A47&lt;=25,'Anchor Points'!$E$3+(A47-'Anchor Points'!$A$3)/('Anchor Points'!$A$4-'Anchor Points'!$A$3)*('Anchor Points'!$E$4-'Anchor Points'!$E$3),IF(A47&lt;=40,'Anchor Points'!$E$4+(A47-'Anchor Points'!$A$4)/('Anchor Points'!$A$5-'Anchor Points'!$A$4)*('Anchor Points'!$E$5-'Anchor Points'!$E$4),IF(A47&lt;=55,'Anchor Points'!$E$5+(A47-'Anchor Points'!$A$5)/('Anchor Points'!$A$6-'Anchor Points'!$A$5)*('Anchor Points'!$E$6-'Anchor Points'!$E$5),IF(A47&lt;=70,'Anchor Points'!$E$6+(A47-'Anchor Points'!$A$6)/('Anchor Points'!$A$7-'Anchor Points'!$A$6)*('Anchor Points'!$E$7-'Anchor Points'!$E$6),IF(A47&lt;=90,'Anchor Points'!$E$7+(A47-'Anchor Points'!$A$7)/('Anchor Points'!$A$8-'Anchor Points'!$A$7)*('Anchor Points'!$E$8-'Anchor Points'!$E$7),'Anchor Points'!$E$8+(A47-'Anchor Points'!$A$8)/('Anchor Points'!$A$9-'Anchor Points'!$A$8)*('Anchor Points'!$E$9-'Anchor Points'!$E$8)))))))</x:f>
        <x:v>0.3333333333333333</x:v>
      </x:c>
      <x:c r="H47" s="30" t="n">
        <x:f>ROUND(G47,0)</x:f>
        <x:v>0</x:v>
      </x:c>
      <x:c r="I47" s="28" t="n">
        <x:f>IF(A47&lt;=15,'Anchor Points'!$F$2+(A47-'Anchor Points'!$A$2)/('Anchor Points'!$A$3-'Anchor Points'!$A$2)*('Anchor Points'!$F$3-'Anchor Points'!$F$2),IF(A47&lt;=25,'Anchor Points'!$F$3+(A47-'Anchor Points'!$A$3)/('Anchor Points'!$A$4-'Anchor Points'!$A$3)*('Anchor Points'!$F$4-'Anchor Points'!$F$3),IF(A47&lt;=40,'Anchor Points'!$F$4+(A47-'Anchor Points'!$A$4)/('Anchor Points'!$A$5-'Anchor Points'!$A$4)*('Anchor Points'!$F$5-'Anchor Points'!$F$4),IF(A47&lt;=55,'Anchor Points'!$F$5+(A47-'Anchor Points'!$A$5)/('Anchor Points'!$A$6-'Anchor Points'!$A$5)*('Anchor Points'!$F$6-'Anchor Points'!$F$5),IF(A47&lt;=70,'Anchor Points'!$F$6+(A47-'Anchor Points'!$A$6)/('Anchor Points'!$A$7-'Anchor Points'!$A$6)*('Anchor Points'!$F$7-'Anchor Points'!$F$6),IF(A47&lt;=90,'Anchor Points'!$F$7+(A47-'Anchor Points'!$A$7)/('Anchor Points'!$A$8-'Anchor Points'!$A$7)*('Anchor Points'!$F$8-'Anchor Points'!$F$7),'Anchor Points'!$F$8+(A47-'Anchor Points'!$A$8)/('Anchor Points'!$A$9-'Anchor Points'!$A$8)*('Anchor Points'!$F$9-'Anchor Points'!$F$8)))))))</x:f>
        <x:v>2.6666666666666665</x:v>
      </x:c>
      <x:c r="J47" s="28" t="n">
        <x:v>8</x:v>
      </x:c>
      <x:c r="K47" s="56" t="n">
        <x:v>9</x:v>
      </x:c>
      <x:c r="L47" s="52" t="n">
        <x:v>10</x:v>
      </x:c>
      <x:c r="M47" s="52" t="n">
        <x:v>60</x:v>
      </x:c>
      <x:c r="N47" s="56" t="n">
        <x:v>65</x:v>
      </x:c>
      <x:c r="O47" s="28" t="n">
        <x:v>70</x:v>
      </x:c>
      <x:c r="P47" s="28" t="n">
        <x:v>70</x:v>
      </x:c>
      <x:c r="Q47" s="55" t="n">
        <x:v>80</x:v>
      </x:c>
      <x:c r="R47" s="28" t="n">
        <x:v>90</x:v>
      </x:c>
      <x:c r="S47" s="28" t="n">
        <x:v>11</x:v>
      </x:c>
      <x:c r="T47" s="28" t="n">
        <x:v>14</x:v>
      </x:c>
      <x:c r="U47" s="55" t="n">
        <x:v>16</x:v>
      </x:c>
      <x:c r="V47" s="28" t="n">
        <x:v>455</x:v>
      </x:c>
      <x:c r="W47" s="55" t="n">
        <x:v>590</x:v>
      </x:c>
      <x:c r="X47" s="28" t="n">
        <x:v>720</x:v>
      </x:c>
    </x:row>
    <x:row r="48">
      <x:c r="A48" s="30" t="n">
        <x:v>46</x:v>
      </x:c>
      <x:c r="B48" s="11" t="str">
        <x:f>IF(A48&lt;=15,"Seedling",IF(A48&lt;=25,"Establishment",IF(A48&lt;=40,"Vegetative Growth",IF(A48&lt;=55,"Flowering &amp; Initial Fruit Set",IF(A48&lt;=80,"Fruit Enlargement",IF(A48&lt;=95,"Ripening","Harvesting"))))))</x:f>
        <x:v>Flowering &amp; Initial Fruit Set</x:v>
      </x:c>
      <x:c r="C48" s="28" t="n">
        <x:f>IF(A48&lt;=15,'Anchor Points'!$B$2+(A48-'Anchor Points'!$A$2)/('Anchor Points'!$A$3-'Anchor Points'!$A$2)*('Anchor Points'!$B$3-'Anchor Points'!$B$2),IF(A48&lt;=25,'Anchor Points'!$B$3+(A48-'Anchor Points'!$A$3)/('Anchor Points'!$A$4-'Anchor Points'!$A$3)*('Anchor Points'!$B$4-'Anchor Points'!$B$3),IF(A48&lt;=40,'Anchor Points'!$B$4+(A48-'Anchor Points'!$A$4)/('Anchor Points'!$A$5-'Anchor Points'!$A$4)*('Anchor Points'!$B$5-'Anchor Points'!$B$4),IF(A48&lt;=55,'Anchor Points'!$B$5+(A48-'Anchor Points'!$A$5)/('Anchor Points'!$A$6-'Anchor Points'!$A$5)*('Anchor Points'!$B$6-'Anchor Points'!$B$5),IF(A48&lt;=70,'Anchor Points'!$B$6+(A48-'Anchor Points'!$A$6)/('Anchor Points'!$A$7-'Anchor Points'!$A$6)*('Anchor Points'!$B$7-'Anchor Points'!$B$6),IF(A48&lt;=90,'Anchor Points'!$B$7+(A48-'Anchor Points'!$A$7)/('Anchor Points'!$A$8-'Anchor Points'!$A$7)*('Anchor Points'!$B$8-'Anchor Points'!$B$7),'Anchor Points'!$B$8+(A48-'Anchor Points'!$A$8)/('Anchor Points'!$A$9-'Anchor Points'!$A$8)*('Anchor Points'!$B$9-'Anchor Points'!$B$8)))))))</x:f>
        <x:v>46</x:v>
      </x:c>
      <x:c r="D48" s="28" t="n">
        <x:f>IF(A48&lt;=15,'Anchor Points'!$C$2+(A48-'Anchor Points'!$A$2)/('Anchor Points'!$A$3-'Anchor Points'!$A$2)*('Anchor Points'!$C$3-'Anchor Points'!$C$2),IF(A48&lt;=25,'Anchor Points'!$C$3+(A48-'Anchor Points'!$A$3)/('Anchor Points'!$A$4-'Anchor Points'!$A$3)*('Anchor Points'!$C$4-'Anchor Points'!$C$3),IF(A48&lt;=40,'Anchor Points'!$C$4+(A48-'Anchor Points'!$A$4)/('Anchor Points'!$A$5-'Anchor Points'!$A$4)*('Anchor Points'!$C$5-'Anchor Points'!$C$4),IF(A48&lt;=55,'Anchor Points'!$C$5+(A48-'Anchor Points'!$A$5)/('Anchor Points'!$A$6-'Anchor Points'!$A$5)*('Anchor Points'!$C$6-'Anchor Points'!$C$5),IF(A48&lt;=70,'Anchor Points'!$C$6+(A48-'Anchor Points'!$A$6)/('Anchor Points'!$A$7-'Anchor Points'!$A$6)*('Anchor Points'!$C$7-'Anchor Points'!$C$6),IF(A48&lt;=90,'Anchor Points'!$C$7+(A48-'Anchor Points'!$A$7)/('Anchor Points'!$A$8-'Anchor Points'!$A$7)*('Anchor Points'!$C$8-'Anchor Points'!$C$7),'Anchor Points'!$C$8+(A48-'Anchor Points'!$A$8)/('Anchor Points'!$A$9-'Anchor Points'!$A$8)*('Anchor Points'!$C$9-'Anchor Points'!$C$8)))))))</x:f>
        <x:v>33</x:v>
      </x:c>
      <x:c r="E48" s="28" t="n">
        <x:f>IF(A48&lt;=15,'Anchor Points'!$D$2+(A48-'Anchor Points'!$A$2)/('Anchor Points'!$A$3-'Anchor Points'!$A$2)*('Anchor Points'!$D$3-'Anchor Points'!$D$2),IF(A48&lt;=25,'Anchor Points'!$D$3+(A48-'Anchor Points'!$A$3)/('Anchor Points'!$A$4-'Anchor Points'!$A$3)*('Anchor Points'!$D$4-'Anchor Points'!$D$3),IF(A48&lt;=40,'Anchor Points'!$D$4+(A48-'Anchor Points'!$A$4)/('Anchor Points'!$A$5-'Anchor Points'!$A$4)*('Anchor Points'!$D$5-'Anchor Points'!$D$4),IF(A48&lt;=55,'Anchor Points'!$D$5+(A48-'Anchor Points'!$A$5)/('Anchor Points'!$A$6-'Anchor Points'!$A$5)*('Anchor Points'!$D$6-'Anchor Points'!$D$5),IF(A48&lt;=70,'Anchor Points'!$D$6+(A48-'Anchor Points'!$A$6)/('Anchor Points'!$A$7-'Anchor Points'!$A$6)*('Anchor Points'!$D$7-'Anchor Points'!$D$6),IF(A48&lt;=90,'Anchor Points'!$D$7+(A48-'Anchor Points'!$A$7)/('Anchor Points'!$A$8-'Anchor Points'!$A$7)*('Anchor Points'!$D$8-'Anchor Points'!$D$7),'Anchor Points'!$D$8+(A48-'Anchor Points'!$A$8)/('Anchor Points'!$A$9-'Anchor Points'!$A$8)*('Anchor Points'!$D$9-'Anchor Points'!$D$8)))))))</x:f>
        <x:v>4</x:v>
      </x:c>
      <x:c r="F48" s="30" t="n">
        <x:f>ROUND(E48,0)</x:f>
        <x:v>4</x:v>
      </x:c>
      <x:c r="G48" s="28" t="n">
        <x:f>IF(A48&lt;=15,'Anchor Points'!$E$2+(A48-'Anchor Points'!$A$2)/('Anchor Points'!$A$3-'Anchor Points'!$A$2)*('Anchor Points'!$E$3-'Anchor Points'!$E$2),IF(A48&lt;=25,'Anchor Points'!$E$3+(A48-'Anchor Points'!$A$3)/('Anchor Points'!$A$4-'Anchor Points'!$A$3)*('Anchor Points'!$E$4-'Anchor Points'!$E$3),IF(A48&lt;=40,'Anchor Points'!$E$4+(A48-'Anchor Points'!$A$4)/('Anchor Points'!$A$5-'Anchor Points'!$A$4)*('Anchor Points'!$E$5-'Anchor Points'!$E$4),IF(A48&lt;=55,'Anchor Points'!$E$5+(A48-'Anchor Points'!$A$5)/('Anchor Points'!$A$6-'Anchor Points'!$A$5)*('Anchor Points'!$E$6-'Anchor Points'!$E$5),IF(A48&lt;=70,'Anchor Points'!$E$6+(A48-'Anchor Points'!$A$6)/('Anchor Points'!$A$7-'Anchor Points'!$A$6)*('Anchor Points'!$E$7-'Anchor Points'!$E$6),IF(A48&lt;=90,'Anchor Points'!$E$7+(A48-'Anchor Points'!$A$7)/('Anchor Points'!$A$8-'Anchor Points'!$A$7)*('Anchor Points'!$E$8-'Anchor Points'!$E$7),'Anchor Points'!$E$8+(A48-'Anchor Points'!$A$8)/('Anchor Points'!$A$9-'Anchor Points'!$A$8)*('Anchor Points'!$E$9-'Anchor Points'!$E$8)))))))</x:f>
        <x:v>0.4</x:v>
      </x:c>
      <x:c r="H48" s="30" t="n">
        <x:f>ROUND(G48,0)</x:f>
        <x:v>0</x:v>
      </x:c>
      <x:c r="I48" s="28" t="n">
        <x:f>IF(A48&lt;=15,'Anchor Points'!$F$2+(A48-'Anchor Points'!$A$2)/('Anchor Points'!$A$3-'Anchor Points'!$A$2)*('Anchor Points'!$F$3-'Anchor Points'!$F$2),IF(A48&lt;=25,'Anchor Points'!$F$3+(A48-'Anchor Points'!$A$3)/('Anchor Points'!$A$4-'Anchor Points'!$A$3)*('Anchor Points'!$F$4-'Anchor Points'!$F$3),IF(A48&lt;=40,'Anchor Points'!$F$4+(A48-'Anchor Points'!$A$4)/('Anchor Points'!$A$5-'Anchor Points'!$A$4)*('Anchor Points'!$F$5-'Anchor Points'!$F$4),IF(A48&lt;=55,'Anchor Points'!$F$5+(A48-'Anchor Points'!$A$5)/('Anchor Points'!$A$6-'Anchor Points'!$A$5)*('Anchor Points'!$F$6-'Anchor Points'!$F$5),IF(A48&lt;=70,'Anchor Points'!$F$6+(A48-'Anchor Points'!$A$6)/('Anchor Points'!$A$7-'Anchor Points'!$A$6)*('Anchor Points'!$F$7-'Anchor Points'!$F$6),IF(A48&lt;=90,'Anchor Points'!$F$7+(A48-'Anchor Points'!$A$7)/('Anchor Points'!$A$8-'Anchor Points'!$A$7)*('Anchor Points'!$F$8-'Anchor Points'!$F$7),'Anchor Points'!$F$8+(A48-'Anchor Points'!$A$8)/('Anchor Points'!$A$9-'Anchor Points'!$A$8)*('Anchor Points'!$F$9-'Anchor Points'!$F$8)))))))</x:f>
        <x:v>3.2</x:v>
      </x:c>
      <x:c r="J48" s="28" t="n">
        <x:v>8</x:v>
      </x:c>
      <x:c r="K48" s="56" t="n">
        <x:v>9</x:v>
      </x:c>
      <x:c r="L48" s="52" t="n">
        <x:v>10</x:v>
      </x:c>
      <x:c r="M48" s="52" t="n">
        <x:v>60</x:v>
      </x:c>
      <x:c r="N48" s="56" t="n">
        <x:v>65</x:v>
      </x:c>
      <x:c r="O48" s="28" t="n">
        <x:v>70</x:v>
      </x:c>
      <x:c r="P48" s="28" t="n">
        <x:v>70</x:v>
      </x:c>
      <x:c r="Q48" s="55" t="n">
        <x:v>80</x:v>
      </x:c>
      <x:c r="R48" s="28" t="n">
        <x:v>90</x:v>
      </x:c>
      <x:c r="S48" s="28" t="n">
        <x:v>11</x:v>
      </x:c>
      <x:c r="T48" s="28" t="n">
        <x:v>14</x:v>
      </x:c>
      <x:c r="U48" s="55" t="n">
        <x:v>16</x:v>
      </x:c>
      <x:c r="V48" s="28" t="n">
        <x:v>466</x:v>
      </x:c>
      <x:c r="W48" s="55" t="n">
        <x:v>604</x:v>
      </x:c>
      <x:c r="X48" s="28" t="n">
        <x:v>736</x:v>
      </x:c>
    </x:row>
    <x:row r="49">
      <x:c r="A49" s="30" t="n">
        <x:v>47</x:v>
      </x:c>
      <x:c r="B49" s="11" t="str">
        <x:f>IF(A49&lt;=15,"Seedling",IF(A49&lt;=25,"Establishment",IF(A49&lt;=40,"Vegetative Growth",IF(A49&lt;=55,"Flowering &amp; Initial Fruit Set",IF(A49&lt;=80,"Fruit Enlargement",IF(A49&lt;=95,"Ripening","Harvesting"))))))</x:f>
        <x:v>Flowering &amp; Initial Fruit Set</x:v>
      </x:c>
      <x:c r="C49" s="28" t="n">
        <x:f>IF(A49&lt;=15,'Anchor Points'!$B$2+(A49-'Anchor Points'!$A$2)/('Anchor Points'!$A$3-'Anchor Points'!$A$2)*('Anchor Points'!$B$3-'Anchor Points'!$B$2),IF(A49&lt;=25,'Anchor Points'!$B$3+(A49-'Anchor Points'!$A$3)/('Anchor Points'!$A$4-'Anchor Points'!$A$3)*('Anchor Points'!$B$4-'Anchor Points'!$B$3),IF(A49&lt;=40,'Anchor Points'!$B$4+(A49-'Anchor Points'!$A$4)/('Anchor Points'!$A$5-'Anchor Points'!$A$4)*('Anchor Points'!$B$5-'Anchor Points'!$B$4),IF(A49&lt;=55,'Anchor Points'!$B$5+(A49-'Anchor Points'!$A$5)/('Anchor Points'!$A$6-'Anchor Points'!$A$5)*('Anchor Points'!$B$6-'Anchor Points'!$B$5),IF(A49&lt;=70,'Anchor Points'!$B$6+(A49-'Anchor Points'!$A$6)/('Anchor Points'!$A$7-'Anchor Points'!$A$6)*('Anchor Points'!$B$7-'Anchor Points'!$B$6),IF(A49&lt;=90,'Anchor Points'!$B$7+(A49-'Anchor Points'!$A$7)/('Anchor Points'!$A$8-'Anchor Points'!$A$7)*('Anchor Points'!$B$8-'Anchor Points'!$B$7),'Anchor Points'!$B$8+(A49-'Anchor Points'!$A$8)/('Anchor Points'!$A$9-'Anchor Points'!$A$8)*('Anchor Points'!$B$9-'Anchor Points'!$B$8)))))))</x:f>
        <x:v>47.333333333333336</x:v>
      </x:c>
      <x:c r="D49" s="28" t="n">
        <x:f>IF(A49&lt;=15,'Anchor Points'!$C$2+(A49-'Anchor Points'!$A$2)/('Anchor Points'!$A$3-'Anchor Points'!$A$2)*('Anchor Points'!$C$3-'Anchor Points'!$C$2),IF(A49&lt;=25,'Anchor Points'!$C$3+(A49-'Anchor Points'!$A$3)/('Anchor Points'!$A$4-'Anchor Points'!$A$3)*('Anchor Points'!$C$4-'Anchor Points'!$C$3),IF(A49&lt;=40,'Anchor Points'!$C$4+(A49-'Anchor Points'!$A$4)/('Anchor Points'!$A$5-'Anchor Points'!$A$4)*('Anchor Points'!$C$5-'Anchor Points'!$C$4),IF(A49&lt;=55,'Anchor Points'!$C$5+(A49-'Anchor Points'!$A$5)/('Anchor Points'!$A$6-'Anchor Points'!$A$5)*('Anchor Points'!$C$6-'Anchor Points'!$C$5),IF(A49&lt;=70,'Anchor Points'!$C$6+(A49-'Anchor Points'!$A$6)/('Anchor Points'!$A$7-'Anchor Points'!$A$6)*('Anchor Points'!$C$7-'Anchor Points'!$C$6),IF(A49&lt;=90,'Anchor Points'!$C$7+(A49-'Anchor Points'!$A$7)/('Anchor Points'!$A$8-'Anchor Points'!$A$7)*('Anchor Points'!$C$8-'Anchor Points'!$C$7),'Anchor Points'!$C$8+(A49-'Anchor Points'!$A$8)/('Anchor Points'!$A$9-'Anchor Points'!$A$8)*('Anchor Points'!$C$9-'Anchor Points'!$C$8)))))))</x:f>
        <x:v>34.333333333333336</x:v>
      </x:c>
      <x:c r="E49" s="28" t="n">
        <x:f>IF(A49&lt;=15,'Anchor Points'!$D$2+(A49-'Anchor Points'!$A$2)/('Anchor Points'!$A$3-'Anchor Points'!$A$2)*('Anchor Points'!$D$3-'Anchor Points'!$D$2),IF(A49&lt;=25,'Anchor Points'!$D$3+(A49-'Anchor Points'!$A$3)/('Anchor Points'!$A$4-'Anchor Points'!$A$3)*('Anchor Points'!$D$4-'Anchor Points'!$D$3),IF(A49&lt;=40,'Anchor Points'!$D$4+(A49-'Anchor Points'!$A$4)/('Anchor Points'!$A$5-'Anchor Points'!$A$4)*('Anchor Points'!$D$5-'Anchor Points'!$D$4),IF(A49&lt;=55,'Anchor Points'!$D$5+(A49-'Anchor Points'!$A$5)/('Anchor Points'!$A$6-'Anchor Points'!$A$5)*('Anchor Points'!$D$6-'Anchor Points'!$D$5),IF(A49&lt;=70,'Anchor Points'!$D$6+(A49-'Anchor Points'!$A$6)/('Anchor Points'!$A$7-'Anchor Points'!$A$6)*('Anchor Points'!$D$7-'Anchor Points'!$D$6),IF(A49&lt;=90,'Anchor Points'!$D$7+(A49-'Anchor Points'!$A$7)/('Anchor Points'!$A$8-'Anchor Points'!$A$7)*('Anchor Points'!$D$8-'Anchor Points'!$D$7),'Anchor Points'!$D$8+(A49-'Anchor Points'!$A$8)/('Anchor Points'!$A$9-'Anchor Points'!$A$8)*('Anchor Points'!$D$9-'Anchor Points'!$D$8)))))))</x:f>
        <x:v>4.333333333333334</x:v>
      </x:c>
      <x:c r="F49" s="30" t="n">
        <x:f>ROUND(E49,0)</x:f>
        <x:v>4</x:v>
      </x:c>
      <x:c r="G49" s="28" t="n">
        <x:f>IF(A49&lt;=15,'Anchor Points'!$E$2+(A49-'Anchor Points'!$A$2)/('Anchor Points'!$A$3-'Anchor Points'!$A$2)*('Anchor Points'!$E$3-'Anchor Points'!$E$2),IF(A49&lt;=25,'Anchor Points'!$E$3+(A49-'Anchor Points'!$A$3)/('Anchor Points'!$A$4-'Anchor Points'!$A$3)*('Anchor Points'!$E$4-'Anchor Points'!$E$3),IF(A49&lt;=40,'Anchor Points'!$E$4+(A49-'Anchor Points'!$A$4)/('Anchor Points'!$A$5-'Anchor Points'!$A$4)*('Anchor Points'!$E$5-'Anchor Points'!$E$4),IF(A49&lt;=55,'Anchor Points'!$E$5+(A49-'Anchor Points'!$A$5)/('Anchor Points'!$A$6-'Anchor Points'!$A$5)*('Anchor Points'!$E$6-'Anchor Points'!$E$5),IF(A49&lt;=70,'Anchor Points'!$E$6+(A49-'Anchor Points'!$A$6)/('Anchor Points'!$A$7-'Anchor Points'!$A$6)*('Anchor Points'!$E$7-'Anchor Points'!$E$6),IF(A49&lt;=90,'Anchor Points'!$E$7+(A49-'Anchor Points'!$A$7)/('Anchor Points'!$A$8-'Anchor Points'!$A$7)*('Anchor Points'!$E$8-'Anchor Points'!$E$7),'Anchor Points'!$E$8+(A49-'Anchor Points'!$A$8)/('Anchor Points'!$A$9-'Anchor Points'!$A$8)*('Anchor Points'!$E$9-'Anchor Points'!$E$8)))))))</x:f>
        <x:v>0.4666666666666667</x:v>
      </x:c>
      <x:c r="H49" s="30" t="n">
        <x:f>ROUND(G49,0)</x:f>
        <x:v>0</x:v>
      </x:c>
      <x:c r="I49" s="28" t="n">
        <x:f>IF(A49&lt;=15,'Anchor Points'!$F$2+(A49-'Anchor Points'!$A$2)/('Anchor Points'!$A$3-'Anchor Points'!$A$2)*('Anchor Points'!$F$3-'Anchor Points'!$F$2),IF(A49&lt;=25,'Anchor Points'!$F$3+(A49-'Anchor Points'!$A$3)/('Anchor Points'!$A$4-'Anchor Points'!$A$3)*('Anchor Points'!$F$4-'Anchor Points'!$F$3),IF(A49&lt;=40,'Anchor Points'!$F$4+(A49-'Anchor Points'!$A$4)/('Anchor Points'!$A$5-'Anchor Points'!$A$4)*('Anchor Points'!$F$5-'Anchor Points'!$F$4),IF(A49&lt;=55,'Anchor Points'!$F$5+(A49-'Anchor Points'!$A$5)/('Anchor Points'!$A$6-'Anchor Points'!$A$5)*('Anchor Points'!$F$6-'Anchor Points'!$F$5),IF(A49&lt;=70,'Anchor Points'!$F$6+(A49-'Anchor Points'!$A$6)/('Anchor Points'!$A$7-'Anchor Points'!$A$6)*('Anchor Points'!$F$7-'Anchor Points'!$F$6),IF(A49&lt;=90,'Anchor Points'!$F$7+(A49-'Anchor Points'!$A$7)/('Anchor Points'!$A$8-'Anchor Points'!$A$7)*('Anchor Points'!$F$8-'Anchor Points'!$F$7),'Anchor Points'!$F$8+(A49-'Anchor Points'!$A$8)/('Anchor Points'!$A$9-'Anchor Points'!$A$8)*('Anchor Points'!$F$9-'Anchor Points'!$F$8)))))))</x:f>
        <x:v>3.7333333333333334</x:v>
      </x:c>
      <x:c r="J49" s="28" t="n">
        <x:v>8</x:v>
      </x:c>
      <x:c r="K49" s="56" t="n">
        <x:v>9</x:v>
      </x:c>
      <x:c r="L49" s="52" t="n">
        <x:v>10</x:v>
      </x:c>
      <x:c r="M49" s="52" t="n">
        <x:v>60</x:v>
      </x:c>
      <x:c r="N49" s="56" t="n">
        <x:v>65</x:v>
      </x:c>
      <x:c r="O49" s="28" t="n">
        <x:v>70</x:v>
      </x:c>
      <x:c r="P49" s="28" t="n">
        <x:v>70</x:v>
      </x:c>
      <x:c r="Q49" s="55" t="n">
        <x:v>80</x:v>
      </x:c>
      <x:c r="R49" s="28" t="n">
        <x:v>90</x:v>
      </x:c>
      <x:c r="S49" s="28" t="n">
        <x:v>11</x:v>
      </x:c>
      <x:c r="T49" s="28" t="n">
        <x:v>14</x:v>
      </x:c>
      <x:c r="U49" s="55" t="n">
        <x:v>16</x:v>
      </x:c>
      <x:c r="V49" s="28" t="n">
        <x:v>477</x:v>
      </x:c>
      <x:c r="W49" s="55" t="n">
        <x:v>618</x:v>
      </x:c>
      <x:c r="X49" s="28" t="n">
        <x:v>752</x:v>
      </x:c>
    </x:row>
    <x:row r="50">
      <x:c r="A50" s="30" t="n">
        <x:v>48</x:v>
      </x:c>
      <x:c r="B50" s="11" t="str">
        <x:f>IF(A50&lt;=15,"Seedling",IF(A50&lt;=25,"Establishment",IF(A50&lt;=40,"Vegetative Growth",IF(A50&lt;=55,"Flowering &amp; Initial Fruit Set",IF(A50&lt;=80,"Fruit Enlargement",IF(A50&lt;=95,"Ripening","Harvesting"))))))</x:f>
        <x:v>Flowering &amp; Initial Fruit Set</x:v>
      </x:c>
      <x:c r="C50" s="28" t="n">
        <x:f>IF(A50&lt;=15,'Anchor Points'!$B$2+(A50-'Anchor Points'!$A$2)/('Anchor Points'!$A$3-'Anchor Points'!$A$2)*('Anchor Points'!$B$3-'Anchor Points'!$B$2),IF(A50&lt;=25,'Anchor Points'!$B$3+(A50-'Anchor Points'!$A$3)/('Anchor Points'!$A$4-'Anchor Points'!$A$3)*('Anchor Points'!$B$4-'Anchor Points'!$B$3),IF(A50&lt;=40,'Anchor Points'!$B$4+(A50-'Anchor Points'!$A$4)/('Anchor Points'!$A$5-'Anchor Points'!$A$4)*('Anchor Points'!$B$5-'Anchor Points'!$B$4),IF(A50&lt;=55,'Anchor Points'!$B$5+(A50-'Anchor Points'!$A$5)/('Anchor Points'!$A$6-'Anchor Points'!$A$5)*('Anchor Points'!$B$6-'Anchor Points'!$B$5),IF(A50&lt;=70,'Anchor Points'!$B$6+(A50-'Anchor Points'!$A$6)/('Anchor Points'!$A$7-'Anchor Points'!$A$6)*('Anchor Points'!$B$7-'Anchor Points'!$B$6),IF(A50&lt;=90,'Anchor Points'!$B$7+(A50-'Anchor Points'!$A$7)/('Anchor Points'!$A$8-'Anchor Points'!$A$7)*('Anchor Points'!$B$8-'Anchor Points'!$B$7),'Anchor Points'!$B$8+(A50-'Anchor Points'!$A$8)/('Anchor Points'!$A$9-'Anchor Points'!$A$8)*('Anchor Points'!$B$9-'Anchor Points'!$B$8)))))))</x:f>
        <x:v>48.666666666666664</x:v>
      </x:c>
      <x:c r="D50" s="28" t="n">
        <x:f>IF(A50&lt;=15,'Anchor Points'!$C$2+(A50-'Anchor Points'!$A$2)/('Anchor Points'!$A$3-'Anchor Points'!$A$2)*('Anchor Points'!$C$3-'Anchor Points'!$C$2),IF(A50&lt;=25,'Anchor Points'!$C$3+(A50-'Anchor Points'!$A$3)/('Anchor Points'!$A$4-'Anchor Points'!$A$3)*('Anchor Points'!$C$4-'Anchor Points'!$C$3),IF(A50&lt;=40,'Anchor Points'!$C$4+(A50-'Anchor Points'!$A$4)/('Anchor Points'!$A$5-'Anchor Points'!$A$4)*('Anchor Points'!$C$5-'Anchor Points'!$C$4),IF(A50&lt;=55,'Anchor Points'!$C$5+(A50-'Anchor Points'!$A$5)/('Anchor Points'!$A$6-'Anchor Points'!$A$5)*('Anchor Points'!$C$6-'Anchor Points'!$C$5),IF(A50&lt;=70,'Anchor Points'!$C$6+(A50-'Anchor Points'!$A$6)/('Anchor Points'!$A$7-'Anchor Points'!$A$6)*('Anchor Points'!$C$7-'Anchor Points'!$C$6),IF(A50&lt;=90,'Anchor Points'!$C$7+(A50-'Anchor Points'!$A$7)/('Anchor Points'!$A$8-'Anchor Points'!$A$7)*('Anchor Points'!$C$8-'Anchor Points'!$C$7),'Anchor Points'!$C$8+(A50-'Anchor Points'!$A$8)/('Anchor Points'!$A$9-'Anchor Points'!$A$8)*('Anchor Points'!$C$9-'Anchor Points'!$C$8)))))))</x:f>
        <x:v>35.666666666666664</x:v>
      </x:c>
      <x:c r="E50" s="28" t="n">
        <x:f>IF(A50&lt;=15,'Anchor Points'!$D$2+(A50-'Anchor Points'!$A$2)/('Anchor Points'!$A$3-'Anchor Points'!$A$2)*('Anchor Points'!$D$3-'Anchor Points'!$D$2),IF(A50&lt;=25,'Anchor Points'!$D$3+(A50-'Anchor Points'!$A$3)/('Anchor Points'!$A$4-'Anchor Points'!$A$3)*('Anchor Points'!$D$4-'Anchor Points'!$D$3),IF(A50&lt;=40,'Anchor Points'!$D$4+(A50-'Anchor Points'!$A$4)/('Anchor Points'!$A$5-'Anchor Points'!$A$4)*('Anchor Points'!$D$5-'Anchor Points'!$D$4),IF(A50&lt;=55,'Anchor Points'!$D$5+(A50-'Anchor Points'!$A$5)/('Anchor Points'!$A$6-'Anchor Points'!$A$5)*('Anchor Points'!$D$6-'Anchor Points'!$D$5),IF(A50&lt;=70,'Anchor Points'!$D$6+(A50-'Anchor Points'!$A$6)/('Anchor Points'!$A$7-'Anchor Points'!$A$6)*('Anchor Points'!$D$7-'Anchor Points'!$D$6),IF(A50&lt;=90,'Anchor Points'!$D$7+(A50-'Anchor Points'!$A$7)/('Anchor Points'!$A$8-'Anchor Points'!$A$7)*('Anchor Points'!$D$8-'Anchor Points'!$D$7),'Anchor Points'!$D$8+(A50-'Anchor Points'!$A$8)/('Anchor Points'!$A$9-'Anchor Points'!$A$8)*('Anchor Points'!$D$9-'Anchor Points'!$D$8)))))))</x:f>
        <x:v>4.666666666666666</x:v>
      </x:c>
      <x:c r="F50" s="30" t="n">
        <x:f>ROUND(E50,0)</x:f>
        <x:v>5</x:v>
      </x:c>
      <x:c r="G50" s="28" t="n">
        <x:f>IF(A50&lt;=15,'Anchor Points'!$E$2+(A50-'Anchor Points'!$A$2)/('Anchor Points'!$A$3-'Anchor Points'!$A$2)*('Anchor Points'!$E$3-'Anchor Points'!$E$2),IF(A50&lt;=25,'Anchor Points'!$E$3+(A50-'Anchor Points'!$A$3)/('Anchor Points'!$A$4-'Anchor Points'!$A$3)*('Anchor Points'!$E$4-'Anchor Points'!$E$3),IF(A50&lt;=40,'Anchor Points'!$E$4+(A50-'Anchor Points'!$A$4)/('Anchor Points'!$A$5-'Anchor Points'!$A$4)*('Anchor Points'!$E$5-'Anchor Points'!$E$4),IF(A50&lt;=55,'Anchor Points'!$E$5+(A50-'Anchor Points'!$A$5)/('Anchor Points'!$A$6-'Anchor Points'!$A$5)*('Anchor Points'!$E$6-'Anchor Points'!$E$5),IF(A50&lt;=70,'Anchor Points'!$E$6+(A50-'Anchor Points'!$A$6)/('Anchor Points'!$A$7-'Anchor Points'!$A$6)*('Anchor Points'!$E$7-'Anchor Points'!$E$6),IF(A50&lt;=90,'Anchor Points'!$E$7+(A50-'Anchor Points'!$A$7)/('Anchor Points'!$A$8-'Anchor Points'!$A$7)*('Anchor Points'!$E$8-'Anchor Points'!$E$7),'Anchor Points'!$E$8+(A50-'Anchor Points'!$A$8)/('Anchor Points'!$A$9-'Anchor Points'!$A$8)*('Anchor Points'!$E$9-'Anchor Points'!$E$8)))))))</x:f>
        <x:v>0.5333333333333333</x:v>
      </x:c>
      <x:c r="H50" s="30" t="n">
        <x:f>ROUND(G50,0)</x:f>
        <x:v>1</x:v>
      </x:c>
      <x:c r="I50" s="28" t="n">
        <x:f>IF(A50&lt;=15,'Anchor Points'!$F$2+(A50-'Anchor Points'!$A$2)/('Anchor Points'!$A$3-'Anchor Points'!$A$2)*('Anchor Points'!$F$3-'Anchor Points'!$F$2),IF(A50&lt;=25,'Anchor Points'!$F$3+(A50-'Anchor Points'!$A$3)/('Anchor Points'!$A$4-'Anchor Points'!$A$3)*('Anchor Points'!$F$4-'Anchor Points'!$F$3),IF(A50&lt;=40,'Anchor Points'!$F$4+(A50-'Anchor Points'!$A$4)/('Anchor Points'!$A$5-'Anchor Points'!$A$4)*('Anchor Points'!$F$5-'Anchor Points'!$F$4),IF(A50&lt;=55,'Anchor Points'!$F$5+(A50-'Anchor Points'!$A$5)/('Anchor Points'!$A$6-'Anchor Points'!$A$5)*('Anchor Points'!$F$6-'Anchor Points'!$F$5),IF(A50&lt;=70,'Anchor Points'!$F$6+(A50-'Anchor Points'!$A$6)/('Anchor Points'!$A$7-'Anchor Points'!$A$6)*('Anchor Points'!$F$7-'Anchor Points'!$F$6),IF(A50&lt;=90,'Anchor Points'!$F$7+(A50-'Anchor Points'!$A$7)/('Anchor Points'!$A$8-'Anchor Points'!$A$7)*('Anchor Points'!$F$8-'Anchor Points'!$F$7),'Anchor Points'!$F$8+(A50-'Anchor Points'!$A$8)/('Anchor Points'!$A$9-'Anchor Points'!$A$8)*('Anchor Points'!$F$9-'Anchor Points'!$F$8)))))))</x:f>
        <x:v>4.266666666666667</x:v>
      </x:c>
      <x:c r="J50" s="28" t="n">
        <x:v>8</x:v>
      </x:c>
      <x:c r="K50" s="56" t="n">
        <x:v>9</x:v>
      </x:c>
      <x:c r="L50" s="52" t="n">
        <x:v>10</x:v>
      </x:c>
      <x:c r="M50" s="52" t="n">
        <x:v>60</x:v>
      </x:c>
      <x:c r="N50" s="56" t="n">
        <x:v>65</x:v>
      </x:c>
      <x:c r="O50" s="28" t="n">
        <x:v>70</x:v>
      </x:c>
      <x:c r="P50" s="28" t="n">
        <x:v>70</x:v>
      </x:c>
      <x:c r="Q50" s="55" t="n">
        <x:v>80</x:v>
      </x:c>
      <x:c r="R50" s="28" t="n">
        <x:v>90</x:v>
      </x:c>
      <x:c r="S50" s="28" t="n">
        <x:v>11</x:v>
      </x:c>
      <x:c r="T50" s="28" t="n">
        <x:v>14</x:v>
      </x:c>
      <x:c r="U50" s="55" t="n">
        <x:v>16</x:v>
      </x:c>
      <x:c r="V50" s="28" t="n">
        <x:v>488</x:v>
      </x:c>
      <x:c r="W50" s="55" t="n">
        <x:v>632</x:v>
      </x:c>
      <x:c r="X50" s="28" t="n">
        <x:v>768</x:v>
      </x:c>
    </x:row>
    <x:row r="51">
      <x:c r="A51" s="30" t="n">
        <x:v>49</x:v>
      </x:c>
      <x:c r="B51" s="11" t="str">
        <x:f>IF(A51&lt;=15,"Seedling",IF(A51&lt;=25,"Establishment",IF(A51&lt;=40,"Vegetative Growth",IF(A51&lt;=55,"Flowering &amp; Initial Fruit Set",IF(A51&lt;=80,"Fruit Enlargement",IF(A51&lt;=95,"Ripening","Harvesting"))))))</x:f>
        <x:v>Flowering &amp; Initial Fruit Set</x:v>
      </x:c>
      <x:c r="C51" s="28" t="n">
        <x:f>IF(A51&lt;=15,'Anchor Points'!$B$2+(A51-'Anchor Points'!$A$2)/('Anchor Points'!$A$3-'Anchor Points'!$A$2)*('Anchor Points'!$B$3-'Anchor Points'!$B$2),IF(A51&lt;=25,'Anchor Points'!$B$3+(A51-'Anchor Points'!$A$3)/('Anchor Points'!$A$4-'Anchor Points'!$A$3)*('Anchor Points'!$B$4-'Anchor Points'!$B$3),IF(A51&lt;=40,'Anchor Points'!$B$4+(A51-'Anchor Points'!$A$4)/('Anchor Points'!$A$5-'Anchor Points'!$A$4)*('Anchor Points'!$B$5-'Anchor Points'!$B$4),IF(A51&lt;=55,'Anchor Points'!$B$5+(A51-'Anchor Points'!$A$5)/('Anchor Points'!$A$6-'Anchor Points'!$A$5)*('Anchor Points'!$B$6-'Anchor Points'!$B$5),IF(A51&lt;=70,'Anchor Points'!$B$6+(A51-'Anchor Points'!$A$6)/('Anchor Points'!$A$7-'Anchor Points'!$A$6)*('Anchor Points'!$B$7-'Anchor Points'!$B$6),IF(A51&lt;=90,'Anchor Points'!$B$7+(A51-'Anchor Points'!$A$7)/('Anchor Points'!$A$8-'Anchor Points'!$A$7)*('Anchor Points'!$B$8-'Anchor Points'!$B$7),'Anchor Points'!$B$8+(A51-'Anchor Points'!$A$8)/('Anchor Points'!$A$9-'Anchor Points'!$A$8)*('Anchor Points'!$B$9-'Anchor Points'!$B$8)))))))</x:f>
        <x:v>50</x:v>
      </x:c>
      <x:c r="D51" s="28" t="n">
        <x:f>IF(A51&lt;=15,'Anchor Points'!$C$2+(A51-'Anchor Points'!$A$2)/('Anchor Points'!$A$3-'Anchor Points'!$A$2)*('Anchor Points'!$C$3-'Anchor Points'!$C$2),IF(A51&lt;=25,'Anchor Points'!$C$3+(A51-'Anchor Points'!$A$3)/('Anchor Points'!$A$4-'Anchor Points'!$A$3)*('Anchor Points'!$C$4-'Anchor Points'!$C$3),IF(A51&lt;=40,'Anchor Points'!$C$4+(A51-'Anchor Points'!$A$4)/('Anchor Points'!$A$5-'Anchor Points'!$A$4)*('Anchor Points'!$C$5-'Anchor Points'!$C$4),IF(A51&lt;=55,'Anchor Points'!$C$5+(A51-'Anchor Points'!$A$5)/('Anchor Points'!$A$6-'Anchor Points'!$A$5)*('Anchor Points'!$C$6-'Anchor Points'!$C$5),IF(A51&lt;=70,'Anchor Points'!$C$6+(A51-'Anchor Points'!$A$6)/('Anchor Points'!$A$7-'Anchor Points'!$A$6)*('Anchor Points'!$C$7-'Anchor Points'!$C$6),IF(A51&lt;=90,'Anchor Points'!$C$7+(A51-'Anchor Points'!$A$7)/('Anchor Points'!$A$8-'Anchor Points'!$A$7)*('Anchor Points'!$C$8-'Anchor Points'!$C$7),'Anchor Points'!$C$8+(A51-'Anchor Points'!$A$8)/('Anchor Points'!$A$9-'Anchor Points'!$A$8)*('Anchor Points'!$C$9-'Anchor Points'!$C$8)))))))</x:f>
        <x:v>37</x:v>
      </x:c>
      <x:c r="E51" s="28" t="n">
        <x:f>IF(A51&lt;=15,'Anchor Points'!$D$2+(A51-'Anchor Points'!$A$2)/('Anchor Points'!$A$3-'Anchor Points'!$A$2)*('Anchor Points'!$D$3-'Anchor Points'!$D$2),IF(A51&lt;=25,'Anchor Points'!$D$3+(A51-'Anchor Points'!$A$3)/('Anchor Points'!$A$4-'Anchor Points'!$A$3)*('Anchor Points'!$D$4-'Anchor Points'!$D$3),IF(A51&lt;=40,'Anchor Points'!$D$4+(A51-'Anchor Points'!$A$4)/('Anchor Points'!$A$5-'Anchor Points'!$A$4)*('Anchor Points'!$D$5-'Anchor Points'!$D$4),IF(A51&lt;=55,'Anchor Points'!$D$5+(A51-'Anchor Points'!$A$5)/('Anchor Points'!$A$6-'Anchor Points'!$A$5)*('Anchor Points'!$D$6-'Anchor Points'!$D$5),IF(A51&lt;=70,'Anchor Points'!$D$6+(A51-'Anchor Points'!$A$6)/('Anchor Points'!$A$7-'Anchor Points'!$A$6)*('Anchor Points'!$D$7-'Anchor Points'!$D$6),IF(A51&lt;=90,'Anchor Points'!$D$7+(A51-'Anchor Points'!$A$7)/('Anchor Points'!$A$8-'Anchor Points'!$A$7)*('Anchor Points'!$D$8-'Anchor Points'!$D$7),'Anchor Points'!$D$8+(A51-'Anchor Points'!$A$8)/('Anchor Points'!$A$9-'Anchor Points'!$A$8)*('Anchor Points'!$D$9-'Anchor Points'!$D$8)))))))</x:f>
        <x:v>5</x:v>
      </x:c>
      <x:c r="F51" s="30" t="n">
        <x:f>ROUND(E51,0)</x:f>
        <x:v>5</x:v>
      </x:c>
      <x:c r="G51" s="28" t="n">
        <x:f>IF(A51&lt;=15,'Anchor Points'!$E$2+(A51-'Anchor Points'!$A$2)/('Anchor Points'!$A$3-'Anchor Points'!$A$2)*('Anchor Points'!$E$3-'Anchor Points'!$E$2),IF(A51&lt;=25,'Anchor Points'!$E$3+(A51-'Anchor Points'!$A$3)/('Anchor Points'!$A$4-'Anchor Points'!$A$3)*('Anchor Points'!$E$4-'Anchor Points'!$E$3),IF(A51&lt;=40,'Anchor Points'!$E$4+(A51-'Anchor Points'!$A$4)/('Anchor Points'!$A$5-'Anchor Points'!$A$4)*('Anchor Points'!$E$5-'Anchor Points'!$E$4),IF(A51&lt;=55,'Anchor Points'!$E$5+(A51-'Anchor Points'!$A$5)/('Anchor Points'!$A$6-'Anchor Points'!$A$5)*('Anchor Points'!$E$6-'Anchor Points'!$E$5),IF(A51&lt;=70,'Anchor Points'!$E$6+(A51-'Anchor Points'!$A$6)/('Anchor Points'!$A$7-'Anchor Points'!$A$6)*('Anchor Points'!$E$7-'Anchor Points'!$E$6),IF(A51&lt;=90,'Anchor Points'!$E$7+(A51-'Anchor Points'!$A$7)/('Anchor Points'!$A$8-'Anchor Points'!$A$7)*('Anchor Points'!$E$8-'Anchor Points'!$E$7),'Anchor Points'!$E$8+(A51-'Anchor Points'!$A$8)/('Anchor Points'!$A$9-'Anchor Points'!$A$8)*('Anchor Points'!$E$9-'Anchor Points'!$E$8)))))))</x:f>
        <x:v>0.6</x:v>
      </x:c>
      <x:c r="H51" s="30" t="n">
        <x:f>ROUND(G51,0)</x:f>
        <x:v>1</x:v>
      </x:c>
      <x:c r="I51" s="28" t="n">
        <x:f>IF(A51&lt;=15,'Anchor Points'!$F$2+(A51-'Anchor Points'!$A$2)/('Anchor Points'!$A$3-'Anchor Points'!$A$2)*('Anchor Points'!$F$3-'Anchor Points'!$F$2),IF(A51&lt;=25,'Anchor Points'!$F$3+(A51-'Anchor Points'!$A$3)/('Anchor Points'!$A$4-'Anchor Points'!$A$3)*('Anchor Points'!$F$4-'Anchor Points'!$F$3),IF(A51&lt;=40,'Anchor Points'!$F$4+(A51-'Anchor Points'!$A$4)/('Anchor Points'!$A$5-'Anchor Points'!$A$4)*('Anchor Points'!$F$5-'Anchor Points'!$F$4),IF(A51&lt;=55,'Anchor Points'!$F$5+(A51-'Anchor Points'!$A$5)/('Anchor Points'!$A$6-'Anchor Points'!$A$5)*('Anchor Points'!$F$6-'Anchor Points'!$F$5),IF(A51&lt;=70,'Anchor Points'!$F$6+(A51-'Anchor Points'!$A$6)/('Anchor Points'!$A$7-'Anchor Points'!$A$6)*('Anchor Points'!$F$7-'Anchor Points'!$F$6),IF(A51&lt;=90,'Anchor Points'!$F$7+(A51-'Anchor Points'!$A$7)/('Anchor Points'!$A$8-'Anchor Points'!$A$7)*('Anchor Points'!$F$8-'Anchor Points'!$F$7),'Anchor Points'!$F$8+(A51-'Anchor Points'!$A$8)/('Anchor Points'!$A$9-'Anchor Points'!$A$8)*('Anchor Points'!$F$9-'Anchor Points'!$F$8)))))))</x:f>
        <x:v>4.8</x:v>
      </x:c>
      <x:c r="J51" s="28" t="n">
        <x:v>8</x:v>
      </x:c>
      <x:c r="K51" s="56" t="n">
        <x:v>9</x:v>
      </x:c>
      <x:c r="L51" s="52" t="n">
        <x:v>10</x:v>
      </x:c>
      <x:c r="M51" s="52" t="n">
        <x:v>60</x:v>
      </x:c>
      <x:c r="N51" s="56" t="n">
        <x:v>65</x:v>
      </x:c>
      <x:c r="O51" s="28" t="n">
        <x:v>70</x:v>
      </x:c>
      <x:c r="P51" s="28" t="n">
        <x:v>70</x:v>
      </x:c>
      <x:c r="Q51" s="55" t="n">
        <x:v>80</x:v>
      </x:c>
      <x:c r="R51" s="28" t="n">
        <x:v>90</x:v>
      </x:c>
      <x:c r="S51" s="28" t="n">
        <x:v>11</x:v>
      </x:c>
      <x:c r="T51" s="28" t="n">
        <x:v>14</x:v>
      </x:c>
      <x:c r="U51" s="55" t="n">
        <x:v>16</x:v>
      </x:c>
      <x:c r="V51" s="28" t="n">
        <x:v>499</x:v>
      </x:c>
      <x:c r="W51" s="55" t="n">
        <x:v>646</x:v>
      </x:c>
      <x:c r="X51" s="28" t="n">
        <x:v>784</x:v>
      </x:c>
    </x:row>
    <x:row r="52">
      <x:c r="A52" s="30" t="n">
        <x:v>50</x:v>
      </x:c>
      <x:c r="B52" s="11" t="str">
        <x:f>IF(A52&lt;=15,"Seedling",IF(A52&lt;=25,"Establishment",IF(A52&lt;=40,"Vegetative Growth",IF(A52&lt;=55,"Flowering &amp; Initial Fruit Set",IF(A52&lt;=80,"Fruit Enlargement",IF(A52&lt;=95,"Ripening","Harvesting"))))))</x:f>
        <x:v>Flowering &amp; Initial Fruit Set</x:v>
      </x:c>
      <x:c r="C52" s="28" t="n">
        <x:f>IF(A52&lt;=15,'Anchor Points'!$B$2+(A52-'Anchor Points'!$A$2)/('Anchor Points'!$A$3-'Anchor Points'!$A$2)*('Anchor Points'!$B$3-'Anchor Points'!$B$2),IF(A52&lt;=25,'Anchor Points'!$B$3+(A52-'Anchor Points'!$A$3)/('Anchor Points'!$A$4-'Anchor Points'!$A$3)*('Anchor Points'!$B$4-'Anchor Points'!$B$3),IF(A52&lt;=40,'Anchor Points'!$B$4+(A52-'Anchor Points'!$A$4)/('Anchor Points'!$A$5-'Anchor Points'!$A$4)*('Anchor Points'!$B$5-'Anchor Points'!$B$4),IF(A52&lt;=55,'Anchor Points'!$B$5+(A52-'Anchor Points'!$A$5)/('Anchor Points'!$A$6-'Anchor Points'!$A$5)*('Anchor Points'!$B$6-'Anchor Points'!$B$5),IF(A52&lt;=70,'Anchor Points'!$B$6+(A52-'Anchor Points'!$A$6)/('Anchor Points'!$A$7-'Anchor Points'!$A$6)*('Anchor Points'!$B$7-'Anchor Points'!$B$6),IF(A52&lt;=90,'Anchor Points'!$B$7+(A52-'Anchor Points'!$A$7)/('Anchor Points'!$A$8-'Anchor Points'!$A$7)*('Anchor Points'!$B$8-'Anchor Points'!$B$7),'Anchor Points'!$B$8+(A52-'Anchor Points'!$A$8)/('Anchor Points'!$A$9-'Anchor Points'!$A$8)*('Anchor Points'!$B$9-'Anchor Points'!$B$8)))))))</x:f>
        <x:v>51.33333333333333</x:v>
      </x:c>
      <x:c r="D52" s="28" t="n">
        <x:f>IF(A52&lt;=15,'Anchor Points'!$C$2+(A52-'Anchor Points'!$A$2)/('Anchor Points'!$A$3-'Anchor Points'!$A$2)*('Anchor Points'!$C$3-'Anchor Points'!$C$2),IF(A52&lt;=25,'Anchor Points'!$C$3+(A52-'Anchor Points'!$A$3)/('Anchor Points'!$A$4-'Anchor Points'!$A$3)*('Anchor Points'!$C$4-'Anchor Points'!$C$3),IF(A52&lt;=40,'Anchor Points'!$C$4+(A52-'Anchor Points'!$A$4)/('Anchor Points'!$A$5-'Anchor Points'!$A$4)*('Anchor Points'!$C$5-'Anchor Points'!$C$4),IF(A52&lt;=55,'Anchor Points'!$C$5+(A52-'Anchor Points'!$A$5)/('Anchor Points'!$A$6-'Anchor Points'!$A$5)*('Anchor Points'!$C$6-'Anchor Points'!$C$5),IF(A52&lt;=70,'Anchor Points'!$C$6+(A52-'Anchor Points'!$A$6)/('Anchor Points'!$A$7-'Anchor Points'!$A$6)*('Anchor Points'!$C$7-'Anchor Points'!$C$6),IF(A52&lt;=90,'Anchor Points'!$C$7+(A52-'Anchor Points'!$A$7)/('Anchor Points'!$A$8-'Anchor Points'!$A$7)*('Anchor Points'!$C$8-'Anchor Points'!$C$7),'Anchor Points'!$C$8+(A52-'Anchor Points'!$A$8)/('Anchor Points'!$A$9-'Anchor Points'!$A$8)*('Anchor Points'!$C$9-'Anchor Points'!$C$8)))))))</x:f>
        <x:v>38.33333333333333</x:v>
      </x:c>
      <x:c r="E52" s="28" t="n">
        <x:f>IF(A52&lt;=15,'Anchor Points'!$D$2+(A52-'Anchor Points'!$A$2)/('Anchor Points'!$A$3-'Anchor Points'!$A$2)*('Anchor Points'!$D$3-'Anchor Points'!$D$2),IF(A52&lt;=25,'Anchor Points'!$D$3+(A52-'Anchor Points'!$A$3)/('Anchor Points'!$A$4-'Anchor Points'!$A$3)*('Anchor Points'!$D$4-'Anchor Points'!$D$3),IF(A52&lt;=40,'Anchor Points'!$D$4+(A52-'Anchor Points'!$A$4)/('Anchor Points'!$A$5-'Anchor Points'!$A$4)*('Anchor Points'!$D$5-'Anchor Points'!$D$4),IF(A52&lt;=55,'Anchor Points'!$D$5+(A52-'Anchor Points'!$A$5)/('Anchor Points'!$A$6-'Anchor Points'!$A$5)*('Anchor Points'!$D$6-'Anchor Points'!$D$5),IF(A52&lt;=70,'Anchor Points'!$D$6+(A52-'Anchor Points'!$A$6)/('Anchor Points'!$A$7-'Anchor Points'!$A$6)*('Anchor Points'!$D$7-'Anchor Points'!$D$6),IF(A52&lt;=90,'Anchor Points'!$D$7+(A52-'Anchor Points'!$A$7)/('Anchor Points'!$A$8-'Anchor Points'!$A$7)*('Anchor Points'!$D$8-'Anchor Points'!$D$7),'Anchor Points'!$D$8+(A52-'Anchor Points'!$A$8)/('Anchor Points'!$A$9-'Anchor Points'!$A$8)*('Anchor Points'!$D$9-'Anchor Points'!$D$8)))))))</x:f>
        <x:v>5.333333333333333</x:v>
      </x:c>
      <x:c r="F52" s="30" t="n">
        <x:f>ROUND(E52,0)</x:f>
        <x:v>5</x:v>
      </x:c>
      <x:c r="G52" s="28" t="n">
        <x:f>IF(A52&lt;=15,'Anchor Points'!$E$2+(A52-'Anchor Points'!$A$2)/('Anchor Points'!$A$3-'Anchor Points'!$A$2)*('Anchor Points'!$E$3-'Anchor Points'!$E$2),IF(A52&lt;=25,'Anchor Points'!$E$3+(A52-'Anchor Points'!$A$3)/('Anchor Points'!$A$4-'Anchor Points'!$A$3)*('Anchor Points'!$E$4-'Anchor Points'!$E$3),IF(A52&lt;=40,'Anchor Points'!$E$4+(A52-'Anchor Points'!$A$4)/('Anchor Points'!$A$5-'Anchor Points'!$A$4)*('Anchor Points'!$E$5-'Anchor Points'!$E$4),IF(A52&lt;=55,'Anchor Points'!$E$5+(A52-'Anchor Points'!$A$5)/('Anchor Points'!$A$6-'Anchor Points'!$A$5)*('Anchor Points'!$E$6-'Anchor Points'!$E$5),IF(A52&lt;=70,'Anchor Points'!$E$6+(A52-'Anchor Points'!$A$6)/('Anchor Points'!$A$7-'Anchor Points'!$A$6)*('Anchor Points'!$E$7-'Anchor Points'!$E$6),IF(A52&lt;=90,'Anchor Points'!$E$7+(A52-'Anchor Points'!$A$7)/('Anchor Points'!$A$8-'Anchor Points'!$A$7)*('Anchor Points'!$E$8-'Anchor Points'!$E$7),'Anchor Points'!$E$8+(A52-'Anchor Points'!$A$8)/('Anchor Points'!$A$9-'Anchor Points'!$A$8)*('Anchor Points'!$E$9-'Anchor Points'!$E$8)))))))</x:f>
        <x:v>0.6666666666666666</x:v>
      </x:c>
      <x:c r="H52" s="30" t="n">
        <x:f>ROUND(G52,0)</x:f>
        <x:v>1</x:v>
      </x:c>
      <x:c r="I52" s="28" t="n">
        <x:f>IF(A52&lt;=15,'Anchor Points'!$F$2+(A52-'Anchor Points'!$A$2)/('Anchor Points'!$A$3-'Anchor Points'!$A$2)*('Anchor Points'!$F$3-'Anchor Points'!$F$2),IF(A52&lt;=25,'Anchor Points'!$F$3+(A52-'Anchor Points'!$A$3)/('Anchor Points'!$A$4-'Anchor Points'!$A$3)*('Anchor Points'!$F$4-'Anchor Points'!$F$3),IF(A52&lt;=40,'Anchor Points'!$F$4+(A52-'Anchor Points'!$A$4)/('Anchor Points'!$A$5-'Anchor Points'!$A$4)*('Anchor Points'!$F$5-'Anchor Points'!$F$4),IF(A52&lt;=55,'Anchor Points'!$F$5+(A52-'Anchor Points'!$A$5)/('Anchor Points'!$A$6-'Anchor Points'!$A$5)*('Anchor Points'!$F$6-'Anchor Points'!$F$5),IF(A52&lt;=70,'Anchor Points'!$F$6+(A52-'Anchor Points'!$A$6)/('Anchor Points'!$A$7-'Anchor Points'!$A$6)*('Anchor Points'!$F$7-'Anchor Points'!$F$6),IF(A52&lt;=90,'Anchor Points'!$F$7+(A52-'Anchor Points'!$A$7)/('Anchor Points'!$A$8-'Anchor Points'!$A$7)*('Anchor Points'!$F$8-'Anchor Points'!$F$7),'Anchor Points'!$F$8+(A52-'Anchor Points'!$A$8)/('Anchor Points'!$A$9-'Anchor Points'!$A$8)*('Anchor Points'!$F$9-'Anchor Points'!$F$8)))))))</x:f>
        <x:v>5.333333333333333</x:v>
      </x:c>
      <x:c r="J52" s="28" t="n">
        <x:v>8</x:v>
      </x:c>
      <x:c r="K52" s="56" t="n">
        <x:v>9</x:v>
      </x:c>
      <x:c r="L52" s="52" t="n">
        <x:v>10</x:v>
      </x:c>
      <x:c r="M52" s="52" t="n">
        <x:v>60</x:v>
      </x:c>
      <x:c r="N52" s="56" t="n">
        <x:v>65</x:v>
      </x:c>
      <x:c r="O52" s="28" t="n">
        <x:v>70</x:v>
      </x:c>
      <x:c r="P52" s="28" t="n">
        <x:v>70</x:v>
      </x:c>
      <x:c r="Q52" s="55" t="n">
        <x:v>80</x:v>
      </x:c>
      <x:c r="R52" s="28" t="n">
        <x:v>90</x:v>
      </x:c>
      <x:c r="S52" s="28" t="n">
        <x:v>11</x:v>
      </x:c>
      <x:c r="T52" s="28" t="n">
        <x:v>14</x:v>
      </x:c>
      <x:c r="U52" s="55" t="n">
        <x:v>16</x:v>
      </x:c>
      <x:c r="V52" s="28" t="n">
        <x:v>510</x:v>
      </x:c>
      <x:c r="W52" s="55" t="n">
        <x:v>660</x:v>
      </x:c>
      <x:c r="X52" s="28" t="n">
        <x:v>800</x:v>
      </x:c>
    </x:row>
    <x:row r="53">
      <x:c r="A53" s="30" t="n">
        <x:v>51</x:v>
      </x:c>
      <x:c r="B53" s="11" t="str">
        <x:f>IF(A53&lt;=15,"Seedling",IF(A53&lt;=25,"Establishment",IF(A53&lt;=40,"Vegetative Growth",IF(A53&lt;=55,"Flowering &amp; Initial Fruit Set",IF(A53&lt;=80,"Fruit Enlargement",IF(A53&lt;=95,"Ripening","Harvesting"))))))</x:f>
        <x:v>Flowering &amp; Initial Fruit Set</x:v>
      </x:c>
      <x:c r="C53" s="28" t="n">
        <x:f>IF(A53&lt;=15,'Anchor Points'!$B$2+(A53-'Anchor Points'!$A$2)/('Anchor Points'!$A$3-'Anchor Points'!$A$2)*('Anchor Points'!$B$3-'Anchor Points'!$B$2),IF(A53&lt;=25,'Anchor Points'!$B$3+(A53-'Anchor Points'!$A$3)/('Anchor Points'!$A$4-'Anchor Points'!$A$3)*('Anchor Points'!$B$4-'Anchor Points'!$B$3),IF(A53&lt;=40,'Anchor Points'!$B$4+(A53-'Anchor Points'!$A$4)/('Anchor Points'!$A$5-'Anchor Points'!$A$4)*('Anchor Points'!$B$5-'Anchor Points'!$B$4),IF(A53&lt;=55,'Anchor Points'!$B$5+(A53-'Anchor Points'!$A$5)/('Anchor Points'!$A$6-'Anchor Points'!$A$5)*('Anchor Points'!$B$6-'Anchor Points'!$B$5),IF(A53&lt;=70,'Anchor Points'!$B$6+(A53-'Anchor Points'!$A$6)/('Anchor Points'!$A$7-'Anchor Points'!$A$6)*('Anchor Points'!$B$7-'Anchor Points'!$B$6),IF(A53&lt;=90,'Anchor Points'!$B$7+(A53-'Anchor Points'!$A$7)/('Anchor Points'!$A$8-'Anchor Points'!$A$7)*('Anchor Points'!$B$8-'Anchor Points'!$B$7),'Anchor Points'!$B$8+(A53-'Anchor Points'!$A$8)/('Anchor Points'!$A$9-'Anchor Points'!$A$8)*('Anchor Points'!$B$9-'Anchor Points'!$B$8)))))))</x:f>
        <x:v>52.666666666666664</x:v>
      </x:c>
      <x:c r="D53" s="28" t="n">
        <x:f>IF(A53&lt;=15,'Anchor Points'!$C$2+(A53-'Anchor Points'!$A$2)/('Anchor Points'!$A$3-'Anchor Points'!$A$2)*('Anchor Points'!$C$3-'Anchor Points'!$C$2),IF(A53&lt;=25,'Anchor Points'!$C$3+(A53-'Anchor Points'!$A$3)/('Anchor Points'!$A$4-'Anchor Points'!$A$3)*('Anchor Points'!$C$4-'Anchor Points'!$C$3),IF(A53&lt;=40,'Anchor Points'!$C$4+(A53-'Anchor Points'!$A$4)/('Anchor Points'!$A$5-'Anchor Points'!$A$4)*('Anchor Points'!$C$5-'Anchor Points'!$C$4),IF(A53&lt;=55,'Anchor Points'!$C$5+(A53-'Anchor Points'!$A$5)/('Anchor Points'!$A$6-'Anchor Points'!$A$5)*('Anchor Points'!$C$6-'Anchor Points'!$C$5),IF(A53&lt;=70,'Anchor Points'!$C$6+(A53-'Anchor Points'!$A$6)/('Anchor Points'!$A$7-'Anchor Points'!$A$6)*('Anchor Points'!$C$7-'Anchor Points'!$C$6),IF(A53&lt;=90,'Anchor Points'!$C$7+(A53-'Anchor Points'!$A$7)/('Anchor Points'!$A$8-'Anchor Points'!$A$7)*('Anchor Points'!$C$8-'Anchor Points'!$C$7),'Anchor Points'!$C$8+(A53-'Anchor Points'!$A$8)/('Anchor Points'!$A$9-'Anchor Points'!$A$8)*('Anchor Points'!$C$9-'Anchor Points'!$C$8)))))))</x:f>
        <x:v>39.666666666666664</x:v>
      </x:c>
      <x:c r="E53" s="28" t="n">
        <x:f>IF(A53&lt;=15,'Anchor Points'!$D$2+(A53-'Anchor Points'!$A$2)/('Anchor Points'!$A$3-'Anchor Points'!$A$2)*('Anchor Points'!$D$3-'Anchor Points'!$D$2),IF(A53&lt;=25,'Anchor Points'!$D$3+(A53-'Anchor Points'!$A$3)/('Anchor Points'!$A$4-'Anchor Points'!$A$3)*('Anchor Points'!$D$4-'Anchor Points'!$D$3),IF(A53&lt;=40,'Anchor Points'!$D$4+(A53-'Anchor Points'!$A$4)/('Anchor Points'!$A$5-'Anchor Points'!$A$4)*('Anchor Points'!$D$5-'Anchor Points'!$D$4),IF(A53&lt;=55,'Anchor Points'!$D$5+(A53-'Anchor Points'!$A$5)/('Anchor Points'!$A$6-'Anchor Points'!$A$5)*('Anchor Points'!$D$6-'Anchor Points'!$D$5),IF(A53&lt;=70,'Anchor Points'!$D$6+(A53-'Anchor Points'!$A$6)/('Anchor Points'!$A$7-'Anchor Points'!$A$6)*('Anchor Points'!$D$7-'Anchor Points'!$D$6),IF(A53&lt;=90,'Anchor Points'!$D$7+(A53-'Anchor Points'!$A$7)/('Anchor Points'!$A$8-'Anchor Points'!$A$7)*('Anchor Points'!$D$8-'Anchor Points'!$D$7),'Anchor Points'!$D$8+(A53-'Anchor Points'!$A$8)/('Anchor Points'!$A$9-'Anchor Points'!$A$8)*('Anchor Points'!$D$9-'Anchor Points'!$D$8)))))))</x:f>
        <x:v>5.666666666666666</x:v>
      </x:c>
      <x:c r="F53" s="30" t="n">
        <x:f>ROUND(E53,0)</x:f>
        <x:v>6</x:v>
      </x:c>
      <x:c r="G53" s="28" t="n">
        <x:f>IF(A53&lt;=15,'Anchor Points'!$E$2+(A53-'Anchor Points'!$A$2)/('Anchor Points'!$A$3-'Anchor Points'!$A$2)*('Anchor Points'!$E$3-'Anchor Points'!$E$2),IF(A53&lt;=25,'Anchor Points'!$E$3+(A53-'Anchor Points'!$A$3)/('Anchor Points'!$A$4-'Anchor Points'!$A$3)*('Anchor Points'!$E$4-'Anchor Points'!$E$3),IF(A53&lt;=40,'Anchor Points'!$E$4+(A53-'Anchor Points'!$A$4)/('Anchor Points'!$A$5-'Anchor Points'!$A$4)*('Anchor Points'!$E$5-'Anchor Points'!$E$4),IF(A53&lt;=55,'Anchor Points'!$E$5+(A53-'Anchor Points'!$A$5)/('Anchor Points'!$A$6-'Anchor Points'!$A$5)*('Anchor Points'!$E$6-'Anchor Points'!$E$5),IF(A53&lt;=70,'Anchor Points'!$E$6+(A53-'Anchor Points'!$A$6)/('Anchor Points'!$A$7-'Anchor Points'!$A$6)*('Anchor Points'!$E$7-'Anchor Points'!$E$6),IF(A53&lt;=90,'Anchor Points'!$E$7+(A53-'Anchor Points'!$A$7)/('Anchor Points'!$A$8-'Anchor Points'!$A$7)*('Anchor Points'!$E$8-'Anchor Points'!$E$7),'Anchor Points'!$E$8+(A53-'Anchor Points'!$A$8)/('Anchor Points'!$A$9-'Anchor Points'!$A$8)*('Anchor Points'!$E$9-'Anchor Points'!$E$8)))))))</x:f>
        <x:v>0.7333333333333333</x:v>
      </x:c>
      <x:c r="H53" s="30" t="n">
        <x:f>ROUND(G53,0)</x:f>
        <x:v>1</x:v>
      </x:c>
      <x:c r="I53" s="28" t="n">
        <x:f>IF(A53&lt;=15,'Anchor Points'!$F$2+(A53-'Anchor Points'!$A$2)/('Anchor Points'!$A$3-'Anchor Points'!$A$2)*('Anchor Points'!$F$3-'Anchor Points'!$F$2),IF(A53&lt;=25,'Anchor Points'!$F$3+(A53-'Anchor Points'!$A$3)/('Anchor Points'!$A$4-'Anchor Points'!$A$3)*('Anchor Points'!$F$4-'Anchor Points'!$F$3),IF(A53&lt;=40,'Anchor Points'!$F$4+(A53-'Anchor Points'!$A$4)/('Anchor Points'!$A$5-'Anchor Points'!$A$4)*('Anchor Points'!$F$5-'Anchor Points'!$F$4),IF(A53&lt;=55,'Anchor Points'!$F$5+(A53-'Anchor Points'!$A$5)/('Anchor Points'!$A$6-'Anchor Points'!$A$5)*('Anchor Points'!$F$6-'Anchor Points'!$F$5),IF(A53&lt;=70,'Anchor Points'!$F$6+(A53-'Anchor Points'!$A$6)/('Anchor Points'!$A$7-'Anchor Points'!$A$6)*('Anchor Points'!$F$7-'Anchor Points'!$F$6),IF(A53&lt;=90,'Anchor Points'!$F$7+(A53-'Anchor Points'!$A$7)/('Anchor Points'!$A$8-'Anchor Points'!$A$7)*('Anchor Points'!$F$8-'Anchor Points'!$F$7),'Anchor Points'!$F$8+(A53-'Anchor Points'!$A$8)/('Anchor Points'!$A$9-'Anchor Points'!$A$8)*('Anchor Points'!$F$9-'Anchor Points'!$F$8)))))))</x:f>
        <x:v>5.866666666666666</x:v>
      </x:c>
      <x:c r="J53" s="28" t="n">
        <x:v>8</x:v>
      </x:c>
      <x:c r="K53" s="56" t="n">
        <x:v>9</x:v>
      </x:c>
      <x:c r="L53" s="52" t="n">
        <x:v>10</x:v>
      </x:c>
      <x:c r="M53" s="52" t="n">
        <x:v>60</x:v>
      </x:c>
      <x:c r="N53" s="56" t="n">
        <x:v>65</x:v>
      </x:c>
      <x:c r="O53" s="28" t="n">
        <x:v>70</x:v>
      </x:c>
      <x:c r="P53" s="28" t="n">
        <x:v>70</x:v>
      </x:c>
      <x:c r="Q53" s="55" t="n">
        <x:v>80</x:v>
      </x:c>
      <x:c r="R53" s="28" t="n">
        <x:v>90</x:v>
      </x:c>
      <x:c r="S53" s="28" t="n">
        <x:v>11</x:v>
      </x:c>
      <x:c r="T53" s="28" t="n">
        <x:v>14</x:v>
      </x:c>
      <x:c r="U53" s="55" t="n">
        <x:v>16</x:v>
      </x:c>
      <x:c r="V53" s="28" t="n">
        <x:v>521</x:v>
      </x:c>
      <x:c r="W53" s="55" t="n">
        <x:v>674</x:v>
      </x:c>
      <x:c r="X53" s="28" t="n">
        <x:v>816</x:v>
      </x:c>
    </x:row>
    <x:row r="54">
      <x:c r="A54" s="30" t="n">
        <x:v>52</x:v>
      </x:c>
      <x:c r="B54" s="11" t="str">
        <x:f>IF(A54&lt;=15,"Seedling",IF(A54&lt;=25,"Establishment",IF(A54&lt;=40,"Vegetative Growth",IF(A54&lt;=55,"Flowering &amp; Initial Fruit Set",IF(A54&lt;=80,"Fruit Enlargement",IF(A54&lt;=95,"Ripening","Harvesting"))))))</x:f>
        <x:v>Flowering &amp; Initial Fruit Set</x:v>
      </x:c>
      <x:c r="C54" s="28" t="n">
        <x:f>IF(A54&lt;=15,'Anchor Points'!$B$2+(A54-'Anchor Points'!$A$2)/('Anchor Points'!$A$3-'Anchor Points'!$A$2)*('Anchor Points'!$B$3-'Anchor Points'!$B$2),IF(A54&lt;=25,'Anchor Points'!$B$3+(A54-'Anchor Points'!$A$3)/('Anchor Points'!$A$4-'Anchor Points'!$A$3)*('Anchor Points'!$B$4-'Anchor Points'!$B$3),IF(A54&lt;=40,'Anchor Points'!$B$4+(A54-'Anchor Points'!$A$4)/('Anchor Points'!$A$5-'Anchor Points'!$A$4)*('Anchor Points'!$B$5-'Anchor Points'!$B$4),IF(A54&lt;=55,'Anchor Points'!$B$5+(A54-'Anchor Points'!$A$5)/('Anchor Points'!$A$6-'Anchor Points'!$A$5)*('Anchor Points'!$B$6-'Anchor Points'!$B$5),IF(A54&lt;=70,'Anchor Points'!$B$6+(A54-'Anchor Points'!$A$6)/('Anchor Points'!$A$7-'Anchor Points'!$A$6)*('Anchor Points'!$B$7-'Anchor Points'!$B$6),IF(A54&lt;=90,'Anchor Points'!$B$7+(A54-'Anchor Points'!$A$7)/('Anchor Points'!$A$8-'Anchor Points'!$A$7)*('Anchor Points'!$B$8-'Anchor Points'!$B$7),'Anchor Points'!$B$8+(A54-'Anchor Points'!$A$8)/('Anchor Points'!$A$9-'Anchor Points'!$A$8)*('Anchor Points'!$B$9-'Anchor Points'!$B$8)))))))</x:f>
        <x:v>54</x:v>
      </x:c>
      <x:c r="D54" s="28" t="n">
        <x:f>IF(A54&lt;=15,'Anchor Points'!$C$2+(A54-'Anchor Points'!$A$2)/('Anchor Points'!$A$3-'Anchor Points'!$A$2)*('Anchor Points'!$C$3-'Anchor Points'!$C$2),IF(A54&lt;=25,'Anchor Points'!$C$3+(A54-'Anchor Points'!$A$3)/('Anchor Points'!$A$4-'Anchor Points'!$A$3)*('Anchor Points'!$C$4-'Anchor Points'!$C$3),IF(A54&lt;=40,'Anchor Points'!$C$4+(A54-'Anchor Points'!$A$4)/('Anchor Points'!$A$5-'Anchor Points'!$A$4)*('Anchor Points'!$C$5-'Anchor Points'!$C$4),IF(A54&lt;=55,'Anchor Points'!$C$5+(A54-'Anchor Points'!$A$5)/('Anchor Points'!$A$6-'Anchor Points'!$A$5)*('Anchor Points'!$C$6-'Anchor Points'!$C$5),IF(A54&lt;=70,'Anchor Points'!$C$6+(A54-'Anchor Points'!$A$6)/('Anchor Points'!$A$7-'Anchor Points'!$A$6)*('Anchor Points'!$C$7-'Anchor Points'!$C$6),IF(A54&lt;=90,'Anchor Points'!$C$7+(A54-'Anchor Points'!$A$7)/('Anchor Points'!$A$8-'Anchor Points'!$A$7)*('Anchor Points'!$C$8-'Anchor Points'!$C$7),'Anchor Points'!$C$8+(A54-'Anchor Points'!$A$8)/('Anchor Points'!$A$9-'Anchor Points'!$A$8)*('Anchor Points'!$C$9-'Anchor Points'!$C$8)))))))</x:f>
        <x:v>41</x:v>
      </x:c>
      <x:c r="E54" s="28" t="n">
        <x:f>IF(A54&lt;=15,'Anchor Points'!$D$2+(A54-'Anchor Points'!$A$2)/('Anchor Points'!$A$3-'Anchor Points'!$A$2)*('Anchor Points'!$D$3-'Anchor Points'!$D$2),IF(A54&lt;=25,'Anchor Points'!$D$3+(A54-'Anchor Points'!$A$3)/('Anchor Points'!$A$4-'Anchor Points'!$A$3)*('Anchor Points'!$D$4-'Anchor Points'!$D$3),IF(A54&lt;=40,'Anchor Points'!$D$4+(A54-'Anchor Points'!$A$4)/('Anchor Points'!$A$5-'Anchor Points'!$A$4)*('Anchor Points'!$D$5-'Anchor Points'!$D$4),IF(A54&lt;=55,'Anchor Points'!$D$5+(A54-'Anchor Points'!$A$5)/('Anchor Points'!$A$6-'Anchor Points'!$A$5)*('Anchor Points'!$D$6-'Anchor Points'!$D$5),IF(A54&lt;=70,'Anchor Points'!$D$6+(A54-'Anchor Points'!$A$6)/('Anchor Points'!$A$7-'Anchor Points'!$A$6)*('Anchor Points'!$D$7-'Anchor Points'!$D$6),IF(A54&lt;=90,'Anchor Points'!$D$7+(A54-'Anchor Points'!$A$7)/('Anchor Points'!$A$8-'Anchor Points'!$A$7)*('Anchor Points'!$D$8-'Anchor Points'!$D$7),'Anchor Points'!$D$8+(A54-'Anchor Points'!$A$8)/('Anchor Points'!$A$9-'Anchor Points'!$A$8)*('Anchor Points'!$D$9-'Anchor Points'!$D$8)))))))</x:f>
        <x:v>6</x:v>
      </x:c>
      <x:c r="F54" s="30" t="n">
        <x:f>ROUND(E54,0)</x:f>
        <x:v>6</x:v>
      </x:c>
      <x:c r="G54" s="28" t="n">
        <x:f>IF(A54&lt;=15,'Anchor Points'!$E$2+(A54-'Anchor Points'!$A$2)/('Anchor Points'!$A$3-'Anchor Points'!$A$2)*('Anchor Points'!$E$3-'Anchor Points'!$E$2),IF(A54&lt;=25,'Anchor Points'!$E$3+(A54-'Anchor Points'!$A$3)/('Anchor Points'!$A$4-'Anchor Points'!$A$3)*('Anchor Points'!$E$4-'Anchor Points'!$E$3),IF(A54&lt;=40,'Anchor Points'!$E$4+(A54-'Anchor Points'!$A$4)/('Anchor Points'!$A$5-'Anchor Points'!$A$4)*('Anchor Points'!$E$5-'Anchor Points'!$E$4),IF(A54&lt;=55,'Anchor Points'!$E$5+(A54-'Anchor Points'!$A$5)/('Anchor Points'!$A$6-'Anchor Points'!$A$5)*('Anchor Points'!$E$6-'Anchor Points'!$E$5),IF(A54&lt;=70,'Anchor Points'!$E$6+(A54-'Anchor Points'!$A$6)/('Anchor Points'!$A$7-'Anchor Points'!$A$6)*('Anchor Points'!$E$7-'Anchor Points'!$E$6),IF(A54&lt;=90,'Anchor Points'!$E$7+(A54-'Anchor Points'!$A$7)/('Anchor Points'!$A$8-'Anchor Points'!$A$7)*('Anchor Points'!$E$8-'Anchor Points'!$E$7),'Anchor Points'!$E$8+(A54-'Anchor Points'!$A$8)/('Anchor Points'!$A$9-'Anchor Points'!$A$8)*('Anchor Points'!$E$9-'Anchor Points'!$E$8)))))))</x:f>
        <x:v>0.8</x:v>
      </x:c>
      <x:c r="H54" s="30" t="n">
        <x:f>ROUND(G54,0)</x:f>
        <x:v>1</x:v>
      </x:c>
      <x:c r="I54" s="28" t="n">
        <x:f>IF(A54&lt;=15,'Anchor Points'!$F$2+(A54-'Anchor Points'!$A$2)/('Anchor Points'!$A$3-'Anchor Points'!$A$2)*('Anchor Points'!$F$3-'Anchor Points'!$F$2),IF(A54&lt;=25,'Anchor Points'!$F$3+(A54-'Anchor Points'!$A$3)/('Anchor Points'!$A$4-'Anchor Points'!$A$3)*('Anchor Points'!$F$4-'Anchor Points'!$F$3),IF(A54&lt;=40,'Anchor Points'!$F$4+(A54-'Anchor Points'!$A$4)/('Anchor Points'!$A$5-'Anchor Points'!$A$4)*('Anchor Points'!$F$5-'Anchor Points'!$F$4),IF(A54&lt;=55,'Anchor Points'!$F$5+(A54-'Anchor Points'!$A$5)/('Anchor Points'!$A$6-'Anchor Points'!$A$5)*('Anchor Points'!$F$6-'Anchor Points'!$F$5),IF(A54&lt;=70,'Anchor Points'!$F$6+(A54-'Anchor Points'!$A$6)/('Anchor Points'!$A$7-'Anchor Points'!$A$6)*('Anchor Points'!$F$7-'Anchor Points'!$F$6),IF(A54&lt;=90,'Anchor Points'!$F$7+(A54-'Anchor Points'!$A$7)/('Anchor Points'!$A$8-'Anchor Points'!$A$7)*('Anchor Points'!$F$8-'Anchor Points'!$F$7),'Anchor Points'!$F$8+(A54-'Anchor Points'!$A$8)/('Anchor Points'!$A$9-'Anchor Points'!$A$8)*('Anchor Points'!$F$9-'Anchor Points'!$F$8)))))))</x:f>
        <x:v>6.4</x:v>
      </x:c>
      <x:c r="J54" s="28" t="n">
        <x:v>8</x:v>
      </x:c>
      <x:c r="K54" s="56" t="n">
        <x:v>9</x:v>
      </x:c>
      <x:c r="L54" s="52" t="n">
        <x:v>10</x:v>
      </x:c>
      <x:c r="M54" s="52" t="n">
        <x:v>60</x:v>
      </x:c>
      <x:c r="N54" s="56" t="n">
        <x:v>65</x:v>
      </x:c>
      <x:c r="O54" s="28" t="n">
        <x:v>70</x:v>
      </x:c>
      <x:c r="P54" s="28" t="n">
        <x:v>70</x:v>
      </x:c>
      <x:c r="Q54" s="55" t="n">
        <x:v>80</x:v>
      </x:c>
      <x:c r="R54" s="28" t="n">
        <x:v>90</x:v>
      </x:c>
      <x:c r="S54" s="28" t="n">
        <x:v>11</x:v>
      </x:c>
      <x:c r="T54" s="28" t="n">
        <x:v>14</x:v>
      </x:c>
      <x:c r="U54" s="55" t="n">
        <x:v>16</x:v>
      </x:c>
      <x:c r="V54" s="28" t="n">
        <x:v>532</x:v>
      </x:c>
      <x:c r="W54" s="55" t="n">
        <x:v>688</x:v>
      </x:c>
      <x:c r="X54" s="28" t="n">
        <x:v>832</x:v>
      </x:c>
    </x:row>
    <x:row r="55">
      <x:c r="A55" s="30" t="n">
        <x:v>53</x:v>
      </x:c>
      <x:c r="B55" s="11" t="str">
        <x:f>IF(A55&lt;=15,"Seedling",IF(A55&lt;=25,"Establishment",IF(A55&lt;=40,"Vegetative Growth",IF(A55&lt;=55,"Flowering &amp; Initial Fruit Set",IF(A55&lt;=80,"Fruit Enlargement",IF(A55&lt;=95,"Ripening","Harvesting"))))))</x:f>
        <x:v>Flowering &amp; Initial Fruit Set</x:v>
      </x:c>
      <x:c r="C55" s="28" t="n">
        <x:f>IF(A55&lt;=15,'Anchor Points'!$B$2+(A55-'Anchor Points'!$A$2)/('Anchor Points'!$A$3-'Anchor Points'!$A$2)*('Anchor Points'!$B$3-'Anchor Points'!$B$2),IF(A55&lt;=25,'Anchor Points'!$B$3+(A55-'Anchor Points'!$A$3)/('Anchor Points'!$A$4-'Anchor Points'!$A$3)*('Anchor Points'!$B$4-'Anchor Points'!$B$3),IF(A55&lt;=40,'Anchor Points'!$B$4+(A55-'Anchor Points'!$A$4)/('Anchor Points'!$A$5-'Anchor Points'!$A$4)*('Anchor Points'!$B$5-'Anchor Points'!$B$4),IF(A55&lt;=55,'Anchor Points'!$B$5+(A55-'Anchor Points'!$A$5)/('Anchor Points'!$A$6-'Anchor Points'!$A$5)*('Anchor Points'!$B$6-'Anchor Points'!$B$5),IF(A55&lt;=70,'Anchor Points'!$B$6+(A55-'Anchor Points'!$A$6)/('Anchor Points'!$A$7-'Anchor Points'!$A$6)*('Anchor Points'!$B$7-'Anchor Points'!$B$6),IF(A55&lt;=90,'Anchor Points'!$B$7+(A55-'Anchor Points'!$A$7)/('Anchor Points'!$A$8-'Anchor Points'!$A$7)*('Anchor Points'!$B$8-'Anchor Points'!$B$7),'Anchor Points'!$B$8+(A55-'Anchor Points'!$A$8)/('Anchor Points'!$A$9-'Anchor Points'!$A$8)*('Anchor Points'!$B$9-'Anchor Points'!$B$8)))))))</x:f>
        <x:v>55.333333333333336</x:v>
      </x:c>
      <x:c r="D55" s="28" t="n">
        <x:f>IF(A55&lt;=15,'Anchor Points'!$C$2+(A55-'Anchor Points'!$A$2)/('Anchor Points'!$A$3-'Anchor Points'!$A$2)*('Anchor Points'!$C$3-'Anchor Points'!$C$2),IF(A55&lt;=25,'Anchor Points'!$C$3+(A55-'Anchor Points'!$A$3)/('Anchor Points'!$A$4-'Anchor Points'!$A$3)*('Anchor Points'!$C$4-'Anchor Points'!$C$3),IF(A55&lt;=40,'Anchor Points'!$C$4+(A55-'Anchor Points'!$A$4)/('Anchor Points'!$A$5-'Anchor Points'!$A$4)*('Anchor Points'!$C$5-'Anchor Points'!$C$4),IF(A55&lt;=55,'Anchor Points'!$C$5+(A55-'Anchor Points'!$A$5)/('Anchor Points'!$A$6-'Anchor Points'!$A$5)*('Anchor Points'!$C$6-'Anchor Points'!$C$5),IF(A55&lt;=70,'Anchor Points'!$C$6+(A55-'Anchor Points'!$A$6)/('Anchor Points'!$A$7-'Anchor Points'!$A$6)*('Anchor Points'!$C$7-'Anchor Points'!$C$6),IF(A55&lt;=90,'Anchor Points'!$C$7+(A55-'Anchor Points'!$A$7)/('Anchor Points'!$A$8-'Anchor Points'!$A$7)*('Anchor Points'!$C$8-'Anchor Points'!$C$7),'Anchor Points'!$C$8+(A55-'Anchor Points'!$A$8)/('Anchor Points'!$A$9-'Anchor Points'!$A$8)*('Anchor Points'!$C$9-'Anchor Points'!$C$8)))))))</x:f>
        <x:v>42.333333333333336</x:v>
      </x:c>
      <x:c r="E55" s="28" t="n">
        <x:f>IF(A55&lt;=15,'Anchor Points'!$D$2+(A55-'Anchor Points'!$A$2)/('Anchor Points'!$A$3-'Anchor Points'!$A$2)*('Anchor Points'!$D$3-'Anchor Points'!$D$2),IF(A55&lt;=25,'Anchor Points'!$D$3+(A55-'Anchor Points'!$A$3)/('Anchor Points'!$A$4-'Anchor Points'!$A$3)*('Anchor Points'!$D$4-'Anchor Points'!$D$3),IF(A55&lt;=40,'Anchor Points'!$D$4+(A55-'Anchor Points'!$A$4)/('Anchor Points'!$A$5-'Anchor Points'!$A$4)*('Anchor Points'!$D$5-'Anchor Points'!$D$4),IF(A55&lt;=55,'Anchor Points'!$D$5+(A55-'Anchor Points'!$A$5)/('Anchor Points'!$A$6-'Anchor Points'!$A$5)*('Anchor Points'!$D$6-'Anchor Points'!$D$5),IF(A55&lt;=70,'Anchor Points'!$D$6+(A55-'Anchor Points'!$A$6)/('Anchor Points'!$A$7-'Anchor Points'!$A$6)*('Anchor Points'!$D$7-'Anchor Points'!$D$6),IF(A55&lt;=90,'Anchor Points'!$D$7+(A55-'Anchor Points'!$A$7)/('Anchor Points'!$A$8-'Anchor Points'!$A$7)*('Anchor Points'!$D$8-'Anchor Points'!$D$7),'Anchor Points'!$D$8+(A55-'Anchor Points'!$A$8)/('Anchor Points'!$A$9-'Anchor Points'!$A$8)*('Anchor Points'!$D$9-'Anchor Points'!$D$8)))))))</x:f>
        <x:v>6.333333333333334</x:v>
      </x:c>
      <x:c r="F55" s="30" t="n">
        <x:f>ROUND(E55,0)</x:f>
        <x:v>6</x:v>
      </x:c>
      <x:c r="G55" s="28" t="n">
        <x:f>IF(A55&lt;=15,'Anchor Points'!$E$2+(A55-'Anchor Points'!$A$2)/('Anchor Points'!$A$3-'Anchor Points'!$A$2)*('Anchor Points'!$E$3-'Anchor Points'!$E$2),IF(A55&lt;=25,'Anchor Points'!$E$3+(A55-'Anchor Points'!$A$3)/('Anchor Points'!$A$4-'Anchor Points'!$A$3)*('Anchor Points'!$E$4-'Anchor Points'!$E$3),IF(A55&lt;=40,'Anchor Points'!$E$4+(A55-'Anchor Points'!$A$4)/('Anchor Points'!$A$5-'Anchor Points'!$A$4)*('Anchor Points'!$E$5-'Anchor Points'!$E$4),IF(A55&lt;=55,'Anchor Points'!$E$5+(A55-'Anchor Points'!$A$5)/('Anchor Points'!$A$6-'Anchor Points'!$A$5)*('Anchor Points'!$E$6-'Anchor Points'!$E$5),IF(A55&lt;=70,'Anchor Points'!$E$6+(A55-'Anchor Points'!$A$6)/('Anchor Points'!$A$7-'Anchor Points'!$A$6)*('Anchor Points'!$E$7-'Anchor Points'!$E$6),IF(A55&lt;=90,'Anchor Points'!$E$7+(A55-'Anchor Points'!$A$7)/('Anchor Points'!$A$8-'Anchor Points'!$A$7)*('Anchor Points'!$E$8-'Anchor Points'!$E$7),'Anchor Points'!$E$8+(A55-'Anchor Points'!$A$8)/('Anchor Points'!$A$9-'Anchor Points'!$A$8)*('Anchor Points'!$E$9-'Anchor Points'!$E$8)))))))</x:f>
        <x:v>0.8666666666666667</x:v>
      </x:c>
      <x:c r="H55" s="30" t="n">
        <x:f>ROUND(G55,0)</x:f>
        <x:v>1</x:v>
      </x:c>
      <x:c r="I55" s="28" t="n">
        <x:f>IF(A55&lt;=15,'Anchor Points'!$F$2+(A55-'Anchor Points'!$A$2)/('Anchor Points'!$A$3-'Anchor Points'!$A$2)*('Anchor Points'!$F$3-'Anchor Points'!$F$2),IF(A55&lt;=25,'Anchor Points'!$F$3+(A55-'Anchor Points'!$A$3)/('Anchor Points'!$A$4-'Anchor Points'!$A$3)*('Anchor Points'!$F$4-'Anchor Points'!$F$3),IF(A55&lt;=40,'Anchor Points'!$F$4+(A55-'Anchor Points'!$A$4)/('Anchor Points'!$A$5-'Anchor Points'!$A$4)*('Anchor Points'!$F$5-'Anchor Points'!$F$4),IF(A55&lt;=55,'Anchor Points'!$F$5+(A55-'Anchor Points'!$A$5)/('Anchor Points'!$A$6-'Anchor Points'!$A$5)*('Anchor Points'!$F$6-'Anchor Points'!$F$5),IF(A55&lt;=70,'Anchor Points'!$F$6+(A55-'Anchor Points'!$A$6)/('Anchor Points'!$A$7-'Anchor Points'!$A$6)*('Anchor Points'!$F$7-'Anchor Points'!$F$6),IF(A55&lt;=90,'Anchor Points'!$F$7+(A55-'Anchor Points'!$A$7)/('Anchor Points'!$A$8-'Anchor Points'!$A$7)*('Anchor Points'!$F$8-'Anchor Points'!$F$7),'Anchor Points'!$F$8+(A55-'Anchor Points'!$A$8)/('Anchor Points'!$A$9-'Anchor Points'!$A$8)*('Anchor Points'!$F$9-'Anchor Points'!$F$8)))))))</x:f>
        <x:v>6.933333333333334</x:v>
      </x:c>
      <x:c r="J55" s="28" t="n">
        <x:v>8</x:v>
      </x:c>
      <x:c r="K55" s="56" t="n">
        <x:v>9</x:v>
      </x:c>
      <x:c r="L55" s="52" t="n">
        <x:v>10</x:v>
      </x:c>
      <x:c r="M55" s="52" t="n">
        <x:v>60</x:v>
      </x:c>
      <x:c r="N55" s="56" t="n">
        <x:v>65</x:v>
      </x:c>
      <x:c r="O55" s="28" t="n">
        <x:v>70</x:v>
      </x:c>
      <x:c r="P55" s="28" t="n">
        <x:v>70</x:v>
      </x:c>
      <x:c r="Q55" s="55" t="n">
        <x:v>80</x:v>
      </x:c>
      <x:c r="R55" s="28" t="n">
        <x:v>90</x:v>
      </x:c>
      <x:c r="S55" s="28" t="n">
        <x:v>11</x:v>
      </x:c>
      <x:c r="T55" s="28" t="n">
        <x:v>14</x:v>
      </x:c>
      <x:c r="U55" s="55" t="n">
        <x:v>16</x:v>
      </x:c>
      <x:c r="V55" s="28" t="n">
        <x:v>543</x:v>
      </x:c>
      <x:c r="W55" s="55" t="n">
        <x:v>702</x:v>
      </x:c>
      <x:c r="X55" s="28" t="n">
        <x:v>848</x:v>
      </x:c>
    </x:row>
    <x:row r="56">
      <x:c r="A56" s="30" t="n">
        <x:v>54</x:v>
      </x:c>
      <x:c r="B56" s="11" t="str">
        <x:f>IF(A56&lt;=15,"Seedling",IF(A56&lt;=25,"Establishment",IF(A56&lt;=40,"Vegetative Growth",IF(A56&lt;=55,"Flowering &amp; Initial Fruit Set",IF(A56&lt;=80,"Fruit Enlargement",IF(A56&lt;=95,"Ripening","Harvesting"))))))</x:f>
        <x:v>Flowering &amp; Initial Fruit Set</x:v>
      </x:c>
      <x:c r="C56" s="28" t="n">
        <x:f>IF(A56&lt;=15,'Anchor Points'!$B$2+(A56-'Anchor Points'!$A$2)/('Anchor Points'!$A$3-'Anchor Points'!$A$2)*('Anchor Points'!$B$3-'Anchor Points'!$B$2),IF(A56&lt;=25,'Anchor Points'!$B$3+(A56-'Anchor Points'!$A$3)/('Anchor Points'!$A$4-'Anchor Points'!$A$3)*('Anchor Points'!$B$4-'Anchor Points'!$B$3),IF(A56&lt;=40,'Anchor Points'!$B$4+(A56-'Anchor Points'!$A$4)/('Anchor Points'!$A$5-'Anchor Points'!$A$4)*('Anchor Points'!$B$5-'Anchor Points'!$B$4),IF(A56&lt;=55,'Anchor Points'!$B$5+(A56-'Anchor Points'!$A$5)/('Anchor Points'!$A$6-'Anchor Points'!$A$5)*('Anchor Points'!$B$6-'Anchor Points'!$B$5),IF(A56&lt;=70,'Anchor Points'!$B$6+(A56-'Anchor Points'!$A$6)/('Anchor Points'!$A$7-'Anchor Points'!$A$6)*('Anchor Points'!$B$7-'Anchor Points'!$B$6),IF(A56&lt;=90,'Anchor Points'!$B$7+(A56-'Anchor Points'!$A$7)/('Anchor Points'!$A$8-'Anchor Points'!$A$7)*('Anchor Points'!$B$8-'Anchor Points'!$B$7),'Anchor Points'!$B$8+(A56-'Anchor Points'!$A$8)/('Anchor Points'!$A$9-'Anchor Points'!$A$8)*('Anchor Points'!$B$9-'Anchor Points'!$B$8)))))))</x:f>
        <x:v>56.66666666666667</x:v>
      </x:c>
      <x:c r="D56" s="28" t="n">
        <x:f>IF(A56&lt;=15,'Anchor Points'!$C$2+(A56-'Anchor Points'!$A$2)/('Anchor Points'!$A$3-'Anchor Points'!$A$2)*('Anchor Points'!$C$3-'Anchor Points'!$C$2),IF(A56&lt;=25,'Anchor Points'!$C$3+(A56-'Anchor Points'!$A$3)/('Anchor Points'!$A$4-'Anchor Points'!$A$3)*('Anchor Points'!$C$4-'Anchor Points'!$C$3),IF(A56&lt;=40,'Anchor Points'!$C$4+(A56-'Anchor Points'!$A$4)/('Anchor Points'!$A$5-'Anchor Points'!$A$4)*('Anchor Points'!$C$5-'Anchor Points'!$C$4),IF(A56&lt;=55,'Anchor Points'!$C$5+(A56-'Anchor Points'!$A$5)/('Anchor Points'!$A$6-'Anchor Points'!$A$5)*('Anchor Points'!$C$6-'Anchor Points'!$C$5),IF(A56&lt;=70,'Anchor Points'!$C$6+(A56-'Anchor Points'!$A$6)/('Anchor Points'!$A$7-'Anchor Points'!$A$6)*('Anchor Points'!$C$7-'Anchor Points'!$C$6),IF(A56&lt;=90,'Anchor Points'!$C$7+(A56-'Anchor Points'!$A$7)/('Anchor Points'!$A$8-'Anchor Points'!$A$7)*('Anchor Points'!$C$8-'Anchor Points'!$C$7),'Anchor Points'!$C$8+(A56-'Anchor Points'!$A$8)/('Anchor Points'!$A$9-'Anchor Points'!$A$8)*('Anchor Points'!$C$9-'Anchor Points'!$C$8)))))))</x:f>
        <x:v>43.66666666666667</x:v>
      </x:c>
      <x:c r="E56" s="28" t="n">
        <x:f>IF(A56&lt;=15,'Anchor Points'!$D$2+(A56-'Anchor Points'!$A$2)/('Anchor Points'!$A$3-'Anchor Points'!$A$2)*('Anchor Points'!$D$3-'Anchor Points'!$D$2),IF(A56&lt;=25,'Anchor Points'!$D$3+(A56-'Anchor Points'!$A$3)/('Anchor Points'!$A$4-'Anchor Points'!$A$3)*('Anchor Points'!$D$4-'Anchor Points'!$D$3),IF(A56&lt;=40,'Anchor Points'!$D$4+(A56-'Anchor Points'!$A$4)/('Anchor Points'!$A$5-'Anchor Points'!$A$4)*('Anchor Points'!$D$5-'Anchor Points'!$D$4),IF(A56&lt;=55,'Anchor Points'!$D$5+(A56-'Anchor Points'!$A$5)/('Anchor Points'!$A$6-'Anchor Points'!$A$5)*('Anchor Points'!$D$6-'Anchor Points'!$D$5),IF(A56&lt;=70,'Anchor Points'!$D$6+(A56-'Anchor Points'!$A$6)/('Anchor Points'!$A$7-'Anchor Points'!$A$6)*('Anchor Points'!$D$7-'Anchor Points'!$D$6),IF(A56&lt;=90,'Anchor Points'!$D$7+(A56-'Anchor Points'!$A$7)/('Anchor Points'!$A$8-'Anchor Points'!$A$7)*('Anchor Points'!$D$8-'Anchor Points'!$D$7),'Anchor Points'!$D$8+(A56-'Anchor Points'!$A$8)/('Anchor Points'!$A$9-'Anchor Points'!$A$8)*('Anchor Points'!$D$9-'Anchor Points'!$D$8)))))))</x:f>
        <x:v>6.666666666666667</x:v>
      </x:c>
      <x:c r="F56" s="30" t="n">
        <x:f>ROUND(E56,0)</x:f>
        <x:v>7</x:v>
      </x:c>
      <x:c r="G56" s="28" t="n">
        <x:f>IF(A56&lt;=15,'Anchor Points'!$E$2+(A56-'Anchor Points'!$A$2)/('Anchor Points'!$A$3-'Anchor Points'!$A$2)*('Anchor Points'!$E$3-'Anchor Points'!$E$2),IF(A56&lt;=25,'Anchor Points'!$E$3+(A56-'Anchor Points'!$A$3)/('Anchor Points'!$A$4-'Anchor Points'!$A$3)*('Anchor Points'!$E$4-'Anchor Points'!$E$3),IF(A56&lt;=40,'Anchor Points'!$E$4+(A56-'Anchor Points'!$A$4)/('Anchor Points'!$A$5-'Anchor Points'!$A$4)*('Anchor Points'!$E$5-'Anchor Points'!$E$4),IF(A56&lt;=55,'Anchor Points'!$E$5+(A56-'Anchor Points'!$A$5)/('Anchor Points'!$A$6-'Anchor Points'!$A$5)*('Anchor Points'!$E$6-'Anchor Points'!$E$5),IF(A56&lt;=70,'Anchor Points'!$E$6+(A56-'Anchor Points'!$A$6)/('Anchor Points'!$A$7-'Anchor Points'!$A$6)*('Anchor Points'!$E$7-'Anchor Points'!$E$6),IF(A56&lt;=90,'Anchor Points'!$E$7+(A56-'Anchor Points'!$A$7)/('Anchor Points'!$A$8-'Anchor Points'!$A$7)*('Anchor Points'!$E$8-'Anchor Points'!$E$7),'Anchor Points'!$E$8+(A56-'Anchor Points'!$A$8)/('Anchor Points'!$A$9-'Anchor Points'!$A$8)*('Anchor Points'!$E$9-'Anchor Points'!$E$8)))))))</x:f>
        <x:v>0.9333333333333333</x:v>
      </x:c>
      <x:c r="H56" s="30" t="n">
        <x:f>ROUND(G56,0)</x:f>
        <x:v>1</x:v>
      </x:c>
      <x:c r="I56" s="28" t="n">
        <x:f>IF(A56&lt;=15,'Anchor Points'!$F$2+(A56-'Anchor Points'!$A$2)/('Anchor Points'!$A$3-'Anchor Points'!$A$2)*('Anchor Points'!$F$3-'Anchor Points'!$F$2),IF(A56&lt;=25,'Anchor Points'!$F$3+(A56-'Anchor Points'!$A$3)/('Anchor Points'!$A$4-'Anchor Points'!$A$3)*('Anchor Points'!$F$4-'Anchor Points'!$F$3),IF(A56&lt;=40,'Anchor Points'!$F$4+(A56-'Anchor Points'!$A$4)/('Anchor Points'!$A$5-'Anchor Points'!$A$4)*('Anchor Points'!$F$5-'Anchor Points'!$F$4),IF(A56&lt;=55,'Anchor Points'!$F$5+(A56-'Anchor Points'!$A$5)/('Anchor Points'!$A$6-'Anchor Points'!$A$5)*('Anchor Points'!$F$6-'Anchor Points'!$F$5),IF(A56&lt;=70,'Anchor Points'!$F$6+(A56-'Anchor Points'!$A$6)/('Anchor Points'!$A$7-'Anchor Points'!$A$6)*('Anchor Points'!$F$7-'Anchor Points'!$F$6),IF(A56&lt;=90,'Anchor Points'!$F$7+(A56-'Anchor Points'!$A$7)/('Anchor Points'!$A$8-'Anchor Points'!$A$7)*('Anchor Points'!$F$8-'Anchor Points'!$F$7),'Anchor Points'!$F$8+(A56-'Anchor Points'!$A$8)/('Anchor Points'!$A$9-'Anchor Points'!$A$8)*('Anchor Points'!$F$9-'Anchor Points'!$F$8)))))))</x:f>
        <x:v>7.466666666666667</x:v>
      </x:c>
      <x:c r="J56" s="28" t="n">
        <x:v>8</x:v>
      </x:c>
      <x:c r="K56" s="56" t="n">
        <x:v>9</x:v>
      </x:c>
      <x:c r="L56" s="52" t="n">
        <x:v>10</x:v>
      </x:c>
      <x:c r="M56" s="52" t="n">
        <x:v>60</x:v>
      </x:c>
      <x:c r="N56" s="56" t="n">
        <x:v>65</x:v>
      </x:c>
      <x:c r="O56" s="28" t="n">
        <x:v>70</x:v>
      </x:c>
      <x:c r="P56" s="28" t="n">
        <x:v>70</x:v>
      </x:c>
      <x:c r="Q56" s="55" t="n">
        <x:v>80</x:v>
      </x:c>
      <x:c r="R56" s="28" t="n">
        <x:v>90</x:v>
      </x:c>
      <x:c r="S56" s="28" t="n">
        <x:v>11</x:v>
      </x:c>
      <x:c r="T56" s="28" t="n">
        <x:v>14</x:v>
      </x:c>
      <x:c r="U56" s="55" t="n">
        <x:v>16</x:v>
      </x:c>
      <x:c r="V56" s="28" t="n">
        <x:v>554</x:v>
      </x:c>
      <x:c r="W56" s="55" t="n">
        <x:v>716</x:v>
      </x:c>
      <x:c r="X56" s="28" t="n">
        <x:v>864</x:v>
      </x:c>
    </x:row>
    <x:row r="57">
      <x:c r="A57" s="30" t="n">
        <x:v>55</x:v>
      </x:c>
      <x:c r="B57" s="11" t="str">
        <x:f>IF(A57&lt;=15,"Seedling",IF(A57&lt;=25,"Establishment",IF(A57&lt;=40,"Vegetative Growth",IF(A57&lt;=55,"Flowering &amp; Initial Fruit Set",IF(A57&lt;=80,"Fruit Enlargement",IF(A57&lt;=95,"Ripening","Harvesting"))))))</x:f>
        <x:v>Flowering &amp; Initial Fruit Set</x:v>
      </x:c>
      <x:c r="C57" s="28" t="n">
        <x:f>IF(A57&lt;=15,'Anchor Points'!$B$2+(A57-'Anchor Points'!$A$2)/('Anchor Points'!$A$3-'Anchor Points'!$A$2)*('Anchor Points'!$B$3-'Anchor Points'!$B$2),IF(A57&lt;=25,'Anchor Points'!$B$3+(A57-'Anchor Points'!$A$3)/('Anchor Points'!$A$4-'Anchor Points'!$A$3)*('Anchor Points'!$B$4-'Anchor Points'!$B$3),IF(A57&lt;=40,'Anchor Points'!$B$4+(A57-'Anchor Points'!$A$4)/('Anchor Points'!$A$5-'Anchor Points'!$A$4)*('Anchor Points'!$B$5-'Anchor Points'!$B$4),IF(A57&lt;=55,'Anchor Points'!$B$5+(A57-'Anchor Points'!$A$5)/('Anchor Points'!$A$6-'Anchor Points'!$A$5)*('Anchor Points'!$B$6-'Anchor Points'!$B$5),IF(A57&lt;=70,'Anchor Points'!$B$6+(A57-'Anchor Points'!$A$6)/('Anchor Points'!$A$7-'Anchor Points'!$A$6)*('Anchor Points'!$B$7-'Anchor Points'!$B$6),IF(A57&lt;=90,'Anchor Points'!$B$7+(A57-'Anchor Points'!$A$7)/('Anchor Points'!$A$8-'Anchor Points'!$A$7)*('Anchor Points'!$B$8-'Anchor Points'!$B$7),'Anchor Points'!$B$8+(A57-'Anchor Points'!$A$8)/('Anchor Points'!$A$9-'Anchor Points'!$A$8)*('Anchor Points'!$B$9-'Anchor Points'!$B$8)))))))</x:f>
        <x:v>58</x:v>
      </x:c>
      <x:c r="D57" s="28" t="n">
        <x:f>IF(A57&lt;=15,'Anchor Points'!$C$2+(A57-'Anchor Points'!$A$2)/('Anchor Points'!$A$3-'Anchor Points'!$A$2)*('Anchor Points'!$C$3-'Anchor Points'!$C$2),IF(A57&lt;=25,'Anchor Points'!$C$3+(A57-'Anchor Points'!$A$3)/('Anchor Points'!$A$4-'Anchor Points'!$A$3)*('Anchor Points'!$C$4-'Anchor Points'!$C$3),IF(A57&lt;=40,'Anchor Points'!$C$4+(A57-'Anchor Points'!$A$4)/('Anchor Points'!$A$5-'Anchor Points'!$A$4)*('Anchor Points'!$C$5-'Anchor Points'!$C$4),IF(A57&lt;=55,'Anchor Points'!$C$5+(A57-'Anchor Points'!$A$5)/('Anchor Points'!$A$6-'Anchor Points'!$A$5)*('Anchor Points'!$C$6-'Anchor Points'!$C$5),IF(A57&lt;=70,'Anchor Points'!$C$6+(A57-'Anchor Points'!$A$6)/('Anchor Points'!$A$7-'Anchor Points'!$A$6)*('Anchor Points'!$C$7-'Anchor Points'!$C$6),IF(A57&lt;=90,'Anchor Points'!$C$7+(A57-'Anchor Points'!$A$7)/('Anchor Points'!$A$8-'Anchor Points'!$A$7)*('Anchor Points'!$C$8-'Anchor Points'!$C$7),'Anchor Points'!$C$8+(A57-'Anchor Points'!$A$8)/('Anchor Points'!$A$9-'Anchor Points'!$A$8)*('Anchor Points'!$C$9-'Anchor Points'!$C$8)))))))</x:f>
        <x:v>45</x:v>
      </x:c>
      <x:c r="E57" s="28" t="n">
        <x:f>IF(A57&lt;=15,'Anchor Points'!$D$2+(A57-'Anchor Points'!$A$2)/('Anchor Points'!$A$3-'Anchor Points'!$A$2)*('Anchor Points'!$D$3-'Anchor Points'!$D$2),IF(A57&lt;=25,'Anchor Points'!$D$3+(A57-'Anchor Points'!$A$3)/('Anchor Points'!$A$4-'Anchor Points'!$A$3)*('Anchor Points'!$D$4-'Anchor Points'!$D$3),IF(A57&lt;=40,'Anchor Points'!$D$4+(A57-'Anchor Points'!$A$4)/('Anchor Points'!$A$5-'Anchor Points'!$A$4)*('Anchor Points'!$D$5-'Anchor Points'!$D$4),IF(A57&lt;=55,'Anchor Points'!$D$5+(A57-'Anchor Points'!$A$5)/('Anchor Points'!$A$6-'Anchor Points'!$A$5)*('Anchor Points'!$D$6-'Anchor Points'!$D$5),IF(A57&lt;=70,'Anchor Points'!$D$6+(A57-'Anchor Points'!$A$6)/('Anchor Points'!$A$7-'Anchor Points'!$A$6)*('Anchor Points'!$D$7-'Anchor Points'!$D$6),IF(A57&lt;=90,'Anchor Points'!$D$7+(A57-'Anchor Points'!$A$7)/('Anchor Points'!$A$8-'Anchor Points'!$A$7)*('Anchor Points'!$D$8-'Anchor Points'!$D$7),'Anchor Points'!$D$8+(A57-'Anchor Points'!$A$8)/('Anchor Points'!$A$9-'Anchor Points'!$A$8)*('Anchor Points'!$D$9-'Anchor Points'!$D$8)))))))</x:f>
        <x:v>7</x:v>
      </x:c>
      <x:c r="F57" s="30" t="n">
        <x:f>ROUND(E57,0)</x:f>
        <x:v>7</x:v>
      </x:c>
      <x:c r="G57" s="28" t="n">
        <x:f>IF(A57&lt;=15,'Anchor Points'!$E$2+(A57-'Anchor Points'!$A$2)/('Anchor Points'!$A$3-'Anchor Points'!$A$2)*('Anchor Points'!$E$3-'Anchor Points'!$E$2),IF(A57&lt;=25,'Anchor Points'!$E$3+(A57-'Anchor Points'!$A$3)/('Anchor Points'!$A$4-'Anchor Points'!$A$3)*('Anchor Points'!$E$4-'Anchor Points'!$E$3),IF(A57&lt;=40,'Anchor Points'!$E$4+(A57-'Anchor Points'!$A$4)/('Anchor Points'!$A$5-'Anchor Points'!$A$4)*('Anchor Points'!$E$5-'Anchor Points'!$E$4),IF(A57&lt;=55,'Anchor Points'!$E$5+(A57-'Anchor Points'!$A$5)/('Anchor Points'!$A$6-'Anchor Points'!$A$5)*('Anchor Points'!$E$6-'Anchor Points'!$E$5),IF(A57&lt;=70,'Anchor Points'!$E$6+(A57-'Anchor Points'!$A$6)/('Anchor Points'!$A$7-'Anchor Points'!$A$6)*('Anchor Points'!$E$7-'Anchor Points'!$E$6),IF(A57&lt;=90,'Anchor Points'!$E$7+(A57-'Anchor Points'!$A$7)/('Anchor Points'!$A$8-'Anchor Points'!$A$7)*('Anchor Points'!$E$8-'Anchor Points'!$E$7),'Anchor Points'!$E$8+(A57-'Anchor Points'!$A$8)/('Anchor Points'!$A$9-'Anchor Points'!$A$8)*('Anchor Points'!$E$9-'Anchor Points'!$E$8)))))))</x:f>
        <x:v>1</x:v>
      </x:c>
      <x:c r="H57" s="30" t="n">
        <x:f>ROUND(G57,0)</x:f>
        <x:v>1</x:v>
      </x:c>
      <x:c r="I57" s="28" t="n">
        <x:f>IF(A57&lt;=15,'Anchor Points'!$F$2+(A57-'Anchor Points'!$A$2)/('Anchor Points'!$A$3-'Anchor Points'!$A$2)*('Anchor Points'!$F$3-'Anchor Points'!$F$2),IF(A57&lt;=25,'Anchor Points'!$F$3+(A57-'Anchor Points'!$A$3)/('Anchor Points'!$A$4-'Anchor Points'!$A$3)*('Anchor Points'!$F$4-'Anchor Points'!$F$3),IF(A57&lt;=40,'Anchor Points'!$F$4+(A57-'Anchor Points'!$A$4)/('Anchor Points'!$A$5-'Anchor Points'!$A$4)*('Anchor Points'!$F$5-'Anchor Points'!$F$4),IF(A57&lt;=55,'Anchor Points'!$F$5+(A57-'Anchor Points'!$A$5)/('Anchor Points'!$A$6-'Anchor Points'!$A$5)*('Anchor Points'!$F$6-'Anchor Points'!$F$5),IF(A57&lt;=70,'Anchor Points'!$F$6+(A57-'Anchor Points'!$A$6)/('Anchor Points'!$A$7-'Anchor Points'!$A$6)*('Anchor Points'!$F$7-'Anchor Points'!$F$6),IF(A57&lt;=90,'Anchor Points'!$F$7+(A57-'Anchor Points'!$A$7)/('Anchor Points'!$A$8-'Anchor Points'!$A$7)*('Anchor Points'!$F$8-'Anchor Points'!$F$7),'Anchor Points'!$F$8+(A57-'Anchor Points'!$A$8)/('Anchor Points'!$A$9-'Anchor Points'!$A$8)*('Anchor Points'!$F$9-'Anchor Points'!$F$8)))))))</x:f>
        <x:v>8</x:v>
      </x:c>
      <x:c r="J57" s="28" t="n">
        <x:v>8</x:v>
      </x:c>
      <x:c r="K57" s="56" t="n">
        <x:v>9</x:v>
      </x:c>
      <x:c r="L57" s="52" t="n">
        <x:v>10</x:v>
      </x:c>
      <x:c r="M57" s="52" t="n">
        <x:v>60</x:v>
      </x:c>
      <x:c r="N57" s="56" t="n">
        <x:v>65</x:v>
      </x:c>
      <x:c r="O57" s="28" t="n">
        <x:v>70</x:v>
      </x:c>
      <x:c r="P57" s="28" t="n">
        <x:v>70</x:v>
      </x:c>
      <x:c r="Q57" s="55" t="n">
        <x:v>80</x:v>
      </x:c>
      <x:c r="R57" s="28" t="n">
        <x:v>90</x:v>
      </x:c>
      <x:c r="S57" s="28" t="n">
        <x:v>11</x:v>
      </x:c>
      <x:c r="T57" s="28" t="n">
        <x:v>14</x:v>
      </x:c>
      <x:c r="U57" s="55" t="n">
        <x:v>16</x:v>
      </x:c>
      <x:c r="V57" s="28" t="n">
        <x:v>565</x:v>
      </x:c>
      <x:c r="W57" s="55" t="n">
        <x:v>730</x:v>
      </x:c>
      <x:c r="X57" s="28" t="n">
        <x:v>880</x:v>
      </x:c>
    </x:row>
    <x:row r="58">
      <x:c r="A58" s="30" t="n">
        <x:v>56</x:v>
      </x:c>
      <x:c r="B58" s="11" t="str">
        <x:f>IF(A58&lt;=15,"Seedling",IF(A58&lt;=25,"Establishment",IF(A58&lt;=40,"Vegetative Growth",IF(A58&lt;=55,"Flowering &amp; Initial Fruit Set",IF(A58&lt;=80,"Fruit Enlargement",IF(A58&lt;=95,"Ripening","Harvesting"))))))</x:f>
        <x:v>Fruit Enlargement</x:v>
      </x:c>
      <x:c r="C58" s="28" t="n">
        <x:f>IF(A58&lt;=15,'Anchor Points'!$B$2+(A58-'Anchor Points'!$A$2)/('Anchor Points'!$A$3-'Anchor Points'!$A$2)*('Anchor Points'!$B$3-'Anchor Points'!$B$2),IF(A58&lt;=25,'Anchor Points'!$B$3+(A58-'Anchor Points'!$A$3)/('Anchor Points'!$A$4-'Anchor Points'!$A$3)*('Anchor Points'!$B$4-'Anchor Points'!$B$3),IF(A58&lt;=40,'Anchor Points'!$B$4+(A58-'Anchor Points'!$A$4)/('Anchor Points'!$A$5-'Anchor Points'!$A$4)*('Anchor Points'!$B$5-'Anchor Points'!$B$4),IF(A58&lt;=55,'Anchor Points'!$B$5+(A58-'Anchor Points'!$A$5)/('Anchor Points'!$A$6-'Anchor Points'!$A$5)*('Anchor Points'!$B$6-'Anchor Points'!$B$5),IF(A58&lt;=70,'Anchor Points'!$B$6+(A58-'Anchor Points'!$A$6)/('Anchor Points'!$A$7-'Anchor Points'!$A$6)*('Anchor Points'!$B$7-'Anchor Points'!$B$6),IF(A58&lt;=90,'Anchor Points'!$B$7+(A58-'Anchor Points'!$A$7)/('Anchor Points'!$A$8-'Anchor Points'!$A$7)*('Anchor Points'!$B$8-'Anchor Points'!$B$7),'Anchor Points'!$B$8+(A58-'Anchor Points'!$A$8)/('Anchor Points'!$A$9-'Anchor Points'!$A$8)*('Anchor Points'!$B$9-'Anchor Points'!$B$8)))))))</x:f>
        <x:v>58.93333333333333</x:v>
      </x:c>
      <x:c r="D58" s="28" t="n">
        <x:f>IF(A58&lt;=15,'Anchor Points'!$C$2+(A58-'Anchor Points'!$A$2)/('Anchor Points'!$A$3-'Anchor Points'!$A$2)*('Anchor Points'!$C$3-'Anchor Points'!$C$2),IF(A58&lt;=25,'Anchor Points'!$C$3+(A58-'Anchor Points'!$A$3)/('Anchor Points'!$A$4-'Anchor Points'!$A$3)*('Anchor Points'!$C$4-'Anchor Points'!$C$3),IF(A58&lt;=40,'Anchor Points'!$C$4+(A58-'Anchor Points'!$A$4)/('Anchor Points'!$A$5-'Anchor Points'!$A$4)*('Anchor Points'!$C$5-'Anchor Points'!$C$4),IF(A58&lt;=55,'Anchor Points'!$C$5+(A58-'Anchor Points'!$A$5)/('Anchor Points'!$A$6-'Anchor Points'!$A$5)*('Anchor Points'!$C$6-'Anchor Points'!$C$5),IF(A58&lt;=70,'Anchor Points'!$C$6+(A58-'Anchor Points'!$A$6)/('Anchor Points'!$A$7-'Anchor Points'!$A$6)*('Anchor Points'!$C$7-'Anchor Points'!$C$6),IF(A58&lt;=90,'Anchor Points'!$C$7+(A58-'Anchor Points'!$A$7)/('Anchor Points'!$A$8-'Anchor Points'!$A$7)*('Anchor Points'!$C$8-'Anchor Points'!$C$7),'Anchor Points'!$C$8+(A58-'Anchor Points'!$A$8)/('Anchor Points'!$A$9-'Anchor Points'!$A$8)*('Anchor Points'!$C$9-'Anchor Points'!$C$8)))))))</x:f>
        <x:v>46.333333333333336</x:v>
      </x:c>
      <x:c r="E58" s="28" t="n">
        <x:f>IF(A58&lt;=15,'Anchor Points'!$D$2+(A58-'Anchor Points'!$A$2)/('Anchor Points'!$A$3-'Anchor Points'!$A$2)*('Anchor Points'!$D$3-'Anchor Points'!$D$2),IF(A58&lt;=25,'Anchor Points'!$D$3+(A58-'Anchor Points'!$A$3)/('Anchor Points'!$A$4-'Anchor Points'!$A$3)*('Anchor Points'!$D$4-'Anchor Points'!$D$3),IF(A58&lt;=40,'Anchor Points'!$D$4+(A58-'Anchor Points'!$A$4)/('Anchor Points'!$A$5-'Anchor Points'!$A$4)*('Anchor Points'!$D$5-'Anchor Points'!$D$4),IF(A58&lt;=55,'Anchor Points'!$D$5+(A58-'Anchor Points'!$A$5)/('Anchor Points'!$A$6-'Anchor Points'!$A$5)*('Anchor Points'!$D$6-'Anchor Points'!$D$5),IF(A58&lt;=70,'Anchor Points'!$D$6+(A58-'Anchor Points'!$A$6)/('Anchor Points'!$A$7-'Anchor Points'!$A$6)*('Anchor Points'!$D$7-'Anchor Points'!$D$6),IF(A58&lt;=90,'Anchor Points'!$D$7+(A58-'Anchor Points'!$A$7)/('Anchor Points'!$A$8-'Anchor Points'!$A$7)*('Anchor Points'!$D$8-'Anchor Points'!$D$7),'Anchor Points'!$D$8+(A58-'Anchor Points'!$A$8)/('Anchor Points'!$A$9-'Anchor Points'!$A$8)*('Anchor Points'!$D$9-'Anchor Points'!$D$8)))))))</x:f>
        <x:v>7.333333333333333</x:v>
      </x:c>
      <x:c r="F58" s="30" t="n">
        <x:f>ROUND(E58,0)</x:f>
        <x:v>7</x:v>
      </x:c>
      <x:c r="G58" s="28" t="n">
        <x:f>IF(A58&lt;=15,'Anchor Points'!$E$2+(A58-'Anchor Points'!$A$2)/('Anchor Points'!$A$3-'Anchor Points'!$A$2)*('Anchor Points'!$E$3-'Anchor Points'!$E$2),IF(A58&lt;=25,'Anchor Points'!$E$3+(A58-'Anchor Points'!$A$3)/('Anchor Points'!$A$4-'Anchor Points'!$A$3)*('Anchor Points'!$E$4-'Anchor Points'!$E$3),IF(A58&lt;=40,'Anchor Points'!$E$4+(A58-'Anchor Points'!$A$4)/('Anchor Points'!$A$5-'Anchor Points'!$A$4)*('Anchor Points'!$E$5-'Anchor Points'!$E$4),IF(A58&lt;=55,'Anchor Points'!$E$5+(A58-'Anchor Points'!$A$5)/('Anchor Points'!$A$6-'Anchor Points'!$A$5)*('Anchor Points'!$E$6-'Anchor Points'!$E$5),IF(A58&lt;=70,'Anchor Points'!$E$6+(A58-'Anchor Points'!$A$6)/('Anchor Points'!$A$7-'Anchor Points'!$A$6)*('Anchor Points'!$E$7-'Anchor Points'!$E$6),IF(A58&lt;=90,'Anchor Points'!$E$7+(A58-'Anchor Points'!$A$7)/('Anchor Points'!$A$8-'Anchor Points'!$A$7)*('Anchor Points'!$E$8-'Anchor Points'!$E$7),'Anchor Points'!$E$8+(A58-'Anchor Points'!$A$8)/('Anchor Points'!$A$9-'Anchor Points'!$A$8)*('Anchor Points'!$E$9-'Anchor Points'!$E$8)))))))</x:f>
        <x:v>1.2666666666666666</x:v>
      </x:c>
      <x:c r="H58" s="30" t="n">
        <x:f>ROUND(G58,0)</x:f>
        <x:v>1</x:v>
      </x:c>
      <x:c r="I58" s="28" t="n">
        <x:f>IF(A58&lt;=15,'Anchor Points'!$F$2+(A58-'Anchor Points'!$A$2)/('Anchor Points'!$A$3-'Anchor Points'!$A$2)*('Anchor Points'!$F$3-'Anchor Points'!$F$2),IF(A58&lt;=25,'Anchor Points'!$F$3+(A58-'Anchor Points'!$A$3)/('Anchor Points'!$A$4-'Anchor Points'!$A$3)*('Anchor Points'!$F$4-'Anchor Points'!$F$3),IF(A58&lt;=40,'Anchor Points'!$F$4+(A58-'Anchor Points'!$A$4)/('Anchor Points'!$A$5-'Anchor Points'!$A$4)*('Anchor Points'!$F$5-'Anchor Points'!$F$4),IF(A58&lt;=55,'Anchor Points'!$F$5+(A58-'Anchor Points'!$A$5)/('Anchor Points'!$A$6-'Anchor Points'!$A$5)*('Anchor Points'!$F$6-'Anchor Points'!$F$5),IF(A58&lt;=70,'Anchor Points'!$F$6+(A58-'Anchor Points'!$A$6)/('Anchor Points'!$A$7-'Anchor Points'!$A$6)*('Anchor Points'!$F$7-'Anchor Points'!$F$6),IF(A58&lt;=90,'Anchor Points'!$F$7+(A58-'Anchor Points'!$A$7)/('Anchor Points'!$A$8-'Anchor Points'!$A$7)*('Anchor Points'!$F$8-'Anchor Points'!$F$7),'Anchor Points'!$F$8+(A58-'Anchor Points'!$A$8)/('Anchor Points'!$A$9-'Anchor Points'!$A$8)*('Anchor Points'!$F$9-'Anchor Points'!$F$8)))))))</x:f>
        <x:v>9.133333333333333</x:v>
      </x:c>
      <x:c r="J58" s="28" t="n">
        <x:v>8</x:v>
      </x:c>
      <x:c r="K58" s="56" t="n">
        <x:v>9</x:v>
      </x:c>
      <x:c r="L58" s="52" t="n">
        <x:v>10</x:v>
      </x:c>
      <x:c r="M58" s="52" t="n">
        <x:v>60</x:v>
      </x:c>
      <x:c r="N58" s="56" t="n">
        <x:v>65</x:v>
      </x:c>
      <x:c r="O58" s="28" t="n">
        <x:v>70</x:v>
      </x:c>
      <x:c r="P58" s="28" t="n">
        <x:v>70</x:v>
      </x:c>
      <x:c r="Q58" s="55" t="n">
        <x:v>80</x:v>
      </x:c>
      <x:c r="R58" s="28" t="n">
        <x:v>90</x:v>
      </x:c>
      <x:c r="S58" s="28" t="n">
        <x:v>12</x:v>
      </x:c>
      <x:c r="T58" s="28" t="n">
        <x:v>15</x:v>
      </x:c>
      <x:c r="U58" s="55" t="n">
        <x:v>18</x:v>
      </x:c>
      <x:c r="V58" s="28" t="n">
        <x:v>577</x:v>
      </x:c>
      <x:c r="W58" s="55" t="n">
        <x:v>745</x:v>
      </x:c>
      <x:c r="X58" s="28" t="n">
        <x:v>898</x:v>
      </x:c>
    </x:row>
    <x:row r="59">
      <x:c r="A59" s="30" t="n">
        <x:v>57</x:v>
      </x:c>
      <x:c r="B59" s="11" t="str">
        <x:f>IF(A59&lt;=15,"Seedling",IF(A59&lt;=25,"Establishment",IF(A59&lt;=40,"Vegetative Growth",IF(A59&lt;=55,"Flowering &amp; Initial Fruit Set",IF(A59&lt;=80,"Fruit Enlargement",IF(A59&lt;=95,"Ripening","Harvesting"))))))</x:f>
        <x:v>Fruit Enlargement</x:v>
      </x:c>
      <x:c r="C59" s="28" t="n">
        <x:f>IF(A59&lt;=15,'Anchor Points'!$B$2+(A59-'Anchor Points'!$A$2)/('Anchor Points'!$A$3-'Anchor Points'!$A$2)*('Anchor Points'!$B$3-'Anchor Points'!$B$2),IF(A59&lt;=25,'Anchor Points'!$B$3+(A59-'Anchor Points'!$A$3)/('Anchor Points'!$A$4-'Anchor Points'!$A$3)*('Anchor Points'!$B$4-'Anchor Points'!$B$3),IF(A59&lt;=40,'Anchor Points'!$B$4+(A59-'Anchor Points'!$A$4)/('Anchor Points'!$A$5-'Anchor Points'!$A$4)*('Anchor Points'!$B$5-'Anchor Points'!$B$4),IF(A59&lt;=55,'Anchor Points'!$B$5+(A59-'Anchor Points'!$A$5)/('Anchor Points'!$A$6-'Anchor Points'!$A$5)*('Anchor Points'!$B$6-'Anchor Points'!$B$5),IF(A59&lt;=70,'Anchor Points'!$B$6+(A59-'Anchor Points'!$A$6)/('Anchor Points'!$A$7-'Anchor Points'!$A$6)*('Anchor Points'!$B$7-'Anchor Points'!$B$6),IF(A59&lt;=90,'Anchor Points'!$B$7+(A59-'Anchor Points'!$A$7)/('Anchor Points'!$A$8-'Anchor Points'!$A$7)*('Anchor Points'!$B$8-'Anchor Points'!$B$7),'Anchor Points'!$B$8+(A59-'Anchor Points'!$A$8)/('Anchor Points'!$A$9-'Anchor Points'!$A$8)*('Anchor Points'!$B$9-'Anchor Points'!$B$8)))))))</x:f>
        <x:v>59.86666666666667</x:v>
      </x:c>
      <x:c r="D59" s="28" t="n">
        <x:f>IF(A59&lt;=15,'Anchor Points'!$C$2+(A59-'Anchor Points'!$A$2)/('Anchor Points'!$A$3-'Anchor Points'!$A$2)*('Anchor Points'!$C$3-'Anchor Points'!$C$2),IF(A59&lt;=25,'Anchor Points'!$C$3+(A59-'Anchor Points'!$A$3)/('Anchor Points'!$A$4-'Anchor Points'!$A$3)*('Anchor Points'!$C$4-'Anchor Points'!$C$3),IF(A59&lt;=40,'Anchor Points'!$C$4+(A59-'Anchor Points'!$A$4)/('Anchor Points'!$A$5-'Anchor Points'!$A$4)*('Anchor Points'!$C$5-'Anchor Points'!$C$4),IF(A59&lt;=55,'Anchor Points'!$C$5+(A59-'Anchor Points'!$A$5)/('Anchor Points'!$A$6-'Anchor Points'!$A$5)*('Anchor Points'!$C$6-'Anchor Points'!$C$5),IF(A59&lt;=70,'Anchor Points'!$C$6+(A59-'Anchor Points'!$A$6)/('Anchor Points'!$A$7-'Anchor Points'!$A$6)*('Anchor Points'!$C$7-'Anchor Points'!$C$6),IF(A59&lt;=90,'Anchor Points'!$C$7+(A59-'Anchor Points'!$A$7)/('Anchor Points'!$A$8-'Anchor Points'!$A$7)*('Anchor Points'!$C$8-'Anchor Points'!$C$7),'Anchor Points'!$C$8+(A59-'Anchor Points'!$A$8)/('Anchor Points'!$A$9-'Anchor Points'!$A$8)*('Anchor Points'!$C$9-'Anchor Points'!$C$8)))))))</x:f>
        <x:v>47.666666666666664</x:v>
      </x:c>
      <x:c r="E59" s="28" t="n">
        <x:f>IF(A59&lt;=15,'Anchor Points'!$D$2+(A59-'Anchor Points'!$A$2)/('Anchor Points'!$A$3-'Anchor Points'!$A$2)*('Anchor Points'!$D$3-'Anchor Points'!$D$2),IF(A59&lt;=25,'Anchor Points'!$D$3+(A59-'Anchor Points'!$A$3)/('Anchor Points'!$A$4-'Anchor Points'!$A$3)*('Anchor Points'!$D$4-'Anchor Points'!$D$3),IF(A59&lt;=40,'Anchor Points'!$D$4+(A59-'Anchor Points'!$A$4)/('Anchor Points'!$A$5-'Anchor Points'!$A$4)*('Anchor Points'!$D$5-'Anchor Points'!$D$4),IF(A59&lt;=55,'Anchor Points'!$D$5+(A59-'Anchor Points'!$A$5)/('Anchor Points'!$A$6-'Anchor Points'!$A$5)*('Anchor Points'!$D$6-'Anchor Points'!$D$5),IF(A59&lt;=70,'Anchor Points'!$D$6+(A59-'Anchor Points'!$A$6)/('Anchor Points'!$A$7-'Anchor Points'!$A$6)*('Anchor Points'!$D$7-'Anchor Points'!$D$6),IF(A59&lt;=90,'Anchor Points'!$D$7+(A59-'Anchor Points'!$A$7)/('Anchor Points'!$A$8-'Anchor Points'!$A$7)*('Anchor Points'!$D$8-'Anchor Points'!$D$7),'Anchor Points'!$D$8+(A59-'Anchor Points'!$A$8)/('Anchor Points'!$A$9-'Anchor Points'!$A$8)*('Anchor Points'!$D$9-'Anchor Points'!$D$8)))))))</x:f>
        <x:v>7.666666666666667</x:v>
      </x:c>
      <x:c r="F59" s="30" t="n">
        <x:f>ROUND(E59,0)</x:f>
        <x:v>8</x:v>
      </x:c>
      <x:c r="G59" s="28" t="n">
        <x:f>IF(A59&lt;=15,'Anchor Points'!$E$2+(A59-'Anchor Points'!$A$2)/('Anchor Points'!$A$3-'Anchor Points'!$A$2)*('Anchor Points'!$E$3-'Anchor Points'!$E$2),IF(A59&lt;=25,'Anchor Points'!$E$3+(A59-'Anchor Points'!$A$3)/('Anchor Points'!$A$4-'Anchor Points'!$A$3)*('Anchor Points'!$E$4-'Anchor Points'!$E$3),IF(A59&lt;=40,'Anchor Points'!$E$4+(A59-'Anchor Points'!$A$4)/('Anchor Points'!$A$5-'Anchor Points'!$A$4)*('Anchor Points'!$E$5-'Anchor Points'!$E$4),IF(A59&lt;=55,'Anchor Points'!$E$5+(A59-'Anchor Points'!$A$5)/('Anchor Points'!$A$6-'Anchor Points'!$A$5)*('Anchor Points'!$E$6-'Anchor Points'!$E$5),IF(A59&lt;=70,'Anchor Points'!$E$6+(A59-'Anchor Points'!$A$6)/('Anchor Points'!$A$7-'Anchor Points'!$A$6)*('Anchor Points'!$E$7-'Anchor Points'!$E$6),IF(A59&lt;=90,'Anchor Points'!$E$7+(A59-'Anchor Points'!$A$7)/('Anchor Points'!$A$8-'Anchor Points'!$A$7)*('Anchor Points'!$E$8-'Anchor Points'!$E$7),'Anchor Points'!$E$8+(A59-'Anchor Points'!$A$8)/('Anchor Points'!$A$9-'Anchor Points'!$A$8)*('Anchor Points'!$E$9-'Anchor Points'!$E$8)))))))</x:f>
        <x:v>1.5333333333333332</x:v>
      </x:c>
      <x:c r="H59" s="30" t="n">
        <x:f>ROUND(G59,0)</x:f>
        <x:v>2</x:v>
      </x:c>
      <x:c r="I59" s="28" t="n">
        <x:f>IF(A59&lt;=15,'Anchor Points'!$F$2+(A59-'Anchor Points'!$A$2)/('Anchor Points'!$A$3-'Anchor Points'!$A$2)*('Anchor Points'!$F$3-'Anchor Points'!$F$2),IF(A59&lt;=25,'Anchor Points'!$F$3+(A59-'Anchor Points'!$A$3)/('Anchor Points'!$A$4-'Anchor Points'!$A$3)*('Anchor Points'!$F$4-'Anchor Points'!$F$3),IF(A59&lt;=40,'Anchor Points'!$F$4+(A59-'Anchor Points'!$A$4)/('Anchor Points'!$A$5-'Anchor Points'!$A$4)*('Anchor Points'!$F$5-'Anchor Points'!$F$4),IF(A59&lt;=55,'Anchor Points'!$F$5+(A59-'Anchor Points'!$A$5)/('Anchor Points'!$A$6-'Anchor Points'!$A$5)*('Anchor Points'!$F$6-'Anchor Points'!$F$5),IF(A59&lt;=70,'Anchor Points'!$F$6+(A59-'Anchor Points'!$A$6)/('Anchor Points'!$A$7-'Anchor Points'!$A$6)*('Anchor Points'!$F$7-'Anchor Points'!$F$6),IF(A59&lt;=90,'Anchor Points'!$F$7+(A59-'Anchor Points'!$A$7)/('Anchor Points'!$A$8-'Anchor Points'!$A$7)*('Anchor Points'!$F$8-'Anchor Points'!$F$7),'Anchor Points'!$F$8+(A59-'Anchor Points'!$A$8)/('Anchor Points'!$A$9-'Anchor Points'!$A$8)*('Anchor Points'!$F$9-'Anchor Points'!$F$8)))))))</x:f>
        <x:v>10.266666666666666</x:v>
      </x:c>
      <x:c r="J59" s="28" t="n">
        <x:v>8</x:v>
      </x:c>
      <x:c r="K59" s="56" t="n">
        <x:v>9</x:v>
      </x:c>
      <x:c r="L59" s="52" t="n">
        <x:v>10</x:v>
      </x:c>
      <x:c r="M59" s="52" t="n">
        <x:v>60</x:v>
      </x:c>
      <x:c r="N59" s="56" t="n">
        <x:v>65</x:v>
      </x:c>
      <x:c r="O59" s="28" t="n">
        <x:v>70</x:v>
      </x:c>
      <x:c r="P59" s="28" t="n">
        <x:v>70</x:v>
      </x:c>
      <x:c r="Q59" s="55" t="n">
        <x:v>80</x:v>
      </x:c>
      <x:c r="R59" s="28" t="n">
        <x:v>90</x:v>
      </x:c>
      <x:c r="S59" s="28" t="n">
        <x:v>12</x:v>
      </x:c>
      <x:c r="T59" s="28" t="n">
        <x:v>15</x:v>
      </x:c>
      <x:c r="U59" s="55" t="n">
        <x:v>18</x:v>
      </x:c>
      <x:c r="V59" s="28" t="n">
        <x:v>589</x:v>
      </x:c>
      <x:c r="W59" s="55" t="n">
        <x:v>760</x:v>
      </x:c>
      <x:c r="X59" s="28" t="n">
        <x:v>916</x:v>
      </x:c>
    </x:row>
    <x:row r="60">
      <x:c r="A60" s="30" t="n">
        <x:v>58</x:v>
      </x:c>
      <x:c r="B60" s="11" t="str">
        <x:f>IF(A60&lt;=15,"Seedling",IF(A60&lt;=25,"Establishment",IF(A60&lt;=40,"Vegetative Growth",IF(A60&lt;=55,"Flowering &amp; Initial Fruit Set",IF(A60&lt;=80,"Fruit Enlargement",IF(A60&lt;=95,"Ripening","Harvesting"))))))</x:f>
        <x:v>Fruit Enlargement</x:v>
      </x:c>
      <x:c r="C60" s="28" t="n">
        <x:f>IF(A60&lt;=15,'Anchor Points'!$B$2+(A60-'Anchor Points'!$A$2)/('Anchor Points'!$A$3-'Anchor Points'!$A$2)*('Anchor Points'!$B$3-'Anchor Points'!$B$2),IF(A60&lt;=25,'Anchor Points'!$B$3+(A60-'Anchor Points'!$A$3)/('Anchor Points'!$A$4-'Anchor Points'!$A$3)*('Anchor Points'!$B$4-'Anchor Points'!$B$3),IF(A60&lt;=40,'Anchor Points'!$B$4+(A60-'Anchor Points'!$A$4)/('Anchor Points'!$A$5-'Anchor Points'!$A$4)*('Anchor Points'!$B$5-'Anchor Points'!$B$4),IF(A60&lt;=55,'Anchor Points'!$B$5+(A60-'Anchor Points'!$A$5)/('Anchor Points'!$A$6-'Anchor Points'!$A$5)*('Anchor Points'!$B$6-'Anchor Points'!$B$5),IF(A60&lt;=70,'Anchor Points'!$B$6+(A60-'Anchor Points'!$A$6)/('Anchor Points'!$A$7-'Anchor Points'!$A$6)*('Anchor Points'!$B$7-'Anchor Points'!$B$6),IF(A60&lt;=90,'Anchor Points'!$B$7+(A60-'Anchor Points'!$A$7)/('Anchor Points'!$A$8-'Anchor Points'!$A$7)*('Anchor Points'!$B$8-'Anchor Points'!$B$7),'Anchor Points'!$B$8+(A60-'Anchor Points'!$A$8)/('Anchor Points'!$A$9-'Anchor Points'!$A$8)*('Anchor Points'!$B$9-'Anchor Points'!$B$8)))))))</x:f>
        <x:v>60.8</x:v>
      </x:c>
      <x:c r="D60" s="28" t="n">
        <x:f>IF(A60&lt;=15,'Anchor Points'!$C$2+(A60-'Anchor Points'!$A$2)/('Anchor Points'!$A$3-'Anchor Points'!$A$2)*('Anchor Points'!$C$3-'Anchor Points'!$C$2),IF(A60&lt;=25,'Anchor Points'!$C$3+(A60-'Anchor Points'!$A$3)/('Anchor Points'!$A$4-'Anchor Points'!$A$3)*('Anchor Points'!$C$4-'Anchor Points'!$C$3),IF(A60&lt;=40,'Anchor Points'!$C$4+(A60-'Anchor Points'!$A$4)/('Anchor Points'!$A$5-'Anchor Points'!$A$4)*('Anchor Points'!$C$5-'Anchor Points'!$C$4),IF(A60&lt;=55,'Anchor Points'!$C$5+(A60-'Anchor Points'!$A$5)/('Anchor Points'!$A$6-'Anchor Points'!$A$5)*('Anchor Points'!$C$6-'Anchor Points'!$C$5),IF(A60&lt;=70,'Anchor Points'!$C$6+(A60-'Anchor Points'!$A$6)/('Anchor Points'!$A$7-'Anchor Points'!$A$6)*('Anchor Points'!$C$7-'Anchor Points'!$C$6),IF(A60&lt;=90,'Anchor Points'!$C$7+(A60-'Anchor Points'!$A$7)/('Anchor Points'!$A$8-'Anchor Points'!$A$7)*('Anchor Points'!$C$8-'Anchor Points'!$C$7),'Anchor Points'!$C$8+(A60-'Anchor Points'!$A$8)/('Anchor Points'!$A$9-'Anchor Points'!$A$8)*('Anchor Points'!$C$9-'Anchor Points'!$C$8)))))))</x:f>
        <x:v>49</x:v>
      </x:c>
      <x:c r="E60" s="28" t="n">
        <x:f>IF(A60&lt;=15,'Anchor Points'!$D$2+(A60-'Anchor Points'!$A$2)/('Anchor Points'!$A$3-'Anchor Points'!$A$2)*('Anchor Points'!$D$3-'Anchor Points'!$D$2),IF(A60&lt;=25,'Anchor Points'!$D$3+(A60-'Anchor Points'!$A$3)/('Anchor Points'!$A$4-'Anchor Points'!$A$3)*('Anchor Points'!$D$4-'Anchor Points'!$D$3),IF(A60&lt;=40,'Anchor Points'!$D$4+(A60-'Anchor Points'!$A$4)/('Anchor Points'!$A$5-'Anchor Points'!$A$4)*('Anchor Points'!$D$5-'Anchor Points'!$D$4),IF(A60&lt;=55,'Anchor Points'!$D$5+(A60-'Anchor Points'!$A$5)/('Anchor Points'!$A$6-'Anchor Points'!$A$5)*('Anchor Points'!$D$6-'Anchor Points'!$D$5),IF(A60&lt;=70,'Anchor Points'!$D$6+(A60-'Anchor Points'!$A$6)/('Anchor Points'!$A$7-'Anchor Points'!$A$6)*('Anchor Points'!$D$7-'Anchor Points'!$D$6),IF(A60&lt;=90,'Anchor Points'!$D$7+(A60-'Anchor Points'!$A$7)/('Anchor Points'!$A$8-'Anchor Points'!$A$7)*('Anchor Points'!$D$8-'Anchor Points'!$D$7),'Anchor Points'!$D$8+(A60-'Anchor Points'!$A$8)/('Anchor Points'!$A$9-'Anchor Points'!$A$8)*('Anchor Points'!$D$9-'Anchor Points'!$D$8)))))))</x:f>
        <x:v>8</x:v>
      </x:c>
      <x:c r="F60" s="30" t="n">
        <x:f>ROUND(E60,0)</x:f>
        <x:v>8</x:v>
      </x:c>
      <x:c r="G60" s="28" t="n">
        <x:f>IF(A60&lt;=15,'Anchor Points'!$E$2+(A60-'Anchor Points'!$A$2)/('Anchor Points'!$A$3-'Anchor Points'!$A$2)*('Anchor Points'!$E$3-'Anchor Points'!$E$2),IF(A60&lt;=25,'Anchor Points'!$E$3+(A60-'Anchor Points'!$A$3)/('Anchor Points'!$A$4-'Anchor Points'!$A$3)*('Anchor Points'!$E$4-'Anchor Points'!$E$3),IF(A60&lt;=40,'Anchor Points'!$E$4+(A60-'Anchor Points'!$A$4)/('Anchor Points'!$A$5-'Anchor Points'!$A$4)*('Anchor Points'!$E$5-'Anchor Points'!$E$4),IF(A60&lt;=55,'Anchor Points'!$E$5+(A60-'Anchor Points'!$A$5)/('Anchor Points'!$A$6-'Anchor Points'!$A$5)*('Anchor Points'!$E$6-'Anchor Points'!$E$5),IF(A60&lt;=70,'Anchor Points'!$E$6+(A60-'Anchor Points'!$A$6)/('Anchor Points'!$A$7-'Anchor Points'!$A$6)*('Anchor Points'!$E$7-'Anchor Points'!$E$6),IF(A60&lt;=90,'Anchor Points'!$E$7+(A60-'Anchor Points'!$A$7)/('Anchor Points'!$A$8-'Anchor Points'!$A$7)*('Anchor Points'!$E$8-'Anchor Points'!$E$7),'Anchor Points'!$E$8+(A60-'Anchor Points'!$A$8)/('Anchor Points'!$A$9-'Anchor Points'!$A$8)*('Anchor Points'!$E$9-'Anchor Points'!$E$8)))))))</x:f>
        <x:v>1.8</x:v>
      </x:c>
      <x:c r="H60" s="30" t="n">
        <x:f>ROUND(G60,0)</x:f>
        <x:v>2</x:v>
      </x:c>
      <x:c r="I60" s="28" t="n">
        <x:f>IF(A60&lt;=15,'Anchor Points'!$F$2+(A60-'Anchor Points'!$A$2)/('Anchor Points'!$A$3-'Anchor Points'!$A$2)*('Anchor Points'!$F$3-'Anchor Points'!$F$2),IF(A60&lt;=25,'Anchor Points'!$F$3+(A60-'Anchor Points'!$A$3)/('Anchor Points'!$A$4-'Anchor Points'!$A$3)*('Anchor Points'!$F$4-'Anchor Points'!$F$3),IF(A60&lt;=40,'Anchor Points'!$F$4+(A60-'Anchor Points'!$A$4)/('Anchor Points'!$A$5-'Anchor Points'!$A$4)*('Anchor Points'!$F$5-'Anchor Points'!$F$4),IF(A60&lt;=55,'Anchor Points'!$F$5+(A60-'Anchor Points'!$A$5)/('Anchor Points'!$A$6-'Anchor Points'!$A$5)*('Anchor Points'!$F$6-'Anchor Points'!$F$5),IF(A60&lt;=70,'Anchor Points'!$F$6+(A60-'Anchor Points'!$A$6)/('Anchor Points'!$A$7-'Anchor Points'!$A$6)*('Anchor Points'!$F$7-'Anchor Points'!$F$6),IF(A60&lt;=90,'Anchor Points'!$F$7+(A60-'Anchor Points'!$A$7)/('Anchor Points'!$A$8-'Anchor Points'!$A$7)*('Anchor Points'!$F$8-'Anchor Points'!$F$7),'Anchor Points'!$F$8+(A60-'Anchor Points'!$A$8)/('Anchor Points'!$A$9-'Anchor Points'!$A$8)*('Anchor Points'!$F$9-'Anchor Points'!$F$8)))))))</x:f>
        <x:v>11.4</x:v>
      </x:c>
      <x:c r="J60" s="28" t="n">
        <x:v>8</x:v>
      </x:c>
      <x:c r="K60" s="56" t="n">
        <x:v>9</x:v>
      </x:c>
      <x:c r="L60" s="52" t="n">
        <x:v>10</x:v>
      </x:c>
      <x:c r="M60" s="52" t="n">
        <x:v>60</x:v>
      </x:c>
      <x:c r="N60" s="56" t="n">
        <x:v>65</x:v>
      </x:c>
      <x:c r="O60" s="28" t="n">
        <x:v>70</x:v>
      </x:c>
      <x:c r="P60" s="28" t="n">
        <x:v>70</x:v>
      </x:c>
      <x:c r="Q60" s="55" t="n">
        <x:v>80</x:v>
      </x:c>
      <x:c r="R60" s="28" t="n">
        <x:v>90</x:v>
      </x:c>
      <x:c r="S60" s="28" t="n">
        <x:v>12</x:v>
      </x:c>
      <x:c r="T60" s="28" t="n">
        <x:v>15</x:v>
      </x:c>
      <x:c r="U60" s="55" t="n">
        <x:v>18</x:v>
      </x:c>
      <x:c r="V60" s="28" t="n">
        <x:v>601</x:v>
      </x:c>
      <x:c r="W60" s="55" t="n">
        <x:v>775</x:v>
      </x:c>
      <x:c r="X60" s="28" t="n">
        <x:v>934</x:v>
      </x:c>
    </x:row>
    <x:row r="61">
      <x:c r="A61" s="30" t="n">
        <x:v>59</x:v>
      </x:c>
      <x:c r="B61" s="11" t="str">
        <x:f>IF(A61&lt;=15,"Seedling",IF(A61&lt;=25,"Establishment",IF(A61&lt;=40,"Vegetative Growth",IF(A61&lt;=55,"Flowering &amp; Initial Fruit Set",IF(A61&lt;=80,"Fruit Enlargement",IF(A61&lt;=95,"Ripening","Harvesting"))))))</x:f>
        <x:v>Fruit Enlargement</x:v>
      </x:c>
      <x:c r="C61" s="28" t="n">
        <x:f>IF(A61&lt;=15,'Anchor Points'!$B$2+(A61-'Anchor Points'!$A$2)/('Anchor Points'!$A$3-'Anchor Points'!$A$2)*('Anchor Points'!$B$3-'Anchor Points'!$B$2),IF(A61&lt;=25,'Anchor Points'!$B$3+(A61-'Anchor Points'!$A$3)/('Anchor Points'!$A$4-'Anchor Points'!$A$3)*('Anchor Points'!$B$4-'Anchor Points'!$B$3),IF(A61&lt;=40,'Anchor Points'!$B$4+(A61-'Anchor Points'!$A$4)/('Anchor Points'!$A$5-'Anchor Points'!$A$4)*('Anchor Points'!$B$5-'Anchor Points'!$B$4),IF(A61&lt;=55,'Anchor Points'!$B$5+(A61-'Anchor Points'!$A$5)/('Anchor Points'!$A$6-'Anchor Points'!$A$5)*('Anchor Points'!$B$6-'Anchor Points'!$B$5),IF(A61&lt;=70,'Anchor Points'!$B$6+(A61-'Anchor Points'!$A$6)/('Anchor Points'!$A$7-'Anchor Points'!$A$6)*('Anchor Points'!$B$7-'Anchor Points'!$B$6),IF(A61&lt;=90,'Anchor Points'!$B$7+(A61-'Anchor Points'!$A$7)/('Anchor Points'!$A$8-'Anchor Points'!$A$7)*('Anchor Points'!$B$8-'Anchor Points'!$B$7),'Anchor Points'!$B$8+(A61-'Anchor Points'!$A$8)/('Anchor Points'!$A$9-'Anchor Points'!$A$8)*('Anchor Points'!$B$9-'Anchor Points'!$B$8)))))))</x:f>
        <x:v>61.733333333333334</x:v>
      </x:c>
      <x:c r="D61" s="28" t="n">
        <x:f>IF(A61&lt;=15,'Anchor Points'!$C$2+(A61-'Anchor Points'!$A$2)/('Anchor Points'!$A$3-'Anchor Points'!$A$2)*('Anchor Points'!$C$3-'Anchor Points'!$C$2),IF(A61&lt;=25,'Anchor Points'!$C$3+(A61-'Anchor Points'!$A$3)/('Anchor Points'!$A$4-'Anchor Points'!$A$3)*('Anchor Points'!$C$4-'Anchor Points'!$C$3),IF(A61&lt;=40,'Anchor Points'!$C$4+(A61-'Anchor Points'!$A$4)/('Anchor Points'!$A$5-'Anchor Points'!$A$4)*('Anchor Points'!$C$5-'Anchor Points'!$C$4),IF(A61&lt;=55,'Anchor Points'!$C$5+(A61-'Anchor Points'!$A$5)/('Anchor Points'!$A$6-'Anchor Points'!$A$5)*('Anchor Points'!$C$6-'Anchor Points'!$C$5),IF(A61&lt;=70,'Anchor Points'!$C$6+(A61-'Anchor Points'!$A$6)/('Anchor Points'!$A$7-'Anchor Points'!$A$6)*('Anchor Points'!$C$7-'Anchor Points'!$C$6),IF(A61&lt;=90,'Anchor Points'!$C$7+(A61-'Anchor Points'!$A$7)/('Anchor Points'!$A$8-'Anchor Points'!$A$7)*('Anchor Points'!$C$8-'Anchor Points'!$C$7),'Anchor Points'!$C$8+(A61-'Anchor Points'!$A$8)/('Anchor Points'!$A$9-'Anchor Points'!$A$8)*('Anchor Points'!$C$9-'Anchor Points'!$C$8)))))))</x:f>
        <x:v>50.333333333333336</x:v>
      </x:c>
      <x:c r="E61" s="28" t="n">
        <x:f>IF(A61&lt;=15,'Anchor Points'!$D$2+(A61-'Anchor Points'!$A$2)/('Anchor Points'!$A$3-'Anchor Points'!$A$2)*('Anchor Points'!$D$3-'Anchor Points'!$D$2),IF(A61&lt;=25,'Anchor Points'!$D$3+(A61-'Anchor Points'!$A$3)/('Anchor Points'!$A$4-'Anchor Points'!$A$3)*('Anchor Points'!$D$4-'Anchor Points'!$D$3),IF(A61&lt;=40,'Anchor Points'!$D$4+(A61-'Anchor Points'!$A$4)/('Anchor Points'!$A$5-'Anchor Points'!$A$4)*('Anchor Points'!$D$5-'Anchor Points'!$D$4),IF(A61&lt;=55,'Anchor Points'!$D$5+(A61-'Anchor Points'!$A$5)/('Anchor Points'!$A$6-'Anchor Points'!$A$5)*('Anchor Points'!$D$6-'Anchor Points'!$D$5),IF(A61&lt;=70,'Anchor Points'!$D$6+(A61-'Anchor Points'!$A$6)/('Anchor Points'!$A$7-'Anchor Points'!$A$6)*('Anchor Points'!$D$7-'Anchor Points'!$D$6),IF(A61&lt;=90,'Anchor Points'!$D$7+(A61-'Anchor Points'!$A$7)/('Anchor Points'!$A$8-'Anchor Points'!$A$7)*('Anchor Points'!$D$8-'Anchor Points'!$D$7),'Anchor Points'!$D$8+(A61-'Anchor Points'!$A$8)/('Anchor Points'!$A$9-'Anchor Points'!$A$8)*('Anchor Points'!$D$9-'Anchor Points'!$D$8)))))))</x:f>
        <x:v>8.333333333333334</x:v>
      </x:c>
      <x:c r="F61" s="30" t="n">
        <x:f>ROUND(E61,0)</x:f>
        <x:v>8</x:v>
      </x:c>
      <x:c r="G61" s="28" t="n">
        <x:f>IF(A61&lt;=15,'Anchor Points'!$E$2+(A61-'Anchor Points'!$A$2)/('Anchor Points'!$A$3-'Anchor Points'!$A$2)*('Anchor Points'!$E$3-'Anchor Points'!$E$2),IF(A61&lt;=25,'Anchor Points'!$E$3+(A61-'Anchor Points'!$A$3)/('Anchor Points'!$A$4-'Anchor Points'!$A$3)*('Anchor Points'!$E$4-'Anchor Points'!$E$3),IF(A61&lt;=40,'Anchor Points'!$E$4+(A61-'Anchor Points'!$A$4)/('Anchor Points'!$A$5-'Anchor Points'!$A$4)*('Anchor Points'!$E$5-'Anchor Points'!$E$4),IF(A61&lt;=55,'Anchor Points'!$E$5+(A61-'Anchor Points'!$A$5)/('Anchor Points'!$A$6-'Anchor Points'!$A$5)*('Anchor Points'!$E$6-'Anchor Points'!$E$5),IF(A61&lt;=70,'Anchor Points'!$E$6+(A61-'Anchor Points'!$A$6)/('Anchor Points'!$A$7-'Anchor Points'!$A$6)*('Anchor Points'!$E$7-'Anchor Points'!$E$6),IF(A61&lt;=90,'Anchor Points'!$E$7+(A61-'Anchor Points'!$A$7)/('Anchor Points'!$A$8-'Anchor Points'!$A$7)*('Anchor Points'!$E$8-'Anchor Points'!$E$7),'Anchor Points'!$E$8+(A61-'Anchor Points'!$A$8)/('Anchor Points'!$A$9-'Anchor Points'!$A$8)*('Anchor Points'!$E$9-'Anchor Points'!$E$8)))))))</x:f>
        <x:v>2.0666666666666664</x:v>
      </x:c>
      <x:c r="H61" s="30" t="n">
        <x:f>ROUND(G61,0)</x:f>
        <x:v>2</x:v>
      </x:c>
      <x:c r="I61" s="28" t="n">
        <x:f>IF(A61&lt;=15,'Anchor Points'!$F$2+(A61-'Anchor Points'!$A$2)/('Anchor Points'!$A$3-'Anchor Points'!$A$2)*('Anchor Points'!$F$3-'Anchor Points'!$F$2),IF(A61&lt;=25,'Anchor Points'!$F$3+(A61-'Anchor Points'!$A$3)/('Anchor Points'!$A$4-'Anchor Points'!$A$3)*('Anchor Points'!$F$4-'Anchor Points'!$F$3),IF(A61&lt;=40,'Anchor Points'!$F$4+(A61-'Anchor Points'!$A$4)/('Anchor Points'!$A$5-'Anchor Points'!$A$4)*('Anchor Points'!$F$5-'Anchor Points'!$F$4),IF(A61&lt;=55,'Anchor Points'!$F$5+(A61-'Anchor Points'!$A$5)/('Anchor Points'!$A$6-'Anchor Points'!$A$5)*('Anchor Points'!$F$6-'Anchor Points'!$F$5),IF(A61&lt;=70,'Anchor Points'!$F$6+(A61-'Anchor Points'!$A$6)/('Anchor Points'!$A$7-'Anchor Points'!$A$6)*('Anchor Points'!$F$7-'Anchor Points'!$F$6),IF(A61&lt;=90,'Anchor Points'!$F$7+(A61-'Anchor Points'!$A$7)/('Anchor Points'!$A$8-'Anchor Points'!$A$7)*('Anchor Points'!$F$8-'Anchor Points'!$F$7),'Anchor Points'!$F$8+(A61-'Anchor Points'!$A$8)/('Anchor Points'!$A$9-'Anchor Points'!$A$8)*('Anchor Points'!$F$9-'Anchor Points'!$F$8)))))))</x:f>
        <x:v>12.533333333333333</x:v>
      </x:c>
      <x:c r="J61" s="28" t="n">
        <x:v>8</x:v>
      </x:c>
      <x:c r="K61" s="56" t="n">
        <x:v>9</x:v>
      </x:c>
      <x:c r="L61" s="52" t="n">
        <x:v>10</x:v>
      </x:c>
      <x:c r="M61" s="52" t="n">
        <x:v>60</x:v>
      </x:c>
      <x:c r="N61" s="56" t="n">
        <x:v>65</x:v>
      </x:c>
      <x:c r="O61" s="28" t="n">
        <x:v>70</x:v>
      </x:c>
      <x:c r="P61" s="28" t="n">
        <x:v>70</x:v>
      </x:c>
      <x:c r="Q61" s="55" t="n">
        <x:v>80</x:v>
      </x:c>
      <x:c r="R61" s="28" t="n">
        <x:v>90</x:v>
      </x:c>
      <x:c r="S61" s="28" t="n">
        <x:v>12</x:v>
      </x:c>
      <x:c r="T61" s="28" t="n">
        <x:v>15</x:v>
      </x:c>
      <x:c r="U61" s="55" t="n">
        <x:v>18</x:v>
      </x:c>
      <x:c r="V61" s="28" t="n">
        <x:v>613</x:v>
      </x:c>
      <x:c r="W61" s="55" t="n">
        <x:v>790</x:v>
      </x:c>
      <x:c r="X61" s="28" t="n">
        <x:v>952</x:v>
      </x:c>
    </x:row>
    <x:row r="62">
      <x:c r="A62" s="30" t="n">
        <x:v>60</x:v>
      </x:c>
      <x:c r="B62" s="11" t="str">
        <x:f>IF(A62&lt;=15,"Seedling",IF(A62&lt;=25,"Establishment",IF(A62&lt;=40,"Vegetative Growth",IF(A62&lt;=55,"Flowering &amp; Initial Fruit Set",IF(A62&lt;=80,"Fruit Enlargement",IF(A62&lt;=95,"Ripening","Harvesting"))))))</x:f>
        <x:v>Fruit Enlargement</x:v>
      </x:c>
      <x:c r="C62" s="28" t="n">
        <x:f>IF(A62&lt;=15,'Anchor Points'!$B$2+(A62-'Anchor Points'!$A$2)/('Anchor Points'!$A$3-'Anchor Points'!$A$2)*('Anchor Points'!$B$3-'Anchor Points'!$B$2),IF(A62&lt;=25,'Anchor Points'!$B$3+(A62-'Anchor Points'!$A$3)/('Anchor Points'!$A$4-'Anchor Points'!$A$3)*('Anchor Points'!$B$4-'Anchor Points'!$B$3),IF(A62&lt;=40,'Anchor Points'!$B$4+(A62-'Anchor Points'!$A$4)/('Anchor Points'!$A$5-'Anchor Points'!$A$4)*('Anchor Points'!$B$5-'Anchor Points'!$B$4),IF(A62&lt;=55,'Anchor Points'!$B$5+(A62-'Anchor Points'!$A$5)/('Anchor Points'!$A$6-'Anchor Points'!$A$5)*('Anchor Points'!$B$6-'Anchor Points'!$B$5),IF(A62&lt;=70,'Anchor Points'!$B$6+(A62-'Anchor Points'!$A$6)/('Anchor Points'!$A$7-'Anchor Points'!$A$6)*('Anchor Points'!$B$7-'Anchor Points'!$B$6),IF(A62&lt;=90,'Anchor Points'!$B$7+(A62-'Anchor Points'!$A$7)/('Anchor Points'!$A$8-'Anchor Points'!$A$7)*('Anchor Points'!$B$8-'Anchor Points'!$B$7),'Anchor Points'!$B$8+(A62-'Anchor Points'!$A$8)/('Anchor Points'!$A$9-'Anchor Points'!$A$8)*('Anchor Points'!$B$9-'Anchor Points'!$B$8)))))))</x:f>
        <x:v>62.666666666666664</x:v>
      </x:c>
      <x:c r="D62" s="28" t="n">
        <x:f>IF(A62&lt;=15,'Anchor Points'!$C$2+(A62-'Anchor Points'!$A$2)/('Anchor Points'!$A$3-'Anchor Points'!$A$2)*('Anchor Points'!$C$3-'Anchor Points'!$C$2),IF(A62&lt;=25,'Anchor Points'!$C$3+(A62-'Anchor Points'!$A$3)/('Anchor Points'!$A$4-'Anchor Points'!$A$3)*('Anchor Points'!$C$4-'Anchor Points'!$C$3),IF(A62&lt;=40,'Anchor Points'!$C$4+(A62-'Anchor Points'!$A$4)/('Anchor Points'!$A$5-'Anchor Points'!$A$4)*('Anchor Points'!$C$5-'Anchor Points'!$C$4),IF(A62&lt;=55,'Anchor Points'!$C$5+(A62-'Anchor Points'!$A$5)/('Anchor Points'!$A$6-'Anchor Points'!$A$5)*('Anchor Points'!$C$6-'Anchor Points'!$C$5),IF(A62&lt;=70,'Anchor Points'!$C$6+(A62-'Anchor Points'!$A$6)/('Anchor Points'!$A$7-'Anchor Points'!$A$6)*('Anchor Points'!$C$7-'Anchor Points'!$C$6),IF(A62&lt;=90,'Anchor Points'!$C$7+(A62-'Anchor Points'!$A$7)/('Anchor Points'!$A$8-'Anchor Points'!$A$7)*('Anchor Points'!$C$8-'Anchor Points'!$C$7),'Anchor Points'!$C$8+(A62-'Anchor Points'!$A$8)/('Anchor Points'!$A$9-'Anchor Points'!$A$8)*('Anchor Points'!$C$9-'Anchor Points'!$C$8)))))))</x:f>
        <x:v>51.666666666666664</x:v>
      </x:c>
      <x:c r="E62" s="28" t="n">
        <x:f>IF(A62&lt;=15,'Anchor Points'!$D$2+(A62-'Anchor Points'!$A$2)/('Anchor Points'!$A$3-'Anchor Points'!$A$2)*('Anchor Points'!$D$3-'Anchor Points'!$D$2),IF(A62&lt;=25,'Anchor Points'!$D$3+(A62-'Anchor Points'!$A$3)/('Anchor Points'!$A$4-'Anchor Points'!$A$3)*('Anchor Points'!$D$4-'Anchor Points'!$D$3),IF(A62&lt;=40,'Anchor Points'!$D$4+(A62-'Anchor Points'!$A$4)/('Anchor Points'!$A$5-'Anchor Points'!$A$4)*('Anchor Points'!$D$5-'Anchor Points'!$D$4),IF(A62&lt;=55,'Anchor Points'!$D$5+(A62-'Anchor Points'!$A$5)/('Anchor Points'!$A$6-'Anchor Points'!$A$5)*('Anchor Points'!$D$6-'Anchor Points'!$D$5),IF(A62&lt;=70,'Anchor Points'!$D$6+(A62-'Anchor Points'!$A$6)/('Anchor Points'!$A$7-'Anchor Points'!$A$6)*('Anchor Points'!$D$7-'Anchor Points'!$D$6),IF(A62&lt;=90,'Anchor Points'!$D$7+(A62-'Anchor Points'!$A$7)/('Anchor Points'!$A$8-'Anchor Points'!$A$7)*('Anchor Points'!$D$8-'Anchor Points'!$D$7),'Anchor Points'!$D$8+(A62-'Anchor Points'!$A$8)/('Anchor Points'!$A$9-'Anchor Points'!$A$8)*('Anchor Points'!$D$9-'Anchor Points'!$D$8)))))))</x:f>
        <x:v>8.666666666666666</x:v>
      </x:c>
      <x:c r="F62" s="30" t="n">
        <x:f>ROUND(E62,0)</x:f>
        <x:v>9</x:v>
      </x:c>
      <x:c r="G62" s="28" t="n">
        <x:f>IF(A62&lt;=15,'Anchor Points'!$E$2+(A62-'Anchor Points'!$A$2)/('Anchor Points'!$A$3-'Anchor Points'!$A$2)*('Anchor Points'!$E$3-'Anchor Points'!$E$2),IF(A62&lt;=25,'Anchor Points'!$E$3+(A62-'Anchor Points'!$A$3)/('Anchor Points'!$A$4-'Anchor Points'!$A$3)*('Anchor Points'!$E$4-'Anchor Points'!$E$3),IF(A62&lt;=40,'Anchor Points'!$E$4+(A62-'Anchor Points'!$A$4)/('Anchor Points'!$A$5-'Anchor Points'!$A$4)*('Anchor Points'!$E$5-'Anchor Points'!$E$4),IF(A62&lt;=55,'Anchor Points'!$E$5+(A62-'Anchor Points'!$A$5)/('Anchor Points'!$A$6-'Anchor Points'!$A$5)*('Anchor Points'!$E$6-'Anchor Points'!$E$5),IF(A62&lt;=70,'Anchor Points'!$E$6+(A62-'Anchor Points'!$A$6)/('Anchor Points'!$A$7-'Anchor Points'!$A$6)*('Anchor Points'!$E$7-'Anchor Points'!$E$6),IF(A62&lt;=90,'Anchor Points'!$E$7+(A62-'Anchor Points'!$A$7)/('Anchor Points'!$A$8-'Anchor Points'!$A$7)*('Anchor Points'!$E$8-'Anchor Points'!$E$7),'Anchor Points'!$E$8+(A62-'Anchor Points'!$A$8)/('Anchor Points'!$A$9-'Anchor Points'!$A$8)*('Anchor Points'!$E$9-'Anchor Points'!$E$8)))))))</x:f>
        <x:v>2.333333333333333</x:v>
      </x:c>
      <x:c r="H62" s="30" t="n">
        <x:f>ROUND(G62,0)</x:f>
        <x:v>2</x:v>
      </x:c>
      <x:c r="I62" s="28" t="n">
        <x:f>IF(A62&lt;=15,'Anchor Points'!$F$2+(A62-'Anchor Points'!$A$2)/('Anchor Points'!$A$3-'Anchor Points'!$A$2)*('Anchor Points'!$F$3-'Anchor Points'!$F$2),IF(A62&lt;=25,'Anchor Points'!$F$3+(A62-'Anchor Points'!$A$3)/('Anchor Points'!$A$4-'Anchor Points'!$A$3)*('Anchor Points'!$F$4-'Anchor Points'!$F$3),IF(A62&lt;=40,'Anchor Points'!$F$4+(A62-'Anchor Points'!$A$4)/('Anchor Points'!$A$5-'Anchor Points'!$A$4)*('Anchor Points'!$F$5-'Anchor Points'!$F$4),IF(A62&lt;=55,'Anchor Points'!$F$5+(A62-'Anchor Points'!$A$5)/('Anchor Points'!$A$6-'Anchor Points'!$A$5)*('Anchor Points'!$F$6-'Anchor Points'!$F$5),IF(A62&lt;=70,'Anchor Points'!$F$6+(A62-'Anchor Points'!$A$6)/('Anchor Points'!$A$7-'Anchor Points'!$A$6)*('Anchor Points'!$F$7-'Anchor Points'!$F$6),IF(A62&lt;=90,'Anchor Points'!$F$7+(A62-'Anchor Points'!$A$7)/('Anchor Points'!$A$8-'Anchor Points'!$A$7)*('Anchor Points'!$F$8-'Anchor Points'!$F$7),'Anchor Points'!$F$8+(A62-'Anchor Points'!$A$8)/('Anchor Points'!$A$9-'Anchor Points'!$A$8)*('Anchor Points'!$F$9-'Anchor Points'!$F$8)))))))</x:f>
        <x:v>13.666666666666666</x:v>
      </x:c>
      <x:c r="J62" s="28" t="n">
        <x:v>8</x:v>
      </x:c>
      <x:c r="K62" s="56" t="n">
        <x:v>9</x:v>
      </x:c>
      <x:c r="L62" s="52" t="n">
        <x:v>10</x:v>
      </x:c>
      <x:c r="M62" s="52" t="n">
        <x:v>60</x:v>
      </x:c>
      <x:c r="N62" s="56" t="n">
        <x:v>65</x:v>
      </x:c>
      <x:c r="O62" s="28" t="n">
        <x:v>70</x:v>
      </x:c>
      <x:c r="P62" s="28" t="n">
        <x:v>70</x:v>
      </x:c>
      <x:c r="Q62" s="55" t="n">
        <x:v>80</x:v>
      </x:c>
      <x:c r="R62" s="28" t="n">
        <x:v>90</x:v>
      </x:c>
      <x:c r="S62" s="28" t="n">
        <x:v>12</x:v>
      </x:c>
      <x:c r="T62" s="28" t="n">
        <x:v>15</x:v>
      </x:c>
      <x:c r="U62" s="55" t="n">
        <x:v>18</x:v>
      </x:c>
      <x:c r="V62" s="28" t="n">
        <x:v>625</x:v>
      </x:c>
      <x:c r="W62" s="55" t="n">
        <x:v>805</x:v>
      </x:c>
      <x:c r="X62" s="28" t="n">
        <x:v>970</x:v>
      </x:c>
    </x:row>
    <x:row r="63">
      <x:c r="A63" s="30" t="n">
        <x:v>61</x:v>
      </x:c>
      <x:c r="B63" s="11" t="str">
        <x:f>IF(A63&lt;=15,"Seedling",IF(A63&lt;=25,"Establishment",IF(A63&lt;=40,"Vegetative Growth",IF(A63&lt;=55,"Flowering &amp; Initial Fruit Set",IF(A63&lt;=80,"Fruit Enlargement",IF(A63&lt;=95,"Ripening","Harvesting"))))))</x:f>
        <x:v>Fruit Enlargement</x:v>
      </x:c>
      <x:c r="C63" s="28" t="n">
        <x:f>IF(A63&lt;=15,'Anchor Points'!$B$2+(A63-'Anchor Points'!$A$2)/('Anchor Points'!$A$3-'Anchor Points'!$A$2)*('Anchor Points'!$B$3-'Anchor Points'!$B$2),IF(A63&lt;=25,'Anchor Points'!$B$3+(A63-'Anchor Points'!$A$3)/('Anchor Points'!$A$4-'Anchor Points'!$A$3)*('Anchor Points'!$B$4-'Anchor Points'!$B$3),IF(A63&lt;=40,'Anchor Points'!$B$4+(A63-'Anchor Points'!$A$4)/('Anchor Points'!$A$5-'Anchor Points'!$A$4)*('Anchor Points'!$B$5-'Anchor Points'!$B$4),IF(A63&lt;=55,'Anchor Points'!$B$5+(A63-'Anchor Points'!$A$5)/('Anchor Points'!$A$6-'Anchor Points'!$A$5)*('Anchor Points'!$B$6-'Anchor Points'!$B$5),IF(A63&lt;=70,'Anchor Points'!$B$6+(A63-'Anchor Points'!$A$6)/('Anchor Points'!$A$7-'Anchor Points'!$A$6)*('Anchor Points'!$B$7-'Anchor Points'!$B$6),IF(A63&lt;=90,'Anchor Points'!$B$7+(A63-'Anchor Points'!$A$7)/('Anchor Points'!$A$8-'Anchor Points'!$A$7)*('Anchor Points'!$B$8-'Anchor Points'!$B$7),'Anchor Points'!$B$8+(A63-'Anchor Points'!$A$8)/('Anchor Points'!$A$9-'Anchor Points'!$A$8)*('Anchor Points'!$B$9-'Anchor Points'!$B$8)))))))</x:f>
        <x:v>63.6</x:v>
      </x:c>
      <x:c r="D63" s="28" t="n">
        <x:f>IF(A63&lt;=15,'Anchor Points'!$C$2+(A63-'Anchor Points'!$A$2)/('Anchor Points'!$A$3-'Anchor Points'!$A$2)*('Anchor Points'!$C$3-'Anchor Points'!$C$2),IF(A63&lt;=25,'Anchor Points'!$C$3+(A63-'Anchor Points'!$A$3)/('Anchor Points'!$A$4-'Anchor Points'!$A$3)*('Anchor Points'!$C$4-'Anchor Points'!$C$3),IF(A63&lt;=40,'Anchor Points'!$C$4+(A63-'Anchor Points'!$A$4)/('Anchor Points'!$A$5-'Anchor Points'!$A$4)*('Anchor Points'!$C$5-'Anchor Points'!$C$4),IF(A63&lt;=55,'Anchor Points'!$C$5+(A63-'Anchor Points'!$A$5)/('Anchor Points'!$A$6-'Anchor Points'!$A$5)*('Anchor Points'!$C$6-'Anchor Points'!$C$5),IF(A63&lt;=70,'Anchor Points'!$C$6+(A63-'Anchor Points'!$A$6)/('Anchor Points'!$A$7-'Anchor Points'!$A$6)*('Anchor Points'!$C$7-'Anchor Points'!$C$6),IF(A63&lt;=90,'Anchor Points'!$C$7+(A63-'Anchor Points'!$A$7)/('Anchor Points'!$A$8-'Anchor Points'!$A$7)*('Anchor Points'!$C$8-'Anchor Points'!$C$7),'Anchor Points'!$C$8+(A63-'Anchor Points'!$A$8)/('Anchor Points'!$A$9-'Anchor Points'!$A$8)*('Anchor Points'!$C$9-'Anchor Points'!$C$8)))))))</x:f>
        <x:v>53</x:v>
      </x:c>
      <x:c r="E63" s="28" t="n">
        <x:f>IF(A63&lt;=15,'Anchor Points'!$D$2+(A63-'Anchor Points'!$A$2)/('Anchor Points'!$A$3-'Anchor Points'!$A$2)*('Anchor Points'!$D$3-'Anchor Points'!$D$2),IF(A63&lt;=25,'Anchor Points'!$D$3+(A63-'Anchor Points'!$A$3)/('Anchor Points'!$A$4-'Anchor Points'!$A$3)*('Anchor Points'!$D$4-'Anchor Points'!$D$3),IF(A63&lt;=40,'Anchor Points'!$D$4+(A63-'Anchor Points'!$A$4)/('Anchor Points'!$A$5-'Anchor Points'!$A$4)*('Anchor Points'!$D$5-'Anchor Points'!$D$4),IF(A63&lt;=55,'Anchor Points'!$D$5+(A63-'Anchor Points'!$A$5)/('Anchor Points'!$A$6-'Anchor Points'!$A$5)*('Anchor Points'!$D$6-'Anchor Points'!$D$5),IF(A63&lt;=70,'Anchor Points'!$D$6+(A63-'Anchor Points'!$A$6)/('Anchor Points'!$A$7-'Anchor Points'!$A$6)*('Anchor Points'!$D$7-'Anchor Points'!$D$6),IF(A63&lt;=90,'Anchor Points'!$D$7+(A63-'Anchor Points'!$A$7)/('Anchor Points'!$A$8-'Anchor Points'!$A$7)*('Anchor Points'!$D$8-'Anchor Points'!$D$7),'Anchor Points'!$D$8+(A63-'Anchor Points'!$A$8)/('Anchor Points'!$A$9-'Anchor Points'!$A$8)*('Anchor Points'!$D$9-'Anchor Points'!$D$8)))))))</x:f>
        <x:v>9</x:v>
      </x:c>
      <x:c r="F63" s="30" t="n">
        <x:f>ROUND(E63,0)</x:f>
        <x:v>9</x:v>
      </x:c>
      <x:c r="G63" s="28" t="n">
        <x:f>IF(A63&lt;=15,'Anchor Points'!$E$2+(A63-'Anchor Points'!$A$2)/('Anchor Points'!$A$3-'Anchor Points'!$A$2)*('Anchor Points'!$E$3-'Anchor Points'!$E$2),IF(A63&lt;=25,'Anchor Points'!$E$3+(A63-'Anchor Points'!$A$3)/('Anchor Points'!$A$4-'Anchor Points'!$A$3)*('Anchor Points'!$E$4-'Anchor Points'!$E$3),IF(A63&lt;=40,'Anchor Points'!$E$4+(A63-'Anchor Points'!$A$4)/('Anchor Points'!$A$5-'Anchor Points'!$A$4)*('Anchor Points'!$E$5-'Anchor Points'!$E$4),IF(A63&lt;=55,'Anchor Points'!$E$5+(A63-'Anchor Points'!$A$5)/('Anchor Points'!$A$6-'Anchor Points'!$A$5)*('Anchor Points'!$E$6-'Anchor Points'!$E$5),IF(A63&lt;=70,'Anchor Points'!$E$6+(A63-'Anchor Points'!$A$6)/('Anchor Points'!$A$7-'Anchor Points'!$A$6)*('Anchor Points'!$E$7-'Anchor Points'!$E$6),IF(A63&lt;=90,'Anchor Points'!$E$7+(A63-'Anchor Points'!$A$7)/('Anchor Points'!$A$8-'Anchor Points'!$A$7)*('Anchor Points'!$E$8-'Anchor Points'!$E$7),'Anchor Points'!$E$8+(A63-'Anchor Points'!$A$8)/('Anchor Points'!$A$9-'Anchor Points'!$A$8)*('Anchor Points'!$E$9-'Anchor Points'!$E$8)))))))</x:f>
        <x:v>2.6</x:v>
      </x:c>
      <x:c r="H63" s="30" t="n">
        <x:f>ROUND(G63,0)</x:f>
        <x:v>3</x:v>
      </x:c>
      <x:c r="I63" s="28" t="n">
        <x:f>IF(A63&lt;=15,'Anchor Points'!$F$2+(A63-'Anchor Points'!$A$2)/('Anchor Points'!$A$3-'Anchor Points'!$A$2)*('Anchor Points'!$F$3-'Anchor Points'!$F$2),IF(A63&lt;=25,'Anchor Points'!$F$3+(A63-'Anchor Points'!$A$3)/('Anchor Points'!$A$4-'Anchor Points'!$A$3)*('Anchor Points'!$F$4-'Anchor Points'!$F$3),IF(A63&lt;=40,'Anchor Points'!$F$4+(A63-'Anchor Points'!$A$4)/('Anchor Points'!$A$5-'Anchor Points'!$A$4)*('Anchor Points'!$F$5-'Anchor Points'!$F$4),IF(A63&lt;=55,'Anchor Points'!$F$5+(A63-'Anchor Points'!$A$5)/('Anchor Points'!$A$6-'Anchor Points'!$A$5)*('Anchor Points'!$F$6-'Anchor Points'!$F$5),IF(A63&lt;=70,'Anchor Points'!$F$6+(A63-'Anchor Points'!$A$6)/('Anchor Points'!$A$7-'Anchor Points'!$A$6)*('Anchor Points'!$F$7-'Anchor Points'!$F$6),IF(A63&lt;=90,'Anchor Points'!$F$7+(A63-'Anchor Points'!$A$7)/('Anchor Points'!$A$8-'Anchor Points'!$A$7)*('Anchor Points'!$F$8-'Anchor Points'!$F$7),'Anchor Points'!$F$8+(A63-'Anchor Points'!$A$8)/('Anchor Points'!$A$9-'Anchor Points'!$A$8)*('Anchor Points'!$F$9-'Anchor Points'!$F$8)))))))</x:f>
        <x:v>14.8</x:v>
      </x:c>
      <x:c r="J63" s="28" t="n">
        <x:v>8</x:v>
      </x:c>
      <x:c r="K63" s="56" t="n">
        <x:v>9</x:v>
      </x:c>
      <x:c r="L63" s="52" t="n">
        <x:v>10</x:v>
      </x:c>
      <x:c r="M63" s="52" t="n">
        <x:v>60</x:v>
      </x:c>
      <x:c r="N63" s="56" t="n">
        <x:v>65</x:v>
      </x:c>
      <x:c r="O63" s="28" t="n">
        <x:v>70</x:v>
      </x:c>
      <x:c r="P63" s="28" t="n">
        <x:v>70</x:v>
      </x:c>
      <x:c r="Q63" s="55" t="n">
        <x:v>80</x:v>
      </x:c>
      <x:c r="R63" s="28" t="n">
        <x:v>90</x:v>
      </x:c>
      <x:c r="S63" s="28" t="n">
        <x:v>12</x:v>
      </x:c>
      <x:c r="T63" s="28" t="n">
        <x:v>15</x:v>
      </x:c>
      <x:c r="U63" s="55" t="n">
        <x:v>18</x:v>
      </x:c>
      <x:c r="V63" s="28" t="n">
        <x:v>637</x:v>
      </x:c>
      <x:c r="W63" s="55" t="n">
        <x:v>820</x:v>
      </x:c>
      <x:c r="X63" s="28" t="n">
        <x:v>988</x:v>
      </x:c>
    </x:row>
    <x:row r="64">
      <x:c r="A64" s="30" t="n">
        <x:v>62</x:v>
      </x:c>
      <x:c r="B64" s="11" t="str">
        <x:f>IF(A64&lt;=15,"Seedling",IF(A64&lt;=25,"Establishment",IF(A64&lt;=40,"Vegetative Growth",IF(A64&lt;=55,"Flowering &amp; Initial Fruit Set",IF(A64&lt;=80,"Fruit Enlargement",IF(A64&lt;=95,"Ripening","Harvesting"))))))</x:f>
        <x:v>Fruit Enlargement</x:v>
      </x:c>
      <x:c r="C64" s="28" t="n">
        <x:f>IF(A64&lt;=15,'Anchor Points'!$B$2+(A64-'Anchor Points'!$A$2)/('Anchor Points'!$A$3-'Anchor Points'!$A$2)*('Anchor Points'!$B$3-'Anchor Points'!$B$2),IF(A64&lt;=25,'Anchor Points'!$B$3+(A64-'Anchor Points'!$A$3)/('Anchor Points'!$A$4-'Anchor Points'!$A$3)*('Anchor Points'!$B$4-'Anchor Points'!$B$3),IF(A64&lt;=40,'Anchor Points'!$B$4+(A64-'Anchor Points'!$A$4)/('Anchor Points'!$A$5-'Anchor Points'!$A$4)*('Anchor Points'!$B$5-'Anchor Points'!$B$4),IF(A64&lt;=55,'Anchor Points'!$B$5+(A64-'Anchor Points'!$A$5)/('Anchor Points'!$A$6-'Anchor Points'!$A$5)*('Anchor Points'!$B$6-'Anchor Points'!$B$5),IF(A64&lt;=70,'Anchor Points'!$B$6+(A64-'Anchor Points'!$A$6)/('Anchor Points'!$A$7-'Anchor Points'!$A$6)*('Anchor Points'!$B$7-'Anchor Points'!$B$6),IF(A64&lt;=90,'Anchor Points'!$B$7+(A64-'Anchor Points'!$A$7)/('Anchor Points'!$A$8-'Anchor Points'!$A$7)*('Anchor Points'!$B$8-'Anchor Points'!$B$7),'Anchor Points'!$B$8+(A64-'Anchor Points'!$A$8)/('Anchor Points'!$A$9-'Anchor Points'!$A$8)*('Anchor Points'!$B$9-'Anchor Points'!$B$8)))))))</x:f>
        <x:v>64.53333333333333</x:v>
      </x:c>
      <x:c r="D64" s="28" t="n">
        <x:f>IF(A64&lt;=15,'Anchor Points'!$C$2+(A64-'Anchor Points'!$A$2)/('Anchor Points'!$A$3-'Anchor Points'!$A$2)*('Anchor Points'!$C$3-'Anchor Points'!$C$2),IF(A64&lt;=25,'Anchor Points'!$C$3+(A64-'Anchor Points'!$A$3)/('Anchor Points'!$A$4-'Anchor Points'!$A$3)*('Anchor Points'!$C$4-'Anchor Points'!$C$3),IF(A64&lt;=40,'Anchor Points'!$C$4+(A64-'Anchor Points'!$A$4)/('Anchor Points'!$A$5-'Anchor Points'!$A$4)*('Anchor Points'!$C$5-'Anchor Points'!$C$4),IF(A64&lt;=55,'Anchor Points'!$C$5+(A64-'Anchor Points'!$A$5)/('Anchor Points'!$A$6-'Anchor Points'!$A$5)*('Anchor Points'!$C$6-'Anchor Points'!$C$5),IF(A64&lt;=70,'Anchor Points'!$C$6+(A64-'Anchor Points'!$A$6)/('Anchor Points'!$A$7-'Anchor Points'!$A$6)*('Anchor Points'!$C$7-'Anchor Points'!$C$6),IF(A64&lt;=90,'Anchor Points'!$C$7+(A64-'Anchor Points'!$A$7)/('Anchor Points'!$A$8-'Anchor Points'!$A$7)*('Anchor Points'!$C$8-'Anchor Points'!$C$7),'Anchor Points'!$C$8+(A64-'Anchor Points'!$A$8)/('Anchor Points'!$A$9-'Anchor Points'!$A$8)*('Anchor Points'!$C$9-'Anchor Points'!$C$8)))))))</x:f>
        <x:v>54.333333333333336</x:v>
      </x:c>
      <x:c r="E64" s="28" t="n">
        <x:f>IF(A64&lt;=15,'Anchor Points'!$D$2+(A64-'Anchor Points'!$A$2)/('Anchor Points'!$A$3-'Anchor Points'!$A$2)*('Anchor Points'!$D$3-'Anchor Points'!$D$2),IF(A64&lt;=25,'Anchor Points'!$D$3+(A64-'Anchor Points'!$A$3)/('Anchor Points'!$A$4-'Anchor Points'!$A$3)*('Anchor Points'!$D$4-'Anchor Points'!$D$3),IF(A64&lt;=40,'Anchor Points'!$D$4+(A64-'Anchor Points'!$A$4)/('Anchor Points'!$A$5-'Anchor Points'!$A$4)*('Anchor Points'!$D$5-'Anchor Points'!$D$4),IF(A64&lt;=55,'Anchor Points'!$D$5+(A64-'Anchor Points'!$A$5)/('Anchor Points'!$A$6-'Anchor Points'!$A$5)*('Anchor Points'!$D$6-'Anchor Points'!$D$5),IF(A64&lt;=70,'Anchor Points'!$D$6+(A64-'Anchor Points'!$A$6)/('Anchor Points'!$A$7-'Anchor Points'!$A$6)*('Anchor Points'!$D$7-'Anchor Points'!$D$6),IF(A64&lt;=90,'Anchor Points'!$D$7+(A64-'Anchor Points'!$A$7)/('Anchor Points'!$A$8-'Anchor Points'!$A$7)*('Anchor Points'!$D$8-'Anchor Points'!$D$7),'Anchor Points'!$D$8+(A64-'Anchor Points'!$A$8)/('Anchor Points'!$A$9-'Anchor Points'!$A$8)*('Anchor Points'!$D$9-'Anchor Points'!$D$8)))))))</x:f>
        <x:v>9.333333333333334</x:v>
      </x:c>
      <x:c r="F64" s="30" t="n">
        <x:f>ROUND(E64,0)</x:f>
        <x:v>9</x:v>
      </x:c>
      <x:c r="G64" s="28" t="n">
        <x:f>IF(A64&lt;=15,'Anchor Points'!$E$2+(A64-'Anchor Points'!$A$2)/('Anchor Points'!$A$3-'Anchor Points'!$A$2)*('Anchor Points'!$E$3-'Anchor Points'!$E$2),IF(A64&lt;=25,'Anchor Points'!$E$3+(A64-'Anchor Points'!$A$3)/('Anchor Points'!$A$4-'Anchor Points'!$A$3)*('Anchor Points'!$E$4-'Anchor Points'!$E$3),IF(A64&lt;=40,'Anchor Points'!$E$4+(A64-'Anchor Points'!$A$4)/('Anchor Points'!$A$5-'Anchor Points'!$A$4)*('Anchor Points'!$E$5-'Anchor Points'!$E$4),IF(A64&lt;=55,'Anchor Points'!$E$5+(A64-'Anchor Points'!$A$5)/('Anchor Points'!$A$6-'Anchor Points'!$A$5)*('Anchor Points'!$E$6-'Anchor Points'!$E$5),IF(A64&lt;=70,'Anchor Points'!$E$6+(A64-'Anchor Points'!$A$6)/('Anchor Points'!$A$7-'Anchor Points'!$A$6)*('Anchor Points'!$E$7-'Anchor Points'!$E$6),IF(A64&lt;=90,'Anchor Points'!$E$7+(A64-'Anchor Points'!$A$7)/('Anchor Points'!$A$8-'Anchor Points'!$A$7)*('Anchor Points'!$E$8-'Anchor Points'!$E$7),'Anchor Points'!$E$8+(A64-'Anchor Points'!$A$8)/('Anchor Points'!$A$9-'Anchor Points'!$A$8)*('Anchor Points'!$E$9-'Anchor Points'!$E$8)))))))</x:f>
        <x:v>2.8666666666666667</x:v>
      </x:c>
      <x:c r="H64" s="30" t="n">
        <x:f>ROUND(G64,0)</x:f>
        <x:v>3</x:v>
      </x:c>
      <x:c r="I64" s="28" t="n">
        <x:f>IF(A64&lt;=15,'Anchor Points'!$F$2+(A64-'Anchor Points'!$A$2)/('Anchor Points'!$A$3-'Anchor Points'!$A$2)*('Anchor Points'!$F$3-'Anchor Points'!$F$2),IF(A64&lt;=25,'Anchor Points'!$F$3+(A64-'Anchor Points'!$A$3)/('Anchor Points'!$A$4-'Anchor Points'!$A$3)*('Anchor Points'!$F$4-'Anchor Points'!$F$3),IF(A64&lt;=40,'Anchor Points'!$F$4+(A64-'Anchor Points'!$A$4)/('Anchor Points'!$A$5-'Anchor Points'!$A$4)*('Anchor Points'!$F$5-'Anchor Points'!$F$4),IF(A64&lt;=55,'Anchor Points'!$F$5+(A64-'Anchor Points'!$A$5)/('Anchor Points'!$A$6-'Anchor Points'!$A$5)*('Anchor Points'!$F$6-'Anchor Points'!$F$5),IF(A64&lt;=70,'Anchor Points'!$F$6+(A64-'Anchor Points'!$A$6)/('Anchor Points'!$A$7-'Anchor Points'!$A$6)*('Anchor Points'!$F$7-'Anchor Points'!$F$6),IF(A64&lt;=90,'Anchor Points'!$F$7+(A64-'Anchor Points'!$A$7)/('Anchor Points'!$A$8-'Anchor Points'!$A$7)*('Anchor Points'!$F$8-'Anchor Points'!$F$7),'Anchor Points'!$F$8+(A64-'Anchor Points'!$A$8)/('Anchor Points'!$A$9-'Anchor Points'!$A$8)*('Anchor Points'!$F$9-'Anchor Points'!$F$8)))))))</x:f>
        <x:v>15.933333333333334</x:v>
      </x:c>
      <x:c r="J64" s="28" t="n">
        <x:v>8</x:v>
      </x:c>
      <x:c r="K64" s="56" t="n">
        <x:v>9</x:v>
      </x:c>
      <x:c r="L64" s="52" t="n">
        <x:v>10</x:v>
      </x:c>
      <x:c r="M64" s="52" t="n">
        <x:v>60</x:v>
      </x:c>
      <x:c r="N64" s="56" t="n">
        <x:v>65</x:v>
      </x:c>
      <x:c r="O64" s="28" t="n">
        <x:v>70</x:v>
      </x:c>
      <x:c r="P64" s="28" t="n">
        <x:v>70</x:v>
      </x:c>
      <x:c r="Q64" s="55" t="n">
        <x:v>80</x:v>
      </x:c>
      <x:c r="R64" s="28" t="n">
        <x:v>90</x:v>
      </x:c>
      <x:c r="S64" s="28" t="n">
        <x:v>12</x:v>
      </x:c>
      <x:c r="T64" s="28" t="n">
        <x:v>15</x:v>
      </x:c>
      <x:c r="U64" s="55" t="n">
        <x:v>18</x:v>
      </x:c>
      <x:c r="V64" s="28" t="n">
        <x:v>649</x:v>
      </x:c>
      <x:c r="W64" s="55" t="n">
        <x:v>835</x:v>
      </x:c>
      <x:c r="X64" s="28" t="n">
        <x:v>1006</x:v>
      </x:c>
    </x:row>
    <x:row r="65">
      <x:c r="A65" s="30" t="n">
        <x:v>63</x:v>
      </x:c>
      <x:c r="B65" s="11" t="str">
        <x:f>IF(A65&lt;=15,"Seedling",IF(A65&lt;=25,"Establishment",IF(A65&lt;=40,"Vegetative Growth",IF(A65&lt;=55,"Flowering &amp; Initial Fruit Set",IF(A65&lt;=80,"Fruit Enlargement",IF(A65&lt;=95,"Ripening","Harvesting"))))))</x:f>
        <x:v>Fruit Enlargement</x:v>
      </x:c>
      <x:c r="C65" s="28" t="n">
        <x:f>IF(A65&lt;=15,'Anchor Points'!$B$2+(A65-'Anchor Points'!$A$2)/('Anchor Points'!$A$3-'Anchor Points'!$A$2)*('Anchor Points'!$B$3-'Anchor Points'!$B$2),IF(A65&lt;=25,'Anchor Points'!$B$3+(A65-'Anchor Points'!$A$3)/('Anchor Points'!$A$4-'Anchor Points'!$A$3)*('Anchor Points'!$B$4-'Anchor Points'!$B$3),IF(A65&lt;=40,'Anchor Points'!$B$4+(A65-'Anchor Points'!$A$4)/('Anchor Points'!$A$5-'Anchor Points'!$A$4)*('Anchor Points'!$B$5-'Anchor Points'!$B$4),IF(A65&lt;=55,'Anchor Points'!$B$5+(A65-'Anchor Points'!$A$5)/('Anchor Points'!$A$6-'Anchor Points'!$A$5)*('Anchor Points'!$B$6-'Anchor Points'!$B$5),IF(A65&lt;=70,'Anchor Points'!$B$6+(A65-'Anchor Points'!$A$6)/('Anchor Points'!$A$7-'Anchor Points'!$A$6)*('Anchor Points'!$B$7-'Anchor Points'!$B$6),IF(A65&lt;=90,'Anchor Points'!$B$7+(A65-'Anchor Points'!$A$7)/('Anchor Points'!$A$8-'Anchor Points'!$A$7)*('Anchor Points'!$B$8-'Anchor Points'!$B$7),'Anchor Points'!$B$8+(A65-'Anchor Points'!$A$8)/('Anchor Points'!$A$9-'Anchor Points'!$A$8)*('Anchor Points'!$B$9-'Anchor Points'!$B$8)))))))</x:f>
        <x:v>65.46666666666667</x:v>
      </x:c>
      <x:c r="D65" s="28" t="n">
        <x:f>IF(A65&lt;=15,'Anchor Points'!$C$2+(A65-'Anchor Points'!$A$2)/('Anchor Points'!$A$3-'Anchor Points'!$A$2)*('Anchor Points'!$C$3-'Anchor Points'!$C$2),IF(A65&lt;=25,'Anchor Points'!$C$3+(A65-'Anchor Points'!$A$3)/('Anchor Points'!$A$4-'Anchor Points'!$A$3)*('Anchor Points'!$C$4-'Anchor Points'!$C$3),IF(A65&lt;=40,'Anchor Points'!$C$4+(A65-'Anchor Points'!$A$4)/('Anchor Points'!$A$5-'Anchor Points'!$A$4)*('Anchor Points'!$C$5-'Anchor Points'!$C$4),IF(A65&lt;=55,'Anchor Points'!$C$5+(A65-'Anchor Points'!$A$5)/('Anchor Points'!$A$6-'Anchor Points'!$A$5)*('Anchor Points'!$C$6-'Anchor Points'!$C$5),IF(A65&lt;=70,'Anchor Points'!$C$6+(A65-'Anchor Points'!$A$6)/('Anchor Points'!$A$7-'Anchor Points'!$A$6)*('Anchor Points'!$C$7-'Anchor Points'!$C$6),IF(A65&lt;=90,'Anchor Points'!$C$7+(A65-'Anchor Points'!$A$7)/('Anchor Points'!$A$8-'Anchor Points'!$A$7)*('Anchor Points'!$C$8-'Anchor Points'!$C$7),'Anchor Points'!$C$8+(A65-'Anchor Points'!$A$8)/('Anchor Points'!$A$9-'Anchor Points'!$A$8)*('Anchor Points'!$C$9-'Anchor Points'!$C$8)))))))</x:f>
        <x:v>55.666666666666664</x:v>
      </x:c>
      <x:c r="E65" s="28" t="n">
        <x:f>IF(A65&lt;=15,'Anchor Points'!$D$2+(A65-'Anchor Points'!$A$2)/('Anchor Points'!$A$3-'Anchor Points'!$A$2)*('Anchor Points'!$D$3-'Anchor Points'!$D$2),IF(A65&lt;=25,'Anchor Points'!$D$3+(A65-'Anchor Points'!$A$3)/('Anchor Points'!$A$4-'Anchor Points'!$A$3)*('Anchor Points'!$D$4-'Anchor Points'!$D$3),IF(A65&lt;=40,'Anchor Points'!$D$4+(A65-'Anchor Points'!$A$4)/('Anchor Points'!$A$5-'Anchor Points'!$A$4)*('Anchor Points'!$D$5-'Anchor Points'!$D$4),IF(A65&lt;=55,'Anchor Points'!$D$5+(A65-'Anchor Points'!$A$5)/('Anchor Points'!$A$6-'Anchor Points'!$A$5)*('Anchor Points'!$D$6-'Anchor Points'!$D$5),IF(A65&lt;=70,'Anchor Points'!$D$6+(A65-'Anchor Points'!$A$6)/('Anchor Points'!$A$7-'Anchor Points'!$A$6)*('Anchor Points'!$D$7-'Anchor Points'!$D$6),IF(A65&lt;=90,'Anchor Points'!$D$7+(A65-'Anchor Points'!$A$7)/('Anchor Points'!$A$8-'Anchor Points'!$A$7)*('Anchor Points'!$D$8-'Anchor Points'!$D$7),'Anchor Points'!$D$8+(A65-'Anchor Points'!$A$8)/('Anchor Points'!$A$9-'Anchor Points'!$A$8)*('Anchor Points'!$D$9-'Anchor Points'!$D$8)))))))</x:f>
        <x:v>9.666666666666666</x:v>
      </x:c>
      <x:c r="F65" s="30" t="n">
        <x:f>ROUND(E65,0)</x:f>
        <x:v>10</x:v>
      </x:c>
      <x:c r="G65" s="28" t="n">
        <x:f>IF(A65&lt;=15,'Anchor Points'!$E$2+(A65-'Anchor Points'!$A$2)/('Anchor Points'!$A$3-'Anchor Points'!$A$2)*('Anchor Points'!$E$3-'Anchor Points'!$E$2),IF(A65&lt;=25,'Anchor Points'!$E$3+(A65-'Anchor Points'!$A$3)/('Anchor Points'!$A$4-'Anchor Points'!$A$3)*('Anchor Points'!$E$4-'Anchor Points'!$E$3),IF(A65&lt;=40,'Anchor Points'!$E$4+(A65-'Anchor Points'!$A$4)/('Anchor Points'!$A$5-'Anchor Points'!$A$4)*('Anchor Points'!$E$5-'Anchor Points'!$E$4),IF(A65&lt;=55,'Anchor Points'!$E$5+(A65-'Anchor Points'!$A$5)/('Anchor Points'!$A$6-'Anchor Points'!$A$5)*('Anchor Points'!$E$6-'Anchor Points'!$E$5),IF(A65&lt;=70,'Anchor Points'!$E$6+(A65-'Anchor Points'!$A$6)/('Anchor Points'!$A$7-'Anchor Points'!$A$6)*('Anchor Points'!$E$7-'Anchor Points'!$E$6),IF(A65&lt;=90,'Anchor Points'!$E$7+(A65-'Anchor Points'!$A$7)/('Anchor Points'!$A$8-'Anchor Points'!$A$7)*('Anchor Points'!$E$8-'Anchor Points'!$E$7),'Anchor Points'!$E$8+(A65-'Anchor Points'!$A$8)/('Anchor Points'!$A$9-'Anchor Points'!$A$8)*('Anchor Points'!$E$9-'Anchor Points'!$E$8)))))))</x:f>
        <x:v>3.1333333333333333</x:v>
      </x:c>
      <x:c r="H65" s="30" t="n">
        <x:f>ROUND(G65,0)</x:f>
        <x:v>3</x:v>
      </x:c>
      <x:c r="I65" s="28" t="n">
        <x:f>IF(A65&lt;=15,'Anchor Points'!$F$2+(A65-'Anchor Points'!$A$2)/('Anchor Points'!$A$3-'Anchor Points'!$A$2)*('Anchor Points'!$F$3-'Anchor Points'!$F$2),IF(A65&lt;=25,'Anchor Points'!$F$3+(A65-'Anchor Points'!$A$3)/('Anchor Points'!$A$4-'Anchor Points'!$A$3)*('Anchor Points'!$F$4-'Anchor Points'!$F$3),IF(A65&lt;=40,'Anchor Points'!$F$4+(A65-'Anchor Points'!$A$4)/('Anchor Points'!$A$5-'Anchor Points'!$A$4)*('Anchor Points'!$F$5-'Anchor Points'!$F$4),IF(A65&lt;=55,'Anchor Points'!$F$5+(A65-'Anchor Points'!$A$5)/('Anchor Points'!$A$6-'Anchor Points'!$A$5)*('Anchor Points'!$F$6-'Anchor Points'!$F$5),IF(A65&lt;=70,'Anchor Points'!$F$6+(A65-'Anchor Points'!$A$6)/('Anchor Points'!$A$7-'Anchor Points'!$A$6)*('Anchor Points'!$F$7-'Anchor Points'!$F$6),IF(A65&lt;=90,'Anchor Points'!$F$7+(A65-'Anchor Points'!$A$7)/('Anchor Points'!$A$8-'Anchor Points'!$A$7)*('Anchor Points'!$F$8-'Anchor Points'!$F$7),'Anchor Points'!$F$8+(A65-'Anchor Points'!$A$8)/('Anchor Points'!$A$9-'Anchor Points'!$A$8)*('Anchor Points'!$F$9-'Anchor Points'!$F$8)))))))</x:f>
        <x:v>17.066666666666666</x:v>
      </x:c>
      <x:c r="J65" s="28" t="n">
        <x:v>8</x:v>
      </x:c>
      <x:c r="K65" s="56" t="n">
        <x:v>9</x:v>
      </x:c>
      <x:c r="L65" s="52" t="n">
        <x:v>10</x:v>
      </x:c>
      <x:c r="M65" s="52" t="n">
        <x:v>60</x:v>
      </x:c>
      <x:c r="N65" s="56" t="n">
        <x:v>65</x:v>
      </x:c>
      <x:c r="O65" s="28" t="n">
        <x:v>70</x:v>
      </x:c>
      <x:c r="P65" s="28" t="n">
        <x:v>70</x:v>
      </x:c>
      <x:c r="Q65" s="55" t="n">
        <x:v>80</x:v>
      </x:c>
      <x:c r="R65" s="28" t="n">
        <x:v>90</x:v>
      </x:c>
      <x:c r="S65" s="28" t="n">
        <x:v>12</x:v>
      </x:c>
      <x:c r="T65" s="28" t="n">
        <x:v>15</x:v>
      </x:c>
      <x:c r="U65" s="55" t="n">
        <x:v>18</x:v>
      </x:c>
      <x:c r="V65" s="28" t="n">
        <x:v>661</x:v>
      </x:c>
      <x:c r="W65" s="55" t="n">
        <x:v>850</x:v>
      </x:c>
      <x:c r="X65" s="28" t="n">
        <x:v>1024</x:v>
      </x:c>
    </x:row>
    <x:row r="66">
      <x:c r="A66" s="30" t="n">
        <x:v>64</x:v>
      </x:c>
      <x:c r="B66" s="11" t="str">
        <x:f>IF(A66&lt;=15,"Seedling",IF(A66&lt;=25,"Establishment",IF(A66&lt;=40,"Vegetative Growth",IF(A66&lt;=55,"Flowering &amp; Initial Fruit Set",IF(A66&lt;=80,"Fruit Enlargement",IF(A66&lt;=95,"Ripening","Harvesting"))))))</x:f>
        <x:v>Fruit Enlargement</x:v>
      </x:c>
      <x:c r="C66" s="28" t="n">
        <x:f>IF(A66&lt;=15,'Anchor Points'!$B$2+(A66-'Anchor Points'!$A$2)/('Anchor Points'!$A$3-'Anchor Points'!$A$2)*('Anchor Points'!$B$3-'Anchor Points'!$B$2),IF(A66&lt;=25,'Anchor Points'!$B$3+(A66-'Anchor Points'!$A$3)/('Anchor Points'!$A$4-'Anchor Points'!$A$3)*('Anchor Points'!$B$4-'Anchor Points'!$B$3),IF(A66&lt;=40,'Anchor Points'!$B$4+(A66-'Anchor Points'!$A$4)/('Anchor Points'!$A$5-'Anchor Points'!$A$4)*('Anchor Points'!$B$5-'Anchor Points'!$B$4),IF(A66&lt;=55,'Anchor Points'!$B$5+(A66-'Anchor Points'!$A$5)/('Anchor Points'!$A$6-'Anchor Points'!$A$5)*('Anchor Points'!$B$6-'Anchor Points'!$B$5),IF(A66&lt;=70,'Anchor Points'!$B$6+(A66-'Anchor Points'!$A$6)/('Anchor Points'!$A$7-'Anchor Points'!$A$6)*('Anchor Points'!$B$7-'Anchor Points'!$B$6),IF(A66&lt;=90,'Anchor Points'!$B$7+(A66-'Anchor Points'!$A$7)/('Anchor Points'!$A$8-'Anchor Points'!$A$7)*('Anchor Points'!$B$8-'Anchor Points'!$B$7),'Anchor Points'!$B$8+(A66-'Anchor Points'!$A$8)/('Anchor Points'!$A$9-'Anchor Points'!$A$8)*('Anchor Points'!$B$9-'Anchor Points'!$B$8)))))))</x:f>
        <x:v>66.4</x:v>
      </x:c>
      <x:c r="D66" s="28" t="n">
        <x:f>IF(A66&lt;=15,'Anchor Points'!$C$2+(A66-'Anchor Points'!$A$2)/('Anchor Points'!$A$3-'Anchor Points'!$A$2)*('Anchor Points'!$C$3-'Anchor Points'!$C$2),IF(A66&lt;=25,'Anchor Points'!$C$3+(A66-'Anchor Points'!$A$3)/('Anchor Points'!$A$4-'Anchor Points'!$A$3)*('Anchor Points'!$C$4-'Anchor Points'!$C$3),IF(A66&lt;=40,'Anchor Points'!$C$4+(A66-'Anchor Points'!$A$4)/('Anchor Points'!$A$5-'Anchor Points'!$A$4)*('Anchor Points'!$C$5-'Anchor Points'!$C$4),IF(A66&lt;=55,'Anchor Points'!$C$5+(A66-'Anchor Points'!$A$5)/('Anchor Points'!$A$6-'Anchor Points'!$A$5)*('Anchor Points'!$C$6-'Anchor Points'!$C$5),IF(A66&lt;=70,'Anchor Points'!$C$6+(A66-'Anchor Points'!$A$6)/('Anchor Points'!$A$7-'Anchor Points'!$A$6)*('Anchor Points'!$C$7-'Anchor Points'!$C$6),IF(A66&lt;=90,'Anchor Points'!$C$7+(A66-'Anchor Points'!$A$7)/('Anchor Points'!$A$8-'Anchor Points'!$A$7)*('Anchor Points'!$C$8-'Anchor Points'!$C$7),'Anchor Points'!$C$8+(A66-'Anchor Points'!$A$8)/('Anchor Points'!$A$9-'Anchor Points'!$A$8)*('Anchor Points'!$C$9-'Anchor Points'!$C$8)))))))</x:f>
        <x:v>57</x:v>
      </x:c>
      <x:c r="E66" s="28" t="n">
        <x:f>IF(A66&lt;=15,'Anchor Points'!$D$2+(A66-'Anchor Points'!$A$2)/('Anchor Points'!$A$3-'Anchor Points'!$A$2)*('Anchor Points'!$D$3-'Anchor Points'!$D$2),IF(A66&lt;=25,'Anchor Points'!$D$3+(A66-'Anchor Points'!$A$3)/('Anchor Points'!$A$4-'Anchor Points'!$A$3)*('Anchor Points'!$D$4-'Anchor Points'!$D$3),IF(A66&lt;=40,'Anchor Points'!$D$4+(A66-'Anchor Points'!$A$4)/('Anchor Points'!$A$5-'Anchor Points'!$A$4)*('Anchor Points'!$D$5-'Anchor Points'!$D$4),IF(A66&lt;=55,'Anchor Points'!$D$5+(A66-'Anchor Points'!$A$5)/('Anchor Points'!$A$6-'Anchor Points'!$A$5)*('Anchor Points'!$D$6-'Anchor Points'!$D$5),IF(A66&lt;=70,'Anchor Points'!$D$6+(A66-'Anchor Points'!$A$6)/('Anchor Points'!$A$7-'Anchor Points'!$A$6)*('Anchor Points'!$D$7-'Anchor Points'!$D$6),IF(A66&lt;=90,'Anchor Points'!$D$7+(A66-'Anchor Points'!$A$7)/('Anchor Points'!$A$8-'Anchor Points'!$A$7)*('Anchor Points'!$D$8-'Anchor Points'!$D$7),'Anchor Points'!$D$8+(A66-'Anchor Points'!$A$8)/('Anchor Points'!$A$9-'Anchor Points'!$A$8)*('Anchor Points'!$D$9-'Anchor Points'!$D$8)))))))</x:f>
        <x:v>10</x:v>
      </x:c>
      <x:c r="F66" s="30" t="n">
        <x:f>ROUND(E66,0)</x:f>
        <x:v>10</x:v>
      </x:c>
      <x:c r="G66" s="28" t="n">
        <x:f>IF(A66&lt;=15,'Anchor Points'!$E$2+(A66-'Anchor Points'!$A$2)/('Anchor Points'!$A$3-'Anchor Points'!$A$2)*('Anchor Points'!$E$3-'Anchor Points'!$E$2),IF(A66&lt;=25,'Anchor Points'!$E$3+(A66-'Anchor Points'!$A$3)/('Anchor Points'!$A$4-'Anchor Points'!$A$3)*('Anchor Points'!$E$4-'Anchor Points'!$E$3),IF(A66&lt;=40,'Anchor Points'!$E$4+(A66-'Anchor Points'!$A$4)/('Anchor Points'!$A$5-'Anchor Points'!$A$4)*('Anchor Points'!$E$5-'Anchor Points'!$E$4),IF(A66&lt;=55,'Anchor Points'!$E$5+(A66-'Anchor Points'!$A$5)/('Anchor Points'!$A$6-'Anchor Points'!$A$5)*('Anchor Points'!$E$6-'Anchor Points'!$E$5),IF(A66&lt;=70,'Anchor Points'!$E$6+(A66-'Anchor Points'!$A$6)/('Anchor Points'!$A$7-'Anchor Points'!$A$6)*('Anchor Points'!$E$7-'Anchor Points'!$E$6),IF(A66&lt;=90,'Anchor Points'!$E$7+(A66-'Anchor Points'!$A$7)/('Anchor Points'!$A$8-'Anchor Points'!$A$7)*('Anchor Points'!$E$8-'Anchor Points'!$E$7),'Anchor Points'!$E$8+(A66-'Anchor Points'!$A$8)/('Anchor Points'!$A$9-'Anchor Points'!$A$8)*('Anchor Points'!$E$9-'Anchor Points'!$E$8)))))))</x:f>
        <x:v>3.4</x:v>
      </x:c>
      <x:c r="H66" s="30" t="n">
        <x:f>ROUND(G66,0)</x:f>
        <x:v>3</x:v>
      </x:c>
      <x:c r="I66" s="28" t="n">
        <x:f>IF(A66&lt;=15,'Anchor Points'!$F$2+(A66-'Anchor Points'!$A$2)/('Anchor Points'!$A$3-'Anchor Points'!$A$2)*('Anchor Points'!$F$3-'Anchor Points'!$F$2),IF(A66&lt;=25,'Anchor Points'!$F$3+(A66-'Anchor Points'!$A$3)/('Anchor Points'!$A$4-'Anchor Points'!$A$3)*('Anchor Points'!$F$4-'Anchor Points'!$F$3),IF(A66&lt;=40,'Anchor Points'!$F$4+(A66-'Anchor Points'!$A$4)/('Anchor Points'!$A$5-'Anchor Points'!$A$4)*('Anchor Points'!$F$5-'Anchor Points'!$F$4),IF(A66&lt;=55,'Anchor Points'!$F$5+(A66-'Anchor Points'!$A$5)/('Anchor Points'!$A$6-'Anchor Points'!$A$5)*('Anchor Points'!$F$6-'Anchor Points'!$F$5),IF(A66&lt;=70,'Anchor Points'!$F$6+(A66-'Anchor Points'!$A$6)/('Anchor Points'!$A$7-'Anchor Points'!$A$6)*('Anchor Points'!$F$7-'Anchor Points'!$F$6),IF(A66&lt;=90,'Anchor Points'!$F$7+(A66-'Anchor Points'!$A$7)/('Anchor Points'!$A$8-'Anchor Points'!$A$7)*('Anchor Points'!$F$8-'Anchor Points'!$F$7),'Anchor Points'!$F$8+(A66-'Anchor Points'!$A$8)/('Anchor Points'!$A$9-'Anchor Points'!$A$8)*('Anchor Points'!$F$9-'Anchor Points'!$F$8)))))))</x:f>
        <x:v>18.2</x:v>
      </x:c>
      <x:c r="J66" s="28" t="n">
        <x:v>8</x:v>
      </x:c>
      <x:c r="K66" s="56" t="n">
        <x:v>9</x:v>
      </x:c>
      <x:c r="L66" s="52" t="n">
        <x:v>10</x:v>
      </x:c>
      <x:c r="M66" s="52" t="n">
        <x:v>60</x:v>
      </x:c>
      <x:c r="N66" s="56" t="n">
        <x:v>65</x:v>
      </x:c>
      <x:c r="O66" s="28" t="n">
        <x:v>70</x:v>
      </x:c>
      <x:c r="P66" s="28" t="n">
        <x:v>70</x:v>
      </x:c>
      <x:c r="Q66" s="55" t="n">
        <x:v>80</x:v>
      </x:c>
      <x:c r="R66" s="28" t="n">
        <x:v>90</x:v>
      </x:c>
      <x:c r="S66" s="28" t="n">
        <x:v>12</x:v>
      </x:c>
      <x:c r="T66" s="28" t="n">
        <x:v>15</x:v>
      </x:c>
      <x:c r="U66" s="55" t="n">
        <x:v>18</x:v>
      </x:c>
      <x:c r="V66" s="28" t="n">
        <x:v>673</x:v>
      </x:c>
      <x:c r="W66" s="55" t="n">
        <x:v>865</x:v>
      </x:c>
      <x:c r="X66" s="28" t="n">
        <x:v>1042</x:v>
      </x:c>
    </x:row>
    <x:row r="67">
      <x:c r="A67" s="30" t="n">
        <x:v>65</x:v>
      </x:c>
      <x:c r="B67" s="11" t="str">
        <x:f>IF(A67&lt;=15,"Seedling",IF(A67&lt;=25,"Establishment",IF(A67&lt;=40,"Vegetative Growth",IF(A67&lt;=55,"Flowering &amp; Initial Fruit Set",IF(A67&lt;=80,"Fruit Enlargement",IF(A67&lt;=95,"Ripening","Harvesting"))))))</x:f>
        <x:v>Fruit Enlargement</x:v>
      </x:c>
      <x:c r="C67" s="28" t="n">
        <x:f>IF(A67&lt;=15,'Anchor Points'!$B$2+(A67-'Anchor Points'!$A$2)/('Anchor Points'!$A$3-'Anchor Points'!$A$2)*('Anchor Points'!$B$3-'Anchor Points'!$B$2),IF(A67&lt;=25,'Anchor Points'!$B$3+(A67-'Anchor Points'!$A$3)/('Anchor Points'!$A$4-'Anchor Points'!$A$3)*('Anchor Points'!$B$4-'Anchor Points'!$B$3),IF(A67&lt;=40,'Anchor Points'!$B$4+(A67-'Anchor Points'!$A$4)/('Anchor Points'!$A$5-'Anchor Points'!$A$4)*('Anchor Points'!$B$5-'Anchor Points'!$B$4),IF(A67&lt;=55,'Anchor Points'!$B$5+(A67-'Anchor Points'!$A$5)/('Anchor Points'!$A$6-'Anchor Points'!$A$5)*('Anchor Points'!$B$6-'Anchor Points'!$B$5),IF(A67&lt;=70,'Anchor Points'!$B$6+(A67-'Anchor Points'!$A$6)/('Anchor Points'!$A$7-'Anchor Points'!$A$6)*('Anchor Points'!$B$7-'Anchor Points'!$B$6),IF(A67&lt;=90,'Anchor Points'!$B$7+(A67-'Anchor Points'!$A$7)/('Anchor Points'!$A$8-'Anchor Points'!$A$7)*('Anchor Points'!$B$8-'Anchor Points'!$B$7),'Anchor Points'!$B$8+(A67-'Anchor Points'!$A$8)/('Anchor Points'!$A$9-'Anchor Points'!$A$8)*('Anchor Points'!$B$9-'Anchor Points'!$B$8)))))))</x:f>
        <x:v>67.33333333333333</x:v>
      </x:c>
      <x:c r="D67" s="28" t="n">
        <x:f>IF(A67&lt;=15,'Anchor Points'!$C$2+(A67-'Anchor Points'!$A$2)/('Anchor Points'!$A$3-'Anchor Points'!$A$2)*('Anchor Points'!$C$3-'Anchor Points'!$C$2),IF(A67&lt;=25,'Anchor Points'!$C$3+(A67-'Anchor Points'!$A$3)/('Anchor Points'!$A$4-'Anchor Points'!$A$3)*('Anchor Points'!$C$4-'Anchor Points'!$C$3),IF(A67&lt;=40,'Anchor Points'!$C$4+(A67-'Anchor Points'!$A$4)/('Anchor Points'!$A$5-'Anchor Points'!$A$4)*('Anchor Points'!$C$5-'Anchor Points'!$C$4),IF(A67&lt;=55,'Anchor Points'!$C$5+(A67-'Anchor Points'!$A$5)/('Anchor Points'!$A$6-'Anchor Points'!$A$5)*('Anchor Points'!$C$6-'Anchor Points'!$C$5),IF(A67&lt;=70,'Anchor Points'!$C$6+(A67-'Anchor Points'!$A$6)/('Anchor Points'!$A$7-'Anchor Points'!$A$6)*('Anchor Points'!$C$7-'Anchor Points'!$C$6),IF(A67&lt;=90,'Anchor Points'!$C$7+(A67-'Anchor Points'!$A$7)/('Anchor Points'!$A$8-'Anchor Points'!$A$7)*('Anchor Points'!$C$8-'Anchor Points'!$C$7),'Anchor Points'!$C$8+(A67-'Anchor Points'!$A$8)/('Anchor Points'!$A$9-'Anchor Points'!$A$8)*('Anchor Points'!$C$9-'Anchor Points'!$C$8)))))))</x:f>
        <x:v>58.33333333333333</x:v>
      </x:c>
      <x:c r="E67" s="28" t="n">
        <x:f>IF(A67&lt;=15,'Anchor Points'!$D$2+(A67-'Anchor Points'!$A$2)/('Anchor Points'!$A$3-'Anchor Points'!$A$2)*('Anchor Points'!$D$3-'Anchor Points'!$D$2),IF(A67&lt;=25,'Anchor Points'!$D$3+(A67-'Anchor Points'!$A$3)/('Anchor Points'!$A$4-'Anchor Points'!$A$3)*('Anchor Points'!$D$4-'Anchor Points'!$D$3),IF(A67&lt;=40,'Anchor Points'!$D$4+(A67-'Anchor Points'!$A$4)/('Anchor Points'!$A$5-'Anchor Points'!$A$4)*('Anchor Points'!$D$5-'Anchor Points'!$D$4),IF(A67&lt;=55,'Anchor Points'!$D$5+(A67-'Anchor Points'!$A$5)/('Anchor Points'!$A$6-'Anchor Points'!$A$5)*('Anchor Points'!$D$6-'Anchor Points'!$D$5),IF(A67&lt;=70,'Anchor Points'!$D$6+(A67-'Anchor Points'!$A$6)/('Anchor Points'!$A$7-'Anchor Points'!$A$6)*('Anchor Points'!$D$7-'Anchor Points'!$D$6),IF(A67&lt;=90,'Anchor Points'!$D$7+(A67-'Anchor Points'!$A$7)/('Anchor Points'!$A$8-'Anchor Points'!$A$7)*('Anchor Points'!$D$8-'Anchor Points'!$D$7),'Anchor Points'!$D$8+(A67-'Anchor Points'!$A$8)/('Anchor Points'!$A$9-'Anchor Points'!$A$8)*('Anchor Points'!$D$9-'Anchor Points'!$D$8)))))))</x:f>
        <x:v>10.333333333333332</x:v>
      </x:c>
      <x:c r="F67" s="30" t="n">
        <x:f>ROUND(E67,0)</x:f>
        <x:v>10</x:v>
      </x:c>
      <x:c r="G67" s="28" t="n">
        <x:f>IF(A67&lt;=15,'Anchor Points'!$E$2+(A67-'Anchor Points'!$A$2)/('Anchor Points'!$A$3-'Anchor Points'!$A$2)*('Anchor Points'!$E$3-'Anchor Points'!$E$2),IF(A67&lt;=25,'Anchor Points'!$E$3+(A67-'Anchor Points'!$A$3)/('Anchor Points'!$A$4-'Anchor Points'!$A$3)*('Anchor Points'!$E$4-'Anchor Points'!$E$3),IF(A67&lt;=40,'Anchor Points'!$E$4+(A67-'Anchor Points'!$A$4)/('Anchor Points'!$A$5-'Anchor Points'!$A$4)*('Anchor Points'!$E$5-'Anchor Points'!$E$4),IF(A67&lt;=55,'Anchor Points'!$E$5+(A67-'Anchor Points'!$A$5)/('Anchor Points'!$A$6-'Anchor Points'!$A$5)*('Anchor Points'!$E$6-'Anchor Points'!$E$5),IF(A67&lt;=70,'Anchor Points'!$E$6+(A67-'Anchor Points'!$A$6)/('Anchor Points'!$A$7-'Anchor Points'!$A$6)*('Anchor Points'!$E$7-'Anchor Points'!$E$6),IF(A67&lt;=90,'Anchor Points'!$E$7+(A67-'Anchor Points'!$A$7)/('Anchor Points'!$A$8-'Anchor Points'!$A$7)*('Anchor Points'!$E$8-'Anchor Points'!$E$7),'Anchor Points'!$E$8+(A67-'Anchor Points'!$A$8)/('Anchor Points'!$A$9-'Anchor Points'!$A$8)*('Anchor Points'!$E$9-'Anchor Points'!$E$8)))))))</x:f>
        <x:v>3.6666666666666665</x:v>
      </x:c>
      <x:c r="H67" s="30" t="n">
        <x:f>ROUND(G67,0)</x:f>
        <x:v>4</x:v>
      </x:c>
      <x:c r="I67" s="28" t="n">
        <x:f>IF(A67&lt;=15,'Anchor Points'!$F$2+(A67-'Anchor Points'!$A$2)/('Anchor Points'!$A$3-'Anchor Points'!$A$2)*('Anchor Points'!$F$3-'Anchor Points'!$F$2),IF(A67&lt;=25,'Anchor Points'!$F$3+(A67-'Anchor Points'!$A$3)/('Anchor Points'!$A$4-'Anchor Points'!$A$3)*('Anchor Points'!$F$4-'Anchor Points'!$F$3),IF(A67&lt;=40,'Anchor Points'!$F$4+(A67-'Anchor Points'!$A$4)/('Anchor Points'!$A$5-'Anchor Points'!$A$4)*('Anchor Points'!$F$5-'Anchor Points'!$F$4),IF(A67&lt;=55,'Anchor Points'!$F$5+(A67-'Anchor Points'!$A$5)/('Anchor Points'!$A$6-'Anchor Points'!$A$5)*('Anchor Points'!$F$6-'Anchor Points'!$F$5),IF(A67&lt;=70,'Anchor Points'!$F$6+(A67-'Anchor Points'!$A$6)/('Anchor Points'!$A$7-'Anchor Points'!$A$6)*('Anchor Points'!$F$7-'Anchor Points'!$F$6),IF(A67&lt;=90,'Anchor Points'!$F$7+(A67-'Anchor Points'!$A$7)/('Anchor Points'!$A$8-'Anchor Points'!$A$7)*('Anchor Points'!$F$8-'Anchor Points'!$F$7),'Anchor Points'!$F$8+(A67-'Anchor Points'!$A$8)/('Anchor Points'!$A$9-'Anchor Points'!$A$8)*('Anchor Points'!$F$9-'Anchor Points'!$F$8)))))))</x:f>
        <x:v>19.333333333333332</x:v>
      </x:c>
      <x:c r="J67" s="28" t="n">
        <x:v>8</x:v>
      </x:c>
      <x:c r="K67" s="56" t="n">
        <x:v>9</x:v>
      </x:c>
      <x:c r="L67" s="52" t="n">
        <x:v>10</x:v>
      </x:c>
      <x:c r="M67" s="52" t="n">
        <x:v>60</x:v>
      </x:c>
      <x:c r="N67" s="56" t="n">
        <x:v>65</x:v>
      </x:c>
      <x:c r="O67" s="28" t="n">
        <x:v>70</x:v>
      </x:c>
      <x:c r="P67" s="28" t="n">
        <x:v>70</x:v>
      </x:c>
      <x:c r="Q67" s="55" t="n">
        <x:v>80</x:v>
      </x:c>
      <x:c r="R67" s="28" t="n">
        <x:v>90</x:v>
      </x:c>
      <x:c r="S67" s="28" t="n">
        <x:v>12</x:v>
      </x:c>
      <x:c r="T67" s="28" t="n">
        <x:v>15</x:v>
      </x:c>
      <x:c r="U67" s="55" t="n">
        <x:v>18</x:v>
      </x:c>
      <x:c r="V67" s="28" t="n">
        <x:v>685</x:v>
      </x:c>
      <x:c r="W67" s="55" t="n">
        <x:v>880</x:v>
      </x:c>
      <x:c r="X67" s="28" t="n">
        <x:v>1060</x:v>
      </x:c>
    </x:row>
    <x:row r="68">
      <x:c r="A68" s="30" t="n">
        <x:v>66</x:v>
      </x:c>
      <x:c r="B68" s="11" t="str">
        <x:f>IF(A68&lt;=15,"Seedling",IF(A68&lt;=25,"Establishment",IF(A68&lt;=40,"Vegetative Growth",IF(A68&lt;=55,"Flowering &amp; Initial Fruit Set",IF(A68&lt;=80,"Fruit Enlargement",IF(A68&lt;=95,"Ripening","Harvesting"))))))</x:f>
        <x:v>Fruit Enlargement</x:v>
      </x:c>
      <x:c r="C68" s="28" t="n">
        <x:f>IF(A68&lt;=15,'Anchor Points'!$B$2+(A68-'Anchor Points'!$A$2)/('Anchor Points'!$A$3-'Anchor Points'!$A$2)*('Anchor Points'!$B$3-'Anchor Points'!$B$2),IF(A68&lt;=25,'Anchor Points'!$B$3+(A68-'Anchor Points'!$A$3)/('Anchor Points'!$A$4-'Anchor Points'!$A$3)*('Anchor Points'!$B$4-'Anchor Points'!$B$3),IF(A68&lt;=40,'Anchor Points'!$B$4+(A68-'Anchor Points'!$A$4)/('Anchor Points'!$A$5-'Anchor Points'!$A$4)*('Anchor Points'!$B$5-'Anchor Points'!$B$4),IF(A68&lt;=55,'Anchor Points'!$B$5+(A68-'Anchor Points'!$A$5)/('Anchor Points'!$A$6-'Anchor Points'!$A$5)*('Anchor Points'!$B$6-'Anchor Points'!$B$5),IF(A68&lt;=70,'Anchor Points'!$B$6+(A68-'Anchor Points'!$A$6)/('Anchor Points'!$A$7-'Anchor Points'!$A$6)*('Anchor Points'!$B$7-'Anchor Points'!$B$6),IF(A68&lt;=90,'Anchor Points'!$B$7+(A68-'Anchor Points'!$A$7)/('Anchor Points'!$A$8-'Anchor Points'!$A$7)*('Anchor Points'!$B$8-'Anchor Points'!$B$7),'Anchor Points'!$B$8+(A68-'Anchor Points'!$A$8)/('Anchor Points'!$A$9-'Anchor Points'!$A$8)*('Anchor Points'!$B$9-'Anchor Points'!$B$8)))))))</x:f>
        <x:v>68.26666666666667</x:v>
      </x:c>
      <x:c r="D68" s="28" t="n">
        <x:f>IF(A68&lt;=15,'Anchor Points'!$C$2+(A68-'Anchor Points'!$A$2)/('Anchor Points'!$A$3-'Anchor Points'!$A$2)*('Anchor Points'!$C$3-'Anchor Points'!$C$2),IF(A68&lt;=25,'Anchor Points'!$C$3+(A68-'Anchor Points'!$A$3)/('Anchor Points'!$A$4-'Anchor Points'!$A$3)*('Anchor Points'!$C$4-'Anchor Points'!$C$3),IF(A68&lt;=40,'Anchor Points'!$C$4+(A68-'Anchor Points'!$A$4)/('Anchor Points'!$A$5-'Anchor Points'!$A$4)*('Anchor Points'!$C$5-'Anchor Points'!$C$4),IF(A68&lt;=55,'Anchor Points'!$C$5+(A68-'Anchor Points'!$A$5)/('Anchor Points'!$A$6-'Anchor Points'!$A$5)*('Anchor Points'!$C$6-'Anchor Points'!$C$5),IF(A68&lt;=70,'Anchor Points'!$C$6+(A68-'Anchor Points'!$A$6)/('Anchor Points'!$A$7-'Anchor Points'!$A$6)*('Anchor Points'!$C$7-'Anchor Points'!$C$6),IF(A68&lt;=90,'Anchor Points'!$C$7+(A68-'Anchor Points'!$A$7)/('Anchor Points'!$A$8-'Anchor Points'!$A$7)*('Anchor Points'!$C$8-'Anchor Points'!$C$7),'Anchor Points'!$C$8+(A68-'Anchor Points'!$A$8)/('Anchor Points'!$A$9-'Anchor Points'!$A$8)*('Anchor Points'!$C$9-'Anchor Points'!$C$8)))))))</x:f>
        <x:v>59.666666666666664</x:v>
      </x:c>
      <x:c r="E68" s="28" t="n">
        <x:f>IF(A68&lt;=15,'Anchor Points'!$D$2+(A68-'Anchor Points'!$A$2)/('Anchor Points'!$A$3-'Anchor Points'!$A$2)*('Anchor Points'!$D$3-'Anchor Points'!$D$2),IF(A68&lt;=25,'Anchor Points'!$D$3+(A68-'Anchor Points'!$A$3)/('Anchor Points'!$A$4-'Anchor Points'!$A$3)*('Anchor Points'!$D$4-'Anchor Points'!$D$3),IF(A68&lt;=40,'Anchor Points'!$D$4+(A68-'Anchor Points'!$A$4)/('Anchor Points'!$A$5-'Anchor Points'!$A$4)*('Anchor Points'!$D$5-'Anchor Points'!$D$4),IF(A68&lt;=55,'Anchor Points'!$D$5+(A68-'Anchor Points'!$A$5)/('Anchor Points'!$A$6-'Anchor Points'!$A$5)*('Anchor Points'!$D$6-'Anchor Points'!$D$5),IF(A68&lt;=70,'Anchor Points'!$D$6+(A68-'Anchor Points'!$A$6)/('Anchor Points'!$A$7-'Anchor Points'!$A$6)*('Anchor Points'!$D$7-'Anchor Points'!$D$6),IF(A68&lt;=90,'Anchor Points'!$D$7+(A68-'Anchor Points'!$A$7)/('Anchor Points'!$A$8-'Anchor Points'!$A$7)*('Anchor Points'!$D$8-'Anchor Points'!$D$7),'Anchor Points'!$D$8+(A68-'Anchor Points'!$A$8)/('Anchor Points'!$A$9-'Anchor Points'!$A$8)*('Anchor Points'!$D$9-'Anchor Points'!$D$8)))))))</x:f>
        <x:v>10.666666666666666</x:v>
      </x:c>
      <x:c r="F68" s="30" t="n">
        <x:f>ROUND(E68,0)</x:f>
        <x:v>11</x:v>
      </x:c>
      <x:c r="G68" s="28" t="n">
        <x:f>IF(A68&lt;=15,'Anchor Points'!$E$2+(A68-'Anchor Points'!$A$2)/('Anchor Points'!$A$3-'Anchor Points'!$A$2)*('Anchor Points'!$E$3-'Anchor Points'!$E$2),IF(A68&lt;=25,'Anchor Points'!$E$3+(A68-'Anchor Points'!$A$3)/('Anchor Points'!$A$4-'Anchor Points'!$A$3)*('Anchor Points'!$E$4-'Anchor Points'!$E$3),IF(A68&lt;=40,'Anchor Points'!$E$4+(A68-'Anchor Points'!$A$4)/('Anchor Points'!$A$5-'Anchor Points'!$A$4)*('Anchor Points'!$E$5-'Anchor Points'!$E$4),IF(A68&lt;=55,'Anchor Points'!$E$5+(A68-'Anchor Points'!$A$5)/('Anchor Points'!$A$6-'Anchor Points'!$A$5)*('Anchor Points'!$E$6-'Anchor Points'!$E$5),IF(A68&lt;=70,'Anchor Points'!$E$6+(A68-'Anchor Points'!$A$6)/('Anchor Points'!$A$7-'Anchor Points'!$A$6)*('Anchor Points'!$E$7-'Anchor Points'!$E$6),IF(A68&lt;=90,'Anchor Points'!$E$7+(A68-'Anchor Points'!$A$7)/('Anchor Points'!$A$8-'Anchor Points'!$A$7)*('Anchor Points'!$E$8-'Anchor Points'!$E$7),'Anchor Points'!$E$8+(A68-'Anchor Points'!$A$8)/('Anchor Points'!$A$9-'Anchor Points'!$A$8)*('Anchor Points'!$E$9-'Anchor Points'!$E$8)))))))</x:f>
        <x:v>3.933333333333333</x:v>
      </x:c>
      <x:c r="H68" s="30" t="n">
        <x:f>ROUND(G68,0)</x:f>
        <x:v>4</x:v>
      </x:c>
      <x:c r="I68" s="28" t="n">
        <x:f>IF(A68&lt;=15,'Anchor Points'!$F$2+(A68-'Anchor Points'!$A$2)/('Anchor Points'!$A$3-'Anchor Points'!$A$2)*('Anchor Points'!$F$3-'Anchor Points'!$F$2),IF(A68&lt;=25,'Anchor Points'!$F$3+(A68-'Anchor Points'!$A$3)/('Anchor Points'!$A$4-'Anchor Points'!$A$3)*('Anchor Points'!$F$4-'Anchor Points'!$F$3),IF(A68&lt;=40,'Anchor Points'!$F$4+(A68-'Anchor Points'!$A$4)/('Anchor Points'!$A$5-'Anchor Points'!$A$4)*('Anchor Points'!$F$5-'Anchor Points'!$F$4),IF(A68&lt;=55,'Anchor Points'!$F$5+(A68-'Anchor Points'!$A$5)/('Anchor Points'!$A$6-'Anchor Points'!$A$5)*('Anchor Points'!$F$6-'Anchor Points'!$F$5),IF(A68&lt;=70,'Anchor Points'!$F$6+(A68-'Anchor Points'!$A$6)/('Anchor Points'!$A$7-'Anchor Points'!$A$6)*('Anchor Points'!$F$7-'Anchor Points'!$F$6),IF(A68&lt;=90,'Anchor Points'!$F$7+(A68-'Anchor Points'!$A$7)/('Anchor Points'!$A$8-'Anchor Points'!$A$7)*('Anchor Points'!$F$8-'Anchor Points'!$F$7),'Anchor Points'!$F$8+(A68-'Anchor Points'!$A$8)/('Anchor Points'!$A$9-'Anchor Points'!$A$8)*('Anchor Points'!$F$9-'Anchor Points'!$F$8)))))))</x:f>
        <x:v>20.466666666666665</x:v>
      </x:c>
      <x:c r="J68" s="28" t="n">
        <x:v>8</x:v>
      </x:c>
      <x:c r="K68" s="56" t="n">
        <x:v>9</x:v>
      </x:c>
      <x:c r="L68" s="52" t="n">
        <x:v>10</x:v>
      </x:c>
      <x:c r="M68" s="52" t="n">
        <x:v>60</x:v>
      </x:c>
      <x:c r="N68" s="56" t="n">
        <x:v>65</x:v>
      </x:c>
      <x:c r="O68" s="28" t="n">
        <x:v>70</x:v>
      </x:c>
      <x:c r="P68" s="28" t="n">
        <x:v>70</x:v>
      </x:c>
      <x:c r="Q68" s="55" t="n">
        <x:v>80</x:v>
      </x:c>
      <x:c r="R68" s="28" t="n">
        <x:v>90</x:v>
      </x:c>
      <x:c r="S68" s="28" t="n">
        <x:v>12</x:v>
      </x:c>
      <x:c r="T68" s="28" t="n">
        <x:v>15</x:v>
      </x:c>
      <x:c r="U68" s="55" t="n">
        <x:v>18</x:v>
      </x:c>
      <x:c r="V68" s="28" t="n">
        <x:v>697</x:v>
      </x:c>
      <x:c r="W68" s="55" t="n">
        <x:v>895</x:v>
      </x:c>
      <x:c r="X68" s="28" t="n">
        <x:v>1078</x:v>
      </x:c>
    </x:row>
    <x:row r="69">
      <x:c r="A69" s="30" t="n">
        <x:v>67</x:v>
      </x:c>
      <x:c r="B69" s="11" t="str">
        <x:f>IF(A69&lt;=15,"Seedling",IF(A69&lt;=25,"Establishment",IF(A69&lt;=40,"Vegetative Growth",IF(A69&lt;=55,"Flowering &amp; Initial Fruit Set",IF(A69&lt;=80,"Fruit Enlargement",IF(A69&lt;=95,"Ripening","Harvesting"))))))</x:f>
        <x:v>Fruit Enlargement</x:v>
      </x:c>
      <x:c r="C69" s="28" t="n">
        <x:f>IF(A69&lt;=15,'Anchor Points'!$B$2+(A69-'Anchor Points'!$A$2)/('Anchor Points'!$A$3-'Anchor Points'!$A$2)*('Anchor Points'!$B$3-'Anchor Points'!$B$2),IF(A69&lt;=25,'Anchor Points'!$B$3+(A69-'Anchor Points'!$A$3)/('Anchor Points'!$A$4-'Anchor Points'!$A$3)*('Anchor Points'!$B$4-'Anchor Points'!$B$3),IF(A69&lt;=40,'Anchor Points'!$B$4+(A69-'Anchor Points'!$A$4)/('Anchor Points'!$A$5-'Anchor Points'!$A$4)*('Anchor Points'!$B$5-'Anchor Points'!$B$4),IF(A69&lt;=55,'Anchor Points'!$B$5+(A69-'Anchor Points'!$A$5)/('Anchor Points'!$A$6-'Anchor Points'!$A$5)*('Anchor Points'!$B$6-'Anchor Points'!$B$5),IF(A69&lt;=70,'Anchor Points'!$B$6+(A69-'Anchor Points'!$A$6)/('Anchor Points'!$A$7-'Anchor Points'!$A$6)*('Anchor Points'!$B$7-'Anchor Points'!$B$6),IF(A69&lt;=90,'Anchor Points'!$B$7+(A69-'Anchor Points'!$A$7)/('Anchor Points'!$A$8-'Anchor Points'!$A$7)*('Anchor Points'!$B$8-'Anchor Points'!$B$7),'Anchor Points'!$B$8+(A69-'Anchor Points'!$A$8)/('Anchor Points'!$A$9-'Anchor Points'!$A$8)*('Anchor Points'!$B$9-'Anchor Points'!$B$8)))))))</x:f>
        <x:v>69.2</x:v>
      </x:c>
      <x:c r="D69" s="28" t="n">
        <x:f>IF(A69&lt;=15,'Anchor Points'!$C$2+(A69-'Anchor Points'!$A$2)/('Anchor Points'!$A$3-'Anchor Points'!$A$2)*('Anchor Points'!$C$3-'Anchor Points'!$C$2),IF(A69&lt;=25,'Anchor Points'!$C$3+(A69-'Anchor Points'!$A$3)/('Anchor Points'!$A$4-'Anchor Points'!$A$3)*('Anchor Points'!$C$4-'Anchor Points'!$C$3),IF(A69&lt;=40,'Anchor Points'!$C$4+(A69-'Anchor Points'!$A$4)/('Anchor Points'!$A$5-'Anchor Points'!$A$4)*('Anchor Points'!$C$5-'Anchor Points'!$C$4),IF(A69&lt;=55,'Anchor Points'!$C$5+(A69-'Anchor Points'!$A$5)/('Anchor Points'!$A$6-'Anchor Points'!$A$5)*('Anchor Points'!$C$6-'Anchor Points'!$C$5),IF(A69&lt;=70,'Anchor Points'!$C$6+(A69-'Anchor Points'!$A$6)/('Anchor Points'!$A$7-'Anchor Points'!$A$6)*('Anchor Points'!$C$7-'Anchor Points'!$C$6),IF(A69&lt;=90,'Anchor Points'!$C$7+(A69-'Anchor Points'!$A$7)/('Anchor Points'!$A$8-'Anchor Points'!$A$7)*('Anchor Points'!$C$8-'Anchor Points'!$C$7),'Anchor Points'!$C$8+(A69-'Anchor Points'!$A$8)/('Anchor Points'!$A$9-'Anchor Points'!$A$8)*('Anchor Points'!$C$9-'Anchor Points'!$C$8)))))))</x:f>
        <x:v>61</x:v>
      </x:c>
      <x:c r="E69" s="28" t="n">
        <x:f>IF(A69&lt;=15,'Anchor Points'!$D$2+(A69-'Anchor Points'!$A$2)/('Anchor Points'!$A$3-'Anchor Points'!$A$2)*('Anchor Points'!$D$3-'Anchor Points'!$D$2),IF(A69&lt;=25,'Anchor Points'!$D$3+(A69-'Anchor Points'!$A$3)/('Anchor Points'!$A$4-'Anchor Points'!$A$3)*('Anchor Points'!$D$4-'Anchor Points'!$D$3),IF(A69&lt;=40,'Anchor Points'!$D$4+(A69-'Anchor Points'!$A$4)/('Anchor Points'!$A$5-'Anchor Points'!$A$4)*('Anchor Points'!$D$5-'Anchor Points'!$D$4),IF(A69&lt;=55,'Anchor Points'!$D$5+(A69-'Anchor Points'!$A$5)/('Anchor Points'!$A$6-'Anchor Points'!$A$5)*('Anchor Points'!$D$6-'Anchor Points'!$D$5),IF(A69&lt;=70,'Anchor Points'!$D$6+(A69-'Anchor Points'!$A$6)/('Anchor Points'!$A$7-'Anchor Points'!$A$6)*('Anchor Points'!$D$7-'Anchor Points'!$D$6),IF(A69&lt;=90,'Anchor Points'!$D$7+(A69-'Anchor Points'!$A$7)/('Anchor Points'!$A$8-'Anchor Points'!$A$7)*('Anchor Points'!$D$8-'Anchor Points'!$D$7),'Anchor Points'!$D$8+(A69-'Anchor Points'!$A$8)/('Anchor Points'!$A$9-'Anchor Points'!$A$8)*('Anchor Points'!$D$9-'Anchor Points'!$D$8)))))))</x:f>
        <x:v>11</x:v>
      </x:c>
      <x:c r="F69" s="30" t="n">
        <x:f>ROUND(E69,0)</x:f>
        <x:v>11</x:v>
      </x:c>
      <x:c r="G69" s="28" t="n">
        <x:f>IF(A69&lt;=15,'Anchor Points'!$E$2+(A69-'Anchor Points'!$A$2)/('Anchor Points'!$A$3-'Anchor Points'!$A$2)*('Anchor Points'!$E$3-'Anchor Points'!$E$2),IF(A69&lt;=25,'Anchor Points'!$E$3+(A69-'Anchor Points'!$A$3)/('Anchor Points'!$A$4-'Anchor Points'!$A$3)*('Anchor Points'!$E$4-'Anchor Points'!$E$3),IF(A69&lt;=40,'Anchor Points'!$E$4+(A69-'Anchor Points'!$A$4)/('Anchor Points'!$A$5-'Anchor Points'!$A$4)*('Anchor Points'!$E$5-'Anchor Points'!$E$4),IF(A69&lt;=55,'Anchor Points'!$E$5+(A69-'Anchor Points'!$A$5)/('Anchor Points'!$A$6-'Anchor Points'!$A$5)*('Anchor Points'!$E$6-'Anchor Points'!$E$5),IF(A69&lt;=70,'Anchor Points'!$E$6+(A69-'Anchor Points'!$A$6)/('Anchor Points'!$A$7-'Anchor Points'!$A$6)*('Anchor Points'!$E$7-'Anchor Points'!$E$6),IF(A69&lt;=90,'Anchor Points'!$E$7+(A69-'Anchor Points'!$A$7)/('Anchor Points'!$A$8-'Anchor Points'!$A$7)*('Anchor Points'!$E$8-'Anchor Points'!$E$7),'Anchor Points'!$E$8+(A69-'Anchor Points'!$A$8)/('Anchor Points'!$A$9-'Anchor Points'!$A$8)*('Anchor Points'!$E$9-'Anchor Points'!$E$8)))))))</x:f>
        <x:v>4.2</x:v>
      </x:c>
      <x:c r="H69" s="30" t="n">
        <x:f>ROUND(G69,0)</x:f>
        <x:v>4</x:v>
      </x:c>
      <x:c r="I69" s="28" t="n">
        <x:f>IF(A69&lt;=15,'Anchor Points'!$F$2+(A69-'Anchor Points'!$A$2)/('Anchor Points'!$A$3-'Anchor Points'!$A$2)*('Anchor Points'!$F$3-'Anchor Points'!$F$2),IF(A69&lt;=25,'Anchor Points'!$F$3+(A69-'Anchor Points'!$A$3)/('Anchor Points'!$A$4-'Anchor Points'!$A$3)*('Anchor Points'!$F$4-'Anchor Points'!$F$3),IF(A69&lt;=40,'Anchor Points'!$F$4+(A69-'Anchor Points'!$A$4)/('Anchor Points'!$A$5-'Anchor Points'!$A$4)*('Anchor Points'!$F$5-'Anchor Points'!$F$4),IF(A69&lt;=55,'Anchor Points'!$F$5+(A69-'Anchor Points'!$A$5)/('Anchor Points'!$A$6-'Anchor Points'!$A$5)*('Anchor Points'!$F$6-'Anchor Points'!$F$5),IF(A69&lt;=70,'Anchor Points'!$F$6+(A69-'Anchor Points'!$A$6)/('Anchor Points'!$A$7-'Anchor Points'!$A$6)*('Anchor Points'!$F$7-'Anchor Points'!$F$6),IF(A69&lt;=90,'Anchor Points'!$F$7+(A69-'Anchor Points'!$A$7)/('Anchor Points'!$A$8-'Anchor Points'!$A$7)*('Anchor Points'!$F$8-'Anchor Points'!$F$7),'Anchor Points'!$F$8+(A69-'Anchor Points'!$A$8)/('Anchor Points'!$A$9-'Anchor Points'!$A$8)*('Anchor Points'!$F$9-'Anchor Points'!$F$8)))))))</x:f>
        <x:v>21.6</x:v>
      </x:c>
      <x:c r="J69" s="28" t="n">
        <x:v>8</x:v>
      </x:c>
      <x:c r="K69" s="56" t="n">
        <x:v>9</x:v>
      </x:c>
      <x:c r="L69" s="52" t="n">
        <x:v>10</x:v>
      </x:c>
      <x:c r="M69" s="52" t="n">
        <x:v>60</x:v>
      </x:c>
      <x:c r="N69" s="56" t="n">
        <x:v>65</x:v>
      </x:c>
      <x:c r="O69" s="28" t="n">
        <x:v>70</x:v>
      </x:c>
      <x:c r="P69" s="28" t="n">
        <x:v>70</x:v>
      </x:c>
      <x:c r="Q69" s="55" t="n">
        <x:v>80</x:v>
      </x:c>
      <x:c r="R69" s="28" t="n">
        <x:v>90</x:v>
      </x:c>
      <x:c r="S69" s="28" t="n">
        <x:v>12</x:v>
      </x:c>
      <x:c r="T69" s="28" t="n">
        <x:v>15</x:v>
      </x:c>
      <x:c r="U69" s="55" t="n">
        <x:v>18</x:v>
      </x:c>
      <x:c r="V69" s="28" t="n">
        <x:v>709</x:v>
      </x:c>
      <x:c r="W69" s="55" t="n">
        <x:v>910</x:v>
      </x:c>
      <x:c r="X69" s="28" t="n">
        <x:v>1096</x:v>
      </x:c>
    </x:row>
    <x:row r="70">
      <x:c r="A70" s="30" t="n">
        <x:v>68</x:v>
      </x:c>
      <x:c r="B70" s="11" t="str">
        <x:f>IF(A70&lt;=15,"Seedling",IF(A70&lt;=25,"Establishment",IF(A70&lt;=40,"Vegetative Growth",IF(A70&lt;=55,"Flowering &amp; Initial Fruit Set",IF(A70&lt;=80,"Fruit Enlargement",IF(A70&lt;=95,"Ripening","Harvesting"))))))</x:f>
        <x:v>Fruit Enlargement</x:v>
      </x:c>
      <x:c r="C70" s="28" t="n">
        <x:f>IF(A70&lt;=15,'Anchor Points'!$B$2+(A70-'Anchor Points'!$A$2)/('Anchor Points'!$A$3-'Anchor Points'!$A$2)*('Anchor Points'!$B$3-'Anchor Points'!$B$2),IF(A70&lt;=25,'Anchor Points'!$B$3+(A70-'Anchor Points'!$A$3)/('Anchor Points'!$A$4-'Anchor Points'!$A$3)*('Anchor Points'!$B$4-'Anchor Points'!$B$3),IF(A70&lt;=40,'Anchor Points'!$B$4+(A70-'Anchor Points'!$A$4)/('Anchor Points'!$A$5-'Anchor Points'!$A$4)*('Anchor Points'!$B$5-'Anchor Points'!$B$4),IF(A70&lt;=55,'Anchor Points'!$B$5+(A70-'Anchor Points'!$A$5)/('Anchor Points'!$A$6-'Anchor Points'!$A$5)*('Anchor Points'!$B$6-'Anchor Points'!$B$5),IF(A70&lt;=70,'Anchor Points'!$B$6+(A70-'Anchor Points'!$A$6)/('Anchor Points'!$A$7-'Anchor Points'!$A$6)*('Anchor Points'!$B$7-'Anchor Points'!$B$6),IF(A70&lt;=90,'Anchor Points'!$B$7+(A70-'Anchor Points'!$A$7)/('Anchor Points'!$A$8-'Anchor Points'!$A$7)*('Anchor Points'!$B$8-'Anchor Points'!$B$7),'Anchor Points'!$B$8+(A70-'Anchor Points'!$A$8)/('Anchor Points'!$A$9-'Anchor Points'!$A$8)*('Anchor Points'!$B$9-'Anchor Points'!$B$8)))))))</x:f>
        <x:v>70.13333333333333</x:v>
      </x:c>
      <x:c r="D70" s="28" t="n">
        <x:f>IF(A70&lt;=15,'Anchor Points'!$C$2+(A70-'Anchor Points'!$A$2)/('Anchor Points'!$A$3-'Anchor Points'!$A$2)*('Anchor Points'!$C$3-'Anchor Points'!$C$2),IF(A70&lt;=25,'Anchor Points'!$C$3+(A70-'Anchor Points'!$A$3)/('Anchor Points'!$A$4-'Anchor Points'!$A$3)*('Anchor Points'!$C$4-'Anchor Points'!$C$3),IF(A70&lt;=40,'Anchor Points'!$C$4+(A70-'Anchor Points'!$A$4)/('Anchor Points'!$A$5-'Anchor Points'!$A$4)*('Anchor Points'!$C$5-'Anchor Points'!$C$4),IF(A70&lt;=55,'Anchor Points'!$C$5+(A70-'Anchor Points'!$A$5)/('Anchor Points'!$A$6-'Anchor Points'!$A$5)*('Anchor Points'!$C$6-'Anchor Points'!$C$5),IF(A70&lt;=70,'Anchor Points'!$C$6+(A70-'Anchor Points'!$A$6)/('Anchor Points'!$A$7-'Anchor Points'!$A$6)*('Anchor Points'!$C$7-'Anchor Points'!$C$6),IF(A70&lt;=90,'Anchor Points'!$C$7+(A70-'Anchor Points'!$A$7)/('Anchor Points'!$A$8-'Anchor Points'!$A$7)*('Anchor Points'!$C$8-'Anchor Points'!$C$7),'Anchor Points'!$C$8+(A70-'Anchor Points'!$A$8)/('Anchor Points'!$A$9-'Anchor Points'!$A$8)*('Anchor Points'!$C$9-'Anchor Points'!$C$8)))))))</x:f>
        <x:v>62.333333333333336</x:v>
      </x:c>
      <x:c r="E70" s="28" t="n">
        <x:f>IF(A70&lt;=15,'Anchor Points'!$D$2+(A70-'Anchor Points'!$A$2)/('Anchor Points'!$A$3-'Anchor Points'!$A$2)*('Anchor Points'!$D$3-'Anchor Points'!$D$2),IF(A70&lt;=25,'Anchor Points'!$D$3+(A70-'Anchor Points'!$A$3)/('Anchor Points'!$A$4-'Anchor Points'!$A$3)*('Anchor Points'!$D$4-'Anchor Points'!$D$3),IF(A70&lt;=40,'Anchor Points'!$D$4+(A70-'Anchor Points'!$A$4)/('Anchor Points'!$A$5-'Anchor Points'!$A$4)*('Anchor Points'!$D$5-'Anchor Points'!$D$4),IF(A70&lt;=55,'Anchor Points'!$D$5+(A70-'Anchor Points'!$A$5)/('Anchor Points'!$A$6-'Anchor Points'!$A$5)*('Anchor Points'!$D$6-'Anchor Points'!$D$5),IF(A70&lt;=70,'Anchor Points'!$D$6+(A70-'Anchor Points'!$A$6)/('Anchor Points'!$A$7-'Anchor Points'!$A$6)*('Anchor Points'!$D$7-'Anchor Points'!$D$6),IF(A70&lt;=90,'Anchor Points'!$D$7+(A70-'Anchor Points'!$A$7)/('Anchor Points'!$A$8-'Anchor Points'!$A$7)*('Anchor Points'!$D$8-'Anchor Points'!$D$7),'Anchor Points'!$D$8+(A70-'Anchor Points'!$A$8)/('Anchor Points'!$A$9-'Anchor Points'!$A$8)*('Anchor Points'!$D$9-'Anchor Points'!$D$8)))))))</x:f>
        <x:v>11.333333333333334</x:v>
      </x:c>
      <x:c r="F70" s="30" t="n">
        <x:f>ROUND(E70,0)</x:f>
        <x:v>11</x:v>
      </x:c>
      <x:c r="G70" s="28" t="n">
        <x:f>IF(A70&lt;=15,'Anchor Points'!$E$2+(A70-'Anchor Points'!$A$2)/('Anchor Points'!$A$3-'Anchor Points'!$A$2)*('Anchor Points'!$E$3-'Anchor Points'!$E$2),IF(A70&lt;=25,'Anchor Points'!$E$3+(A70-'Anchor Points'!$A$3)/('Anchor Points'!$A$4-'Anchor Points'!$A$3)*('Anchor Points'!$E$4-'Anchor Points'!$E$3),IF(A70&lt;=40,'Anchor Points'!$E$4+(A70-'Anchor Points'!$A$4)/('Anchor Points'!$A$5-'Anchor Points'!$A$4)*('Anchor Points'!$E$5-'Anchor Points'!$E$4),IF(A70&lt;=55,'Anchor Points'!$E$5+(A70-'Anchor Points'!$A$5)/('Anchor Points'!$A$6-'Anchor Points'!$A$5)*('Anchor Points'!$E$6-'Anchor Points'!$E$5),IF(A70&lt;=70,'Anchor Points'!$E$6+(A70-'Anchor Points'!$A$6)/('Anchor Points'!$A$7-'Anchor Points'!$A$6)*('Anchor Points'!$E$7-'Anchor Points'!$E$6),IF(A70&lt;=90,'Anchor Points'!$E$7+(A70-'Anchor Points'!$A$7)/('Anchor Points'!$A$8-'Anchor Points'!$A$7)*('Anchor Points'!$E$8-'Anchor Points'!$E$7),'Anchor Points'!$E$8+(A70-'Anchor Points'!$A$8)/('Anchor Points'!$A$9-'Anchor Points'!$A$8)*('Anchor Points'!$E$9-'Anchor Points'!$E$8)))))))</x:f>
        <x:v>4.466666666666667</x:v>
      </x:c>
      <x:c r="H70" s="30" t="n">
        <x:f>ROUND(G70,0)</x:f>
        <x:v>4</x:v>
      </x:c>
      <x:c r="I70" s="28" t="n">
        <x:f>IF(A70&lt;=15,'Anchor Points'!$F$2+(A70-'Anchor Points'!$A$2)/('Anchor Points'!$A$3-'Anchor Points'!$A$2)*('Anchor Points'!$F$3-'Anchor Points'!$F$2),IF(A70&lt;=25,'Anchor Points'!$F$3+(A70-'Anchor Points'!$A$3)/('Anchor Points'!$A$4-'Anchor Points'!$A$3)*('Anchor Points'!$F$4-'Anchor Points'!$F$3),IF(A70&lt;=40,'Anchor Points'!$F$4+(A70-'Anchor Points'!$A$4)/('Anchor Points'!$A$5-'Anchor Points'!$A$4)*('Anchor Points'!$F$5-'Anchor Points'!$F$4),IF(A70&lt;=55,'Anchor Points'!$F$5+(A70-'Anchor Points'!$A$5)/('Anchor Points'!$A$6-'Anchor Points'!$A$5)*('Anchor Points'!$F$6-'Anchor Points'!$F$5),IF(A70&lt;=70,'Anchor Points'!$F$6+(A70-'Anchor Points'!$A$6)/('Anchor Points'!$A$7-'Anchor Points'!$A$6)*('Anchor Points'!$F$7-'Anchor Points'!$F$6),IF(A70&lt;=90,'Anchor Points'!$F$7+(A70-'Anchor Points'!$A$7)/('Anchor Points'!$A$8-'Anchor Points'!$A$7)*('Anchor Points'!$F$8-'Anchor Points'!$F$7),'Anchor Points'!$F$8+(A70-'Anchor Points'!$A$8)/('Anchor Points'!$A$9-'Anchor Points'!$A$8)*('Anchor Points'!$F$9-'Anchor Points'!$F$8)))))))</x:f>
        <x:v>22.733333333333334</x:v>
      </x:c>
      <x:c r="J70" s="28" t="n">
        <x:v>8</x:v>
      </x:c>
      <x:c r="K70" s="56" t="n">
        <x:v>9</x:v>
      </x:c>
      <x:c r="L70" s="52" t="n">
        <x:v>10</x:v>
      </x:c>
      <x:c r="M70" s="52" t="n">
        <x:v>60</x:v>
      </x:c>
      <x:c r="N70" s="56" t="n">
        <x:v>65</x:v>
      </x:c>
      <x:c r="O70" s="28" t="n">
        <x:v>70</x:v>
      </x:c>
      <x:c r="P70" s="28" t="n">
        <x:v>70</x:v>
      </x:c>
      <x:c r="Q70" s="55" t="n">
        <x:v>80</x:v>
      </x:c>
      <x:c r="R70" s="28" t="n">
        <x:v>90</x:v>
      </x:c>
      <x:c r="S70" s="28" t="n">
        <x:v>12</x:v>
      </x:c>
      <x:c r="T70" s="28" t="n">
        <x:v>15</x:v>
      </x:c>
      <x:c r="U70" s="55" t="n">
        <x:v>18</x:v>
      </x:c>
      <x:c r="V70" s="28" t="n">
        <x:v>721</x:v>
      </x:c>
      <x:c r="W70" s="55" t="n">
        <x:v>925</x:v>
      </x:c>
      <x:c r="X70" s="28" t="n">
        <x:v>1114</x:v>
      </x:c>
    </x:row>
    <x:row r="71">
      <x:c r="A71" s="30" t="n">
        <x:v>69</x:v>
      </x:c>
      <x:c r="B71" s="11" t="str">
        <x:f>IF(A71&lt;=15,"Seedling",IF(A71&lt;=25,"Establishment",IF(A71&lt;=40,"Vegetative Growth",IF(A71&lt;=55,"Flowering &amp; Initial Fruit Set",IF(A71&lt;=80,"Fruit Enlargement",IF(A71&lt;=95,"Ripening","Harvesting"))))))</x:f>
        <x:v>Fruit Enlargement</x:v>
      </x:c>
      <x:c r="C71" s="28" t="n">
        <x:f>IF(A71&lt;=15,'Anchor Points'!$B$2+(A71-'Anchor Points'!$A$2)/('Anchor Points'!$A$3-'Anchor Points'!$A$2)*('Anchor Points'!$B$3-'Anchor Points'!$B$2),IF(A71&lt;=25,'Anchor Points'!$B$3+(A71-'Anchor Points'!$A$3)/('Anchor Points'!$A$4-'Anchor Points'!$A$3)*('Anchor Points'!$B$4-'Anchor Points'!$B$3),IF(A71&lt;=40,'Anchor Points'!$B$4+(A71-'Anchor Points'!$A$4)/('Anchor Points'!$A$5-'Anchor Points'!$A$4)*('Anchor Points'!$B$5-'Anchor Points'!$B$4),IF(A71&lt;=55,'Anchor Points'!$B$5+(A71-'Anchor Points'!$A$5)/('Anchor Points'!$A$6-'Anchor Points'!$A$5)*('Anchor Points'!$B$6-'Anchor Points'!$B$5),IF(A71&lt;=70,'Anchor Points'!$B$6+(A71-'Anchor Points'!$A$6)/('Anchor Points'!$A$7-'Anchor Points'!$A$6)*('Anchor Points'!$B$7-'Anchor Points'!$B$6),IF(A71&lt;=90,'Anchor Points'!$B$7+(A71-'Anchor Points'!$A$7)/('Anchor Points'!$A$8-'Anchor Points'!$A$7)*('Anchor Points'!$B$8-'Anchor Points'!$B$7),'Anchor Points'!$B$8+(A71-'Anchor Points'!$A$8)/('Anchor Points'!$A$9-'Anchor Points'!$A$8)*('Anchor Points'!$B$9-'Anchor Points'!$B$8)))))))</x:f>
        <x:v>71.06666666666666</x:v>
      </x:c>
      <x:c r="D71" s="28" t="n">
        <x:f>IF(A71&lt;=15,'Anchor Points'!$C$2+(A71-'Anchor Points'!$A$2)/('Anchor Points'!$A$3-'Anchor Points'!$A$2)*('Anchor Points'!$C$3-'Anchor Points'!$C$2),IF(A71&lt;=25,'Anchor Points'!$C$3+(A71-'Anchor Points'!$A$3)/('Anchor Points'!$A$4-'Anchor Points'!$A$3)*('Anchor Points'!$C$4-'Anchor Points'!$C$3),IF(A71&lt;=40,'Anchor Points'!$C$4+(A71-'Anchor Points'!$A$4)/('Anchor Points'!$A$5-'Anchor Points'!$A$4)*('Anchor Points'!$C$5-'Anchor Points'!$C$4),IF(A71&lt;=55,'Anchor Points'!$C$5+(A71-'Anchor Points'!$A$5)/('Anchor Points'!$A$6-'Anchor Points'!$A$5)*('Anchor Points'!$C$6-'Anchor Points'!$C$5),IF(A71&lt;=70,'Anchor Points'!$C$6+(A71-'Anchor Points'!$A$6)/('Anchor Points'!$A$7-'Anchor Points'!$A$6)*('Anchor Points'!$C$7-'Anchor Points'!$C$6),IF(A71&lt;=90,'Anchor Points'!$C$7+(A71-'Anchor Points'!$A$7)/('Anchor Points'!$A$8-'Anchor Points'!$A$7)*('Anchor Points'!$C$8-'Anchor Points'!$C$7),'Anchor Points'!$C$8+(A71-'Anchor Points'!$A$8)/('Anchor Points'!$A$9-'Anchor Points'!$A$8)*('Anchor Points'!$C$9-'Anchor Points'!$C$8)))))))</x:f>
        <x:v>63.66666666666667</x:v>
      </x:c>
      <x:c r="E71" s="28" t="n">
        <x:f>IF(A71&lt;=15,'Anchor Points'!$D$2+(A71-'Anchor Points'!$A$2)/('Anchor Points'!$A$3-'Anchor Points'!$A$2)*('Anchor Points'!$D$3-'Anchor Points'!$D$2),IF(A71&lt;=25,'Anchor Points'!$D$3+(A71-'Anchor Points'!$A$3)/('Anchor Points'!$A$4-'Anchor Points'!$A$3)*('Anchor Points'!$D$4-'Anchor Points'!$D$3),IF(A71&lt;=40,'Anchor Points'!$D$4+(A71-'Anchor Points'!$A$4)/('Anchor Points'!$A$5-'Anchor Points'!$A$4)*('Anchor Points'!$D$5-'Anchor Points'!$D$4),IF(A71&lt;=55,'Anchor Points'!$D$5+(A71-'Anchor Points'!$A$5)/('Anchor Points'!$A$6-'Anchor Points'!$A$5)*('Anchor Points'!$D$6-'Anchor Points'!$D$5),IF(A71&lt;=70,'Anchor Points'!$D$6+(A71-'Anchor Points'!$A$6)/('Anchor Points'!$A$7-'Anchor Points'!$A$6)*('Anchor Points'!$D$7-'Anchor Points'!$D$6),IF(A71&lt;=90,'Anchor Points'!$D$7+(A71-'Anchor Points'!$A$7)/('Anchor Points'!$A$8-'Anchor Points'!$A$7)*('Anchor Points'!$D$8-'Anchor Points'!$D$7),'Anchor Points'!$D$8+(A71-'Anchor Points'!$A$8)/('Anchor Points'!$A$9-'Anchor Points'!$A$8)*('Anchor Points'!$D$9-'Anchor Points'!$D$8)))))))</x:f>
        <x:v>11.666666666666668</x:v>
      </x:c>
      <x:c r="F71" s="30" t="n">
        <x:f>ROUND(E71,0)</x:f>
        <x:v>12</x:v>
      </x:c>
      <x:c r="G71" s="28" t="n">
        <x:f>IF(A71&lt;=15,'Anchor Points'!$E$2+(A71-'Anchor Points'!$A$2)/('Anchor Points'!$A$3-'Anchor Points'!$A$2)*('Anchor Points'!$E$3-'Anchor Points'!$E$2),IF(A71&lt;=25,'Anchor Points'!$E$3+(A71-'Anchor Points'!$A$3)/('Anchor Points'!$A$4-'Anchor Points'!$A$3)*('Anchor Points'!$E$4-'Anchor Points'!$E$3),IF(A71&lt;=40,'Anchor Points'!$E$4+(A71-'Anchor Points'!$A$4)/('Anchor Points'!$A$5-'Anchor Points'!$A$4)*('Anchor Points'!$E$5-'Anchor Points'!$E$4),IF(A71&lt;=55,'Anchor Points'!$E$5+(A71-'Anchor Points'!$A$5)/('Anchor Points'!$A$6-'Anchor Points'!$A$5)*('Anchor Points'!$E$6-'Anchor Points'!$E$5),IF(A71&lt;=70,'Anchor Points'!$E$6+(A71-'Anchor Points'!$A$6)/('Anchor Points'!$A$7-'Anchor Points'!$A$6)*('Anchor Points'!$E$7-'Anchor Points'!$E$6),IF(A71&lt;=90,'Anchor Points'!$E$7+(A71-'Anchor Points'!$A$7)/('Anchor Points'!$A$8-'Anchor Points'!$A$7)*('Anchor Points'!$E$8-'Anchor Points'!$E$7),'Anchor Points'!$E$8+(A71-'Anchor Points'!$A$8)/('Anchor Points'!$A$9-'Anchor Points'!$A$8)*('Anchor Points'!$E$9-'Anchor Points'!$E$8)))))))</x:f>
        <x:v>4.733333333333333</x:v>
      </x:c>
      <x:c r="H71" s="30" t="n">
        <x:f>ROUND(G71,0)</x:f>
        <x:v>5</x:v>
      </x:c>
      <x:c r="I71" s="28" t="n">
        <x:f>IF(A71&lt;=15,'Anchor Points'!$F$2+(A71-'Anchor Points'!$A$2)/('Anchor Points'!$A$3-'Anchor Points'!$A$2)*('Anchor Points'!$F$3-'Anchor Points'!$F$2),IF(A71&lt;=25,'Anchor Points'!$F$3+(A71-'Anchor Points'!$A$3)/('Anchor Points'!$A$4-'Anchor Points'!$A$3)*('Anchor Points'!$F$4-'Anchor Points'!$F$3),IF(A71&lt;=40,'Anchor Points'!$F$4+(A71-'Anchor Points'!$A$4)/('Anchor Points'!$A$5-'Anchor Points'!$A$4)*('Anchor Points'!$F$5-'Anchor Points'!$F$4),IF(A71&lt;=55,'Anchor Points'!$F$5+(A71-'Anchor Points'!$A$5)/('Anchor Points'!$A$6-'Anchor Points'!$A$5)*('Anchor Points'!$F$6-'Anchor Points'!$F$5),IF(A71&lt;=70,'Anchor Points'!$F$6+(A71-'Anchor Points'!$A$6)/('Anchor Points'!$A$7-'Anchor Points'!$A$6)*('Anchor Points'!$F$7-'Anchor Points'!$F$6),IF(A71&lt;=90,'Anchor Points'!$F$7+(A71-'Anchor Points'!$A$7)/('Anchor Points'!$A$8-'Anchor Points'!$A$7)*('Anchor Points'!$F$8-'Anchor Points'!$F$7),'Anchor Points'!$F$8+(A71-'Anchor Points'!$A$8)/('Anchor Points'!$A$9-'Anchor Points'!$A$8)*('Anchor Points'!$F$9-'Anchor Points'!$F$8)))))))</x:f>
        <x:v>23.866666666666667</x:v>
      </x:c>
      <x:c r="J71" s="28" t="n">
        <x:v>8</x:v>
      </x:c>
      <x:c r="K71" s="56" t="n">
        <x:v>9</x:v>
      </x:c>
      <x:c r="L71" s="52" t="n">
        <x:v>10</x:v>
      </x:c>
      <x:c r="M71" s="52" t="n">
        <x:v>60</x:v>
      </x:c>
      <x:c r="N71" s="56" t="n">
        <x:v>65</x:v>
      </x:c>
      <x:c r="O71" s="28" t="n">
        <x:v>70</x:v>
      </x:c>
      <x:c r="P71" s="28" t="n">
        <x:v>70</x:v>
      </x:c>
      <x:c r="Q71" s="55" t="n">
        <x:v>80</x:v>
      </x:c>
      <x:c r="R71" s="28" t="n">
        <x:v>90</x:v>
      </x:c>
      <x:c r="S71" s="28" t="n">
        <x:v>12</x:v>
      </x:c>
      <x:c r="T71" s="28" t="n">
        <x:v>15</x:v>
      </x:c>
      <x:c r="U71" s="55" t="n">
        <x:v>18</x:v>
      </x:c>
      <x:c r="V71" s="28" t="n">
        <x:v>733</x:v>
      </x:c>
      <x:c r="W71" s="55" t="n">
        <x:v>940</x:v>
      </x:c>
      <x:c r="X71" s="28" t="n">
        <x:v>1132</x:v>
      </x:c>
    </x:row>
    <x:row r="72">
      <x:c r="A72" s="30" t="n">
        <x:v>70</x:v>
      </x:c>
      <x:c r="B72" s="11" t="str">
        <x:f>IF(A72&lt;=15,"Seedling",IF(A72&lt;=25,"Establishment",IF(A72&lt;=40,"Vegetative Growth",IF(A72&lt;=55,"Flowering &amp; Initial Fruit Set",IF(A72&lt;=80,"Fruit Enlargement",IF(A72&lt;=95,"Ripening","Harvesting"))))))</x:f>
        <x:v>Fruit Enlargement</x:v>
      </x:c>
      <x:c r="C72" s="28" t="n">
        <x:f>IF(A72&lt;=15,'Anchor Points'!$B$2+(A72-'Anchor Points'!$A$2)/('Anchor Points'!$A$3-'Anchor Points'!$A$2)*('Anchor Points'!$B$3-'Anchor Points'!$B$2),IF(A72&lt;=25,'Anchor Points'!$B$3+(A72-'Anchor Points'!$A$3)/('Anchor Points'!$A$4-'Anchor Points'!$A$3)*('Anchor Points'!$B$4-'Anchor Points'!$B$3),IF(A72&lt;=40,'Anchor Points'!$B$4+(A72-'Anchor Points'!$A$4)/('Anchor Points'!$A$5-'Anchor Points'!$A$4)*('Anchor Points'!$B$5-'Anchor Points'!$B$4),IF(A72&lt;=55,'Anchor Points'!$B$5+(A72-'Anchor Points'!$A$5)/('Anchor Points'!$A$6-'Anchor Points'!$A$5)*('Anchor Points'!$B$6-'Anchor Points'!$B$5),IF(A72&lt;=70,'Anchor Points'!$B$6+(A72-'Anchor Points'!$A$6)/('Anchor Points'!$A$7-'Anchor Points'!$A$6)*('Anchor Points'!$B$7-'Anchor Points'!$B$6),IF(A72&lt;=90,'Anchor Points'!$B$7+(A72-'Anchor Points'!$A$7)/('Anchor Points'!$A$8-'Anchor Points'!$A$7)*('Anchor Points'!$B$8-'Anchor Points'!$B$7),'Anchor Points'!$B$8+(A72-'Anchor Points'!$A$8)/('Anchor Points'!$A$9-'Anchor Points'!$A$8)*('Anchor Points'!$B$9-'Anchor Points'!$B$8)))))))</x:f>
        <x:v>72</x:v>
      </x:c>
      <x:c r="D72" s="28" t="n">
        <x:f>IF(A72&lt;=15,'Anchor Points'!$C$2+(A72-'Anchor Points'!$A$2)/('Anchor Points'!$A$3-'Anchor Points'!$A$2)*('Anchor Points'!$C$3-'Anchor Points'!$C$2),IF(A72&lt;=25,'Anchor Points'!$C$3+(A72-'Anchor Points'!$A$3)/('Anchor Points'!$A$4-'Anchor Points'!$A$3)*('Anchor Points'!$C$4-'Anchor Points'!$C$3),IF(A72&lt;=40,'Anchor Points'!$C$4+(A72-'Anchor Points'!$A$4)/('Anchor Points'!$A$5-'Anchor Points'!$A$4)*('Anchor Points'!$C$5-'Anchor Points'!$C$4),IF(A72&lt;=55,'Anchor Points'!$C$5+(A72-'Anchor Points'!$A$5)/('Anchor Points'!$A$6-'Anchor Points'!$A$5)*('Anchor Points'!$C$6-'Anchor Points'!$C$5),IF(A72&lt;=70,'Anchor Points'!$C$6+(A72-'Anchor Points'!$A$6)/('Anchor Points'!$A$7-'Anchor Points'!$A$6)*('Anchor Points'!$C$7-'Anchor Points'!$C$6),IF(A72&lt;=90,'Anchor Points'!$C$7+(A72-'Anchor Points'!$A$7)/('Anchor Points'!$A$8-'Anchor Points'!$A$7)*('Anchor Points'!$C$8-'Anchor Points'!$C$7),'Anchor Points'!$C$8+(A72-'Anchor Points'!$A$8)/('Anchor Points'!$A$9-'Anchor Points'!$A$8)*('Anchor Points'!$C$9-'Anchor Points'!$C$8)))))))</x:f>
        <x:v>65</x:v>
      </x:c>
      <x:c r="E72" s="28" t="n">
        <x:f>IF(A72&lt;=15,'Anchor Points'!$D$2+(A72-'Anchor Points'!$A$2)/('Anchor Points'!$A$3-'Anchor Points'!$A$2)*('Anchor Points'!$D$3-'Anchor Points'!$D$2),IF(A72&lt;=25,'Anchor Points'!$D$3+(A72-'Anchor Points'!$A$3)/('Anchor Points'!$A$4-'Anchor Points'!$A$3)*('Anchor Points'!$D$4-'Anchor Points'!$D$3),IF(A72&lt;=40,'Anchor Points'!$D$4+(A72-'Anchor Points'!$A$4)/('Anchor Points'!$A$5-'Anchor Points'!$A$4)*('Anchor Points'!$D$5-'Anchor Points'!$D$4),IF(A72&lt;=55,'Anchor Points'!$D$5+(A72-'Anchor Points'!$A$5)/('Anchor Points'!$A$6-'Anchor Points'!$A$5)*('Anchor Points'!$D$6-'Anchor Points'!$D$5),IF(A72&lt;=70,'Anchor Points'!$D$6+(A72-'Anchor Points'!$A$6)/('Anchor Points'!$A$7-'Anchor Points'!$A$6)*('Anchor Points'!$D$7-'Anchor Points'!$D$6),IF(A72&lt;=90,'Anchor Points'!$D$7+(A72-'Anchor Points'!$A$7)/('Anchor Points'!$A$8-'Anchor Points'!$A$7)*('Anchor Points'!$D$8-'Anchor Points'!$D$7),'Anchor Points'!$D$8+(A72-'Anchor Points'!$A$8)/('Anchor Points'!$A$9-'Anchor Points'!$A$8)*('Anchor Points'!$D$9-'Anchor Points'!$D$8)))))))</x:f>
        <x:v>12</x:v>
      </x:c>
      <x:c r="F72" s="30" t="n">
        <x:f>ROUND(E72,0)</x:f>
        <x:v>12</x:v>
      </x:c>
      <x:c r="G72" s="28" t="n">
        <x:f>IF(A72&lt;=15,'Anchor Points'!$E$2+(A72-'Anchor Points'!$A$2)/('Anchor Points'!$A$3-'Anchor Points'!$A$2)*('Anchor Points'!$E$3-'Anchor Points'!$E$2),IF(A72&lt;=25,'Anchor Points'!$E$3+(A72-'Anchor Points'!$A$3)/('Anchor Points'!$A$4-'Anchor Points'!$A$3)*('Anchor Points'!$E$4-'Anchor Points'!$E$3),IF(A72&lt;=40,'Anchor Points'!$E$4+(A72-'Anchor Points'!$A$4)/('Anchor Points'!$A$5-'Anchor Points'!$A$4)*('Anchor Points'!$E$5-'Anchor Points'!$E$4),IF(A72&lt;=55,'Anchor Points'!$E$5+(A72-'Anchor Points'!$A$5)/('Anchor Points'!$A$6-'Anchor Points'!$A$5)*('Anchor Points'!$E$6-'Anchor Points'!$E$5),IF(A72&lt;=70,'Anchor Points'!$E$6+(A72-'Anchor Points'!$A$6)/('Anchor Points'!$A$7-'Anchor Points'!$A$6)*('Anchor Points'!$E$7-'Anchor Points'!$E$6),IF(A72&lt;=90,'Anchor Points'!$E$7+(A72-'Anchor Points'!$A$7)/('Anchor Points'!$A$8-'Anchor Points'!$A$7)*('Anchor Points'!$E$8-'Anchor Points'!$E$7),'Anchor Points'!$E$8+(A72-'Anchor Points'!$A$8)/('Anchor Points'!$A$9-'Anchor Points'!$A$8)*('Anchor Points'!$E$9-'Anchor Points'!$E$8)))))))</x:f>
        <x:v>5</x:v>
      </x:c>
      <x:c r="H72" s="30" t="n">
        <x:f>ROUND(G72,0)</x:f>
        <x:v>5</x:v>
      </x:c>
      <x:c r="I72" s="28" t="n">
        <x:f>IF(A72&lt;=15,'Anchor Points'!$F$2+(A72-'Anchor Points'!$A$2)/('Anchor Points'!$A$3-'Anchor Points'!$A$2)*('Anchor Points'!$F$3-'Anchor Points'!$F$2),IF(A72&lt;=25,'Anchor Points'!$F$3+(A72-'Anchor Points'!$A$3)/('Anchor Points'!$A$4-'Anchor Points'!$A$3)*('Anchor Points'!$F$4-'Anchor Points'!$F$3),IF(A72&lt;=40,'Anchor Points'!$F$4+(A72-'Anchor Points'!$A$4)/('Anchor Points'!$A$5-'Anchor Points'!$A$4)*('Anchor Points'!$F$5-'Anchor Points'!$F$4),IF(A72&lt;=55,'Anchor Points'!$F$5+(A72-'Anchor Points'!$A$5)/('Anchor Points'!$A$6-'Anchor Points'!$A$5)*('Anchor Points'!$F$6-'Anchor Points'!$F$5),IF(A72&lt;=70,'Anchor Points'!$F$6+(A72-'Anchor Points'!$A$6)/('Anchor Points'!$A$7-'Anchor Points'!$A$6)*('Anchor Points'!$F$7-'Anchor Points'!$F$6),IF(A72&lt;=90,'Anchor Points'!$F$7+(A72-'Anchor Points'!$A$7)/('Anchor Points'!$A$8-'Anchor Points'!$A$7)*('Anchor Points'!$F$8-'Anchor Points'!$F$7),'Anchor Points'!$F$8+(A72-'Anchor Points'!$A$8)/('Anchor Points'!$A$9-'Anchor Points'!$A$8)*('Anchor Points'!$F$9-'Anchor Points'!$F$8)))))))</x:f>
        <x:v>25</x:v>
      </x:c>
      <x:c r="J72" s="28" t="n">
        <x:v>8</x:v>
      </x:c>
      <x:c r="K72" s="56" t="n">
        <x:v>9</x:v>
      </x:c>
      <x:c r="L72" s="52" t="n">
        <x:v>10</x:v>
      </x:c>
      <x:c r="M72" s="52" t="n">
        <x:v>60</x:v>
      </x:c>
      <x:c r="N72" s="56" t="n">
        <x:v>65</x:v>
      </x:c>
      <x:c r="O72" s="28" t="n">
        <x:v>70</x:v>
      </x:c>
      <x:c r="P72" s="28" t="n">
        <x:v>70</x:v>
      </x:c>
      <x:c r="Q72" s="55" t="n">
        <x:v>80</x:v>
      </x:c>
      <x:c r="R72" s="28" t="n">
        <x:v>90</x:v>
      </x:c>
      <x:c r="S72" s="28" t="n">
        <x:v>12</x:v>
      </x:c>
      <x:c r="T72" s="28" t="n">
        <x:v>15</x:v>
      </x:c>
      <x:c r="U72" s="55" t="n">
        <x:v>18</x:v>
      </x:c>
      <x:c r="V72" s="28" t="n">
        <x:v>745</x:v>
      </x:c>
      <x:c r="W72" s="55" t="n">
        <x:v>955</x:v>
      </x:c>
      <x:c r="X72" s="28" t="n">
        <x:v>1150</x:v>
      </x:c>
    </x:row>
    <x:row r="73">
      <x:c r="A73" s="30" t="n">
        <x:v>71</x:v>
      </x:c>
      <x:c r="B73" s="11" t="str">
        <x:f>IF(A73&lt;=15,"Seedling",IF(A73&lt;=25,"Establishment",IF(A73&lt;=40,"Vegetative Growth",IF(A73&lt;=55,"Flowering &amp; Initial Fruit Set",IF(A73&lt;=80,"Fruit Enlargement",IF(A73&lt;=95,"Ripening","Harvesting"))))))</x:f>
        <x:v>Fruit Enlargement</x:v>
      </x:c>
      <x:c r="C73" s="28" t="n">
        <x:f>IF(A73&lt;=15,'Anchor Points'!$B$2+(A73-'Anchor Points'!$A$2)/('Anchor Points'!$A$3-'Anchor Points'!$A$2)*('Anchor Points'!$B$3-'Anchor Points'!$B$2),IF(A73&lt;=25,'Anchor Points'!$B$3+(A73-'Anchor Points'!$A$3)/('Anchor Points'!$A$4-'Anchor Points'!$A$3)*('Anchor Points'!$B$4-'Anchor Points'!$B$3),IF(A73&lt;=40,'Anchor Points'!$B$4+(A73-'Anchor Points'!$A$4)/('Anchor Points'!$A$5-'Anchor Points'!$A$4)*('Anchor Points'!$B$5-'Anchor Points'!$B$4),IF(A73&lt;=55,'Anchor Points'!$B$5+(A73-'Anchor Points'!$A$5)/('Anchor Points'!$A$6-'Anchor Points'!$A$5)*('Anchor Points'!$B$6-'Anchor Points'!$B$5),IF(A73&lt;=70,'Anchor Points'!$B$6+(A73-'Anchor Points'!$A$6)/('Anchor Points'!$A$7-'Anchor Points'!$A$6)*('Anchor Points'!$B$7-'Anchor Points'!$B$6),IF(A73&lt;=90,'Anchor Points'!$B$7+(A73-'Anchor Points'!$A$7)/('Anchor Points'!$A$8-'Anchor Points'!$A$7)*('Anchor Points'!$B$8-'Anchor Points'!$B$7),'Anchor Points'!$B$8+(A73-'Anchor Points'!$A$8)/('Anchor Points'!$A$9-'Anchor Points'!$A$8)*('Anchor Points'!$B$9-'Anchor Points'!$B$8)))))))</x:f>
        <x:v>72.5</x:v>
      </x:c>
      <x:c r="D73" s="28" t="n">
        <x:f>IF(A73&lt;=15,'Anchor Points'!$C$2+(A73-'Anchor Points'!$A$2)/('Anchor Points'!$A$3-'Anchor Points'!$A$2)*('Anchor Points'!$C$3-'Anchor Points'!$C$2),IF(A73&lt;=25,'Anchor Points'!$C$3+(A73-'Anchor Points'!$A$3)/('Anchor Points'!$A$4-'Anchor Points'!$A$3)*('Anchor Points'!$C$4-'Anchor Points'!$C$3),IF(A73&lt;=40,'Anchor Points'!$C$4+(A73-'Anchor Points'!$A$4)/('Anchor Points'!$A$5-'Anchor Points'!$A$4)*('Anchor Points'!$C$5-'Anchor Points'!$C$4),IF(A73&lt;=55,'Anchor Points'!$C$5+(A73-'Anchor Points'!$A$5)/('Anchor Points'!$A$6-'Anchor Points'!$A$5)*('Anchor Points'!$C$6-'Anchor Points'!$C$5),IF(A73&lt;=70,'Anchor Points'!$C$6+(A73-'Anchor Points'!$A$6)/('Anchor Points'!$A$7-'Anchor Points'!$A$6)*('Anchor Points'!$C$7-'Anchor Points'!$C$6),IF(A73&lt;=90,'Anchor Points'!$C$7+(A73-'Anchor Points'!$A$7)/('Anchor Points'!$A$8-'Anchor Points'!$A$7)*('Anchor Points'!$C$8-'Anchor Points'!$C$7),'Anchor Points'!$C$8+(A73-'Anchor Points'!$A$8)/('Anchor Points'!$A$9-'Anchor Points'!$A$8)*('Anchor Points'!$C$9-'Anchor Points'!$C$8)))))))</x:f>
        <x:v>66</x:v>
      </x:c>
      <x:c r="E73" s="28" t="n">
        <x:f>IF(A73&lt;=15,'Anchor Points'!$D$2+(A73-'Anchor Points'!$A$2)/('Anchor Points'!$A$3-'Anchor Points'!$A$2)*('Anchor Points'!$D$3-'Anchor Points'!$D$2),IF(A73&lt;=25,'Anchor Points'!$D$3+(A73-'Anchor Points'!$A$3)/('Anchor Points'!$A$4-'Anchor Points'!$A$3)*('Anchor Points'!$D$4-'Anchor Points'!$D$3),IF(A73&lt;=40,'Anchor Points'!$D$4+(A73-'Anchor Points'!$A$4)/('Anchor Points'!$A$5-'Anchor Points'!$A$4)*('Anchor Points'!$D$5-'Anchor Points'!$D$4),IF(A73&lt;=55,'Anchor Points'!$D$5+(A73-'Anchor Points'!$A$5)/('Anchor Points'!$A$6-'Anchor Points'!$A$5)*('Anchor Points'!$D$6-'Anchor Points'!$D$5),IF(A73&lt;=70,'Anchor Points'!$D$6+(A73-'Anchor Points'!$A$6)/('Anchor Points'!$A$7-'Anchor Points'!$A$6)*('Anchor Points'!$D$7-'Anchor Points'!$D$6),IF(A73&lt;=90,'Anchor Points'!$D$7+(A73-'Anchor Points'!$A$7)/('Anchor Points'!$A$8-'Anchor Points'!$A$7)*('Anchor Points'!$D$8-'Anchor Points'!$D$7),'Anchor Points'!$D$8+(A73-'Anchor Points'!$A$8)/('Anchor Points'!$A$9-'Anchor Points'!$A$8)*('Anchor Points'!$D$9-'Anchor Points'!$D$8)))))))</x:f>
        <x:v>11.8</x:v>
      </x:c>
      <x:c r="F73" s="30" t="n">
        <x:f>ROUND(E73,0)</x:f>
        <x:v>12</x:v>
      </x:c>
      <x:c r="G73" s="28" t="n">
        <x:f>IF(A73&lt;=15,'Anchor Points'!$E$2+(A73-'Anchor Points'!$A$2)/('Anchor Points'!$A$3-'Anchor Points'!$A$2)*('Anchor Points'!$E$3-'Anchor Points'!$E$2),IF(A73&lt;=25,'Anchor Points'!$E$3+(A73-'Anchor Points'!$A$3)/('Anchor Points'!$A$4-'Anchor Points'!$A$3)*('Anchor Points'!$E$4-'Anchor Points'!$E$3),IF(A73&lt;=40,'Anchor Points'!$E$4+(A73-'Anchor Points'!$A$4)/('Anchor Points'!$A$5-'Anchor Points'!$A$4)*('Anchor Points'!$E$5-'Anchor Points'!$E$4),IF(A73&lt;=55,'Anchor Points'!$E$5+(A73-'Anchor Points'!$A$5)/('Anchor Points'!$A$6-'Anchor Points'!$A$5)*('Anchor Points'!$E$6-'Anchor Points'!$E$5),IF(A73&lt;=70,'Anchor Points'!$E$6+(A73-'Anchor Points'!$A$6)/('Anchor Points'!$A$7-'Anchor Points'!$A$6)*('Anchor Points'!$E$7-'Anchor Points'!$E$6),IF(A73&lt;=90,'Anchor Points'!$E$7+(A73-'Anchor Points'!$A$7)/('Anchor Points'!$A$8-'Anchor Points'!$A$7)*('Anchor Points'!$E$8-'Anchor Points'!$E$7),'Anchor Points'!$E$8+(A73-'Anchor Points'!$A$8)/('Anchor Points'!$A$9-'Anchor Points'!$A$8)*('Anchor Points'!$E$9-'Anchor Points'!$E$8)))))))</x:f>
        <x:v>5.25</x:v>
      </x:c>
      <x:c r="H73" s="30" t="n">
        <x:f>ROUND(G73,0)</x:f>
        <x:v>5</x:v>
      </x:c>
      <x:c r="I73" s="28" t="n">
        <x:f>IF(A73&lt;=15,'Anchor Points'!$F$2+(A73-'Anchor Points'!$A$2)/('Anchor Points'!$A$3-'Anchor Points'!$A$2)*('Anchor Points'!$F$3-'Anchor Points'!$F$2),IF(A73&lt;=25,'Anchor Points'!$F$3+(A73-'Anchor Points'!$A$3)/('Anchor Points'!$A$4-'Anchor Points'!$A$3)*('Anchor Points'!$F$4-'Anchor Points'!$F$3),IF(A73&lt;=40,'Anchor Points'!$F$4+(A73-'Anchor Points'!$A$4)/('Anchor Points'!$A$5-'Anchor Points'!$A$4)*('Anchor Points'!$F$5-'Anchor Points'!$F$4),IF(A73&lt;=55,'Anchor Points'!$F$5+(A73-'Anchor Points'!$A$5)/('Anchor Points'!$A$6-'Anchor Points'!$A$5)*('Anchor Points'!$F$6-'Anchor Points'!$F$5),IF(A73&lt;=70,'Anchor Points'!$F$6+(A73-'Anchor Points'!$A$6)/('Anchor Points'!$A$7-'Anchor Points'!$A$6)*('Anchor Points'!$F$7-'Anchor Points'!$F$6),IF(A73&lt;=90,'Anchor Points'!$F$7+(A73-'Anchor Points'!$A$7)/('Anchor Points'!$A$8-'Anchor Points'!$A$7)*('Anchor Points'!$F$8-'Anchor Points'!$F$7),'Anchor Points'!$F$8+(A73-'Anchor Points'!$A$8)/('Anchor Points'!$A$9-'Anchor Points'!$A$8)*('Anchor Points'!$F$9-'Anchor Points'!$F$8)))))))</x:f>
        <x:v>26.25</x:v>
      </x:c>
      <x:c r="J73" s="28" t="n">
        <x:v>8</x:v>
      </x:c>
      <x:c r="K73" s="56" t="n">
        <x:v>9</x:v>
      </x:c>
      <x:c r="L73" s="52" t="n">
        <x:v>10</x:v>
      </x:c>
      <x:c r="M73" s="52" t="n">
        <x:v>60</x:v>
      </x:c>
      <x:c r="N73" s="56" t="n">
        <x:v>65</x:v>
      </x:c>
      <x:c r="O73" s="28" t="n">
        <x:v>70</x:v>
      </x:c>
      <x:c r="P73" s="28" t="n">
        <x:v>70</x:v>
      </x:c>
      <x:c r="Q73" s="55" t="n">
        <x:v>80</x:v>
      </x:c>
      <x:c r="R73" s="28" t="n">
        <x:v>90</x:v>
      </x:c>
      <x:c r="S73" s="28" t="n">
        <x:v>12</x:v>
      </x:c>
      <x:c r="T73" s="28" t="n">
        <x:v>15</x:v>
      </x:c>
      <x:c r="U73" s="55" t="n">
        <x:v>18</x:v>
      </x:c>
      <x:c r="V73" s="28" t="n">
        <x:v>757</x:v>
      </x:c>
      <x:c r="W73" s="55" t="n">
        <x:v>970</x:v>
      </x:c>
      <x:c r="X73" s="28" t="n">
        <x:v>1168</x:v>
      </x:c>
    </x:row>
    <x:row r="74">
      <x:c r="A74" s="30" t="n">
        <x:v>72</x:v>
      </x:c>
      <x:c r="B74" s="11" t="str">
        <x:f>IF(A74&lt;=15,"Seedling",IF(A74&lt;=25,"Establishment",IF(A74&lt;=40,"Vegetative Growth",IF(A74&lt;=55,"Flowering &amp; Initial Fruit Set",IF(A74&lt;=80,"Fruit Enlargement",IF(A74&lt;=95,"Ripening","Harvesting"))))))</x:f>
        <x:v>Fruit Enlargement</x:v>
      </x:c>
      <x:c r="C74" s="28" t="n">
        <x:f>IF(A74&lt;=15,'Anchor Points'!$B$2+(A74-'Anchor Points'!$A$2)/('Anchor Points'!$A$3-'Anchor Points'!$A$2)*('Anchor Points'!$B$3-'Anchor Points'!$B$2),IF(A74&lt;=25,'Anchor Points'!$B$3+(A74-'Anchor Points'!$A$3)/('Anchor Points'!$A$4-'Anchor Points'!$A$3)*('Anchor Points'!$B$4-'Anchor Points'!$B$3),IF(A74&lt;=40,'Anchor Points'!$B$4+(A74-'Anchor Points'!$A$4)/('Anchor Points'!$A$5-'Anchor Points'!$A$4)*('Anchor Points'!$B$5-'Anchor Points'!$B$4),IF(A74&lt;=55,'Anchor Points'!$B$5+(A74-'Anchor Points'!$A$5)/('Anchor Points'!$A$6-'Anchor Points'!$A$5)*('Anchor Points'!$B$6-'Anchor Points'!$B$5),IF(A74&lt;=70,'Anchor Points'!$B$6+(A74-'Anchor Points'!$A$6)/('Anchor Points'!$A$7-'Anchor Points'!$A$6)*('Anchor Points'!$B$7-'Anchor Points'!$B$6),IF(A74&lt;=90,'Anchor Points'!$B$7+(A74-'Anchor Points'!$A$7)/('Anchor Points'!$A$8-'Anchor Points'!$A$7)*('Anchor Points'!$B$8-'Anchor Points'!$B$7),'Anchor Points'!$B$8+(A74-'Anchor Points'!$A$8)/('Anchor Points'!$A$9-'Anchor Points'!$A$8)*('Anchor Points'!$B$9-'Anchor Points'!$B$8)))))))</x:f>
        <x:v>73</x:v>
      </x:c>
      <x:c r="D74" s="28" t="n">
        <x:f>IF(A74&lt;=15,'Anchor Points'!$C$2+(A74-'Anchor Points'!$A$2)/('Anchor Points'!$A$3-'Anchor Points'!$A$2)*('Anchor Points'!$C$3-'Anchor Points'!$C$2),IF(A74&lt;=25,'Anchor Points'!$C$3+(A74-'Anchor Points'!$A$3)/('Anchor Points'!$A$4-'Anchor Points'!$A$3)*('Anchor Points'!$C$4-'Anchor Points'!$C$3),IF(A74&lt;=40,'Anchor Points'!$C$4+(A74-'Anchor Points'!$A$4)/('Anchor Points'!$A$5-'Anchor Points'!$A$4)*('Anchor Points'!$C$5-'Anchor Points'!$C$4),IF(A74&lt;=55,'Anchor Points'!$C$5+(A74-'Anchor Points'!$A$5)/('Anchor Points'!$A$6-'Anchor Points'!$A$5)*('Anchor Points'!$C$6-'Anchor Points'!$C$5),IF(A74&lt;=70,'Anchor Points'!$C$6+(A74-'Anchor Points'!$A$6)/('Anchor Points'!$A$7-'Anchor Points'!$A$6)*('Anchor Points'!$C$7-'Anchor Points'!$C$6),IF(A74&lt;=90,'Anchor Points'!$C$7+(A74-'Anchor Points'!$A$7)/('Anchor Points'!$A$8-'Anchor Points'!$A$7)*('Anchor Points'!$C$8-'Anchor Points'!$C$7),'Anchor Points'!$C$8+(A74-'Anchor Points'!$A$8)/('Anchor Points'!$A$9-'Anchor Points'!$A$8)*('Anchor Points'!$C$9-'Anchor Points'!$C$8)))))))</x:f>
        <x:v>67</x:v>
      </x:c>
      <x:c r="E74" s="28" t="n">
        <x:f>IF(A74&lt;=15,'Anchor Points'!$D$2+(A74-'Anchor Points'!$A$2)/('Anchor Points'!$A$3-'Anchor Points'!$A$2)*('Anchor Points'!$D$3-'Anchor Points'!$D$2),IF(A74&lt;=25,'Anchor Points'!$D$3+(A74-'Anchor Points'!$A$3)/('Anchor Points'!$A$4-'Anchor Points'!$A$3)*('Anchor Points'!$D$4-'Anchor Points'!$D$3),IF(A74&lt;=40,'Anchor Points'!$D$4+(A74-'Anchor Points'!$A$4)/('Anchor Points'!$A$5-'Anchor Points'!$A$4)*('Anchor Points'!$D$5-'Anchor Points'!$D$4),IF(A74&lt;=55,'Anchor Points'!$D$5+(A74-'Anchor Points'!$A$5)/('Anchor Points'!$A$6-'Anchor Points'!$A$5)*('Anchor Points'!$D$6-'Anchor Points'!$D$5),IF(A74&lt;=70,'Anchor Points'!$D$6+(A74-'Anchor Points'!$A$6)/('Anchor Points'!$A$7-'Anchor Points'!$A$6)*('Anchor Points'!$D$7-'Anchor Points'!$D$6),IF(A74&lt;=90,'Anchor Points'!$D$7+(A74-'Anchor Points'!$A$7)/('Anchor Points'!$A$8-'Anchor Points'!$A$7)*('Anchor Points'!$D$8-'Anchor Points'!$D$7),'Anchor Points'!$D$8+(A74-'Anchor Points'!$A$8)/('Anchor Points'!$A$9-'Anchor Points'!$A$8)*('Anchor Points'!$D$9-'Anchor Points'!$D$8)))))))</x:f>
        <x:v>11.6</x:v>
      </x:c>
      <x:c r="F74" s="30" t="n">
        <x:f>ROUND(E74,0)</x:f>
        <x:v>12</x:v>
      </x:c>
      <x:c r="G74" s="28" t="n">
        <x:f>IF(A74&lt;=15,'Anchor Points'!$E$2+(A74-'Anchor Points'!$A$2)/('Anchor Points'!$A$3-'Anchor Points'!$A$2)*('Anchor Points'!$E$3-'Anchor Points'!$E$2),IF(A74&lt;=25,'Anchor Points'!$E$3+(A74-'Anchor Points'!$A$3)/('Anchor Points'!$A$4-'Anchor Points'!$A$3)*('Anchor Points'!$E$4-'Anchor Points'!$E$3),IF(A74&lt;=40,'Anchor Points'!$E$4+(A74-'Anchor Points'!$A$4)/('Anchor Points'!$A$5-'Anchor Points'!$A$4)*('Anchor Points'!$E$5-'Anchor Points'!$E$4),IF(A74&lt;=55,'Anchor Points'!$E$5+(A74-'Anchor Points'!$A$5)/('Anchor Points'!$A$6-'Anchor Points'!$A$5)*('Anchor Points'!$E$6-'Anchor Points'!$E$5),IF(A74&lt;=70,'Anchor Points'!$E$6+(A74-'Anchor Points'!$A$6)/('Anchor Points'!$A$7-'Anchor Points'!$A$6)*('Anchor Points'!$E$7-'Anchor Points'!$E$6),IF(A74&lt;=90,'Anchor Points'!$E$7+(A74-'Anchor Points'!$A$7)/('Anchor Points'!$A$8-'Anchor Points'!$A$7)*('Anchor Points'!$E$8-'Anchor Points'!$E$7),'Anchor Points'!$E$8+(A74-'Anchor Points'!$A$8)/('Anchor Points'!$A$9-'Anchor Points'!$A$8)*('Anchor Points'!$E$9-'Anchor Points'!$E$8)))))))</x:f>
        <x:v>5.5</x:v>
      </x:c>
      <x:c r="H74" s="30" t="n">
        <x:f>ROUND(G74,0)</x:f>
        <x:v>6</x:v>
      </x:c>
      <x:c r="I74" s="28" t="n">
        <x:f>IF(A74&lt;=15,'Anchor Points'!$F$2+(A74-'Anchor Points'!$A$2)/('Anchor Points'!$A$3-'Anchor Points'!$A$2)*('Anchor Points'!$F$3-'Anchor Points'!$F$2),IF(A74&lt;=25,'Anchor Points'!$F$3+(A74-'Anchor Points'!$A$3)/('Anchor Points'!$A$4-'Anchor Points'!$A$3)*('Anchor Points'!$F$4-'Anchor Points'!$F$3),IF(A74&lt;=40,'Anchor Points'!$F$4+(A74-'Anchor Points'!$A$4)/('Anchor Points'!$A$5-'Anchor Points'!$A$4)*('Anchor Points'!$F$5-'Anchor Points'!$F$4),IF(A74&lt;=55,'Anchor Points'!$F$5+(A74-'Anchor Points'!$A$5)/('Anchor Points'!$A$6-'Anchor Points'!$A$5)*('Anchor Points'!$F$6-'Anchor Points'!$F$5),IF(A74&lt;=70,'Anchor Points'!$F$6+(A74-'Anchor Points'!$A$6)/('Anchor Points'!$A$7-'Anchor Points'!$A$6)*('Anchor Points'!$F$7-'Anchor Points'!$F$6),IF(A74&lt;=90,'Anchor Points'!$F$7+(A74-'Anchor Points'!$A$7)/('Anchor Points'!$A$8-'Anchor Points'!$A$7)*('Anchor Points'!$F$8-'Anchor Points'!$F$7),'Anchor Points'!$F$8+(A74-'Anchor Points'!$A$8)/('Anchor Points'!$A$9-'Anchor Points'!$A$8)*('Anchor Points'!$F$9-'Anchor Points'!$F$8)))))))</x:f>
        <x:v>27.5</x:v>
      </x:c>
      <x:c r="J74" s="28" t="n">
        <x:v>8</x:v>
      </x:c>
      <x:c r="K74" s="56" t="n">
        <x:v>9</x:v>
      </x:c>
      <x:c r="L74" s="52" t="n">
        <x:v>10</x:v>
      </x:c>
      <x:c r="M74" s="52" t="n">
        <x:v>60</x:v>
      </x:c>
      <x:c r="N74" s="56" t="n">
        <x:v>65</x:v>
      </x:c>
      <x:c r="O74" s="28" t="n">
        <x:v>70</x:v>
      </x:c>
      <x:c r="P74" s="28" t="n">
        <x:v>70</x:v>
      </x:c>
      <x:c r="Q74" s="55" t="n">
        <x:v>80</x:v>
      </x:c>
      <x:c r="R74" s="28" t="n">
        <x:v>90</x:v>
      </x:c>
      <x:c r="S74" s="28" t="n">
        <x:v>12</x:v>
      </x:c>
      <x:c r="T74" s="28" t="n">
        <x:v>15</x:v>
      </x:c>
      <x:c r="U74" s="55" t="n">
        <x:v>18</x:v>
      </x:c>
      <x:c r="V74" s="28" t="n">
        <x:v>769</x:v>
      </x:c>
      <x:c r="W74" s="55" t="n">
        <x:v>985</x:v>
      </x:c>
      <x:c r="X74" s="28" t="n">
        <x:v>1186</x:v>
      </x:c>
    </x:row>
    <x:row r="75">
      <x:c r="A75" s="30" t="n">
        <x:v>73</x:v>
      </x:c>
      <x:c r="B75" s="11" t="str">
        <x:f>IF(A75&lt;=15,"Seedling",IF(A75&lt;=25,"Establishment",IF(A75&lt;=40,"Vegetative Growth",IF(A75&lt;=55,"Flowering &amp; Initial Fruit Set",IF(A75&lt;=80,"Fruit Enlargement",IF(A75&lt;=95,"Ripening","Harvesting"))))))</x:f>
        <x:v>Fruit Enlargement</x:v>
      </x:c>
      <x:c r="C75" s="28" t="n">
        <x:f>IF(A75&lt;=15,'Anchor Points'!$B$2+(A75-'Anchor Points'!$A$2)/('Anchor Points'!$A$3-'Anchor Points'!$A$2)*('Anchor Points'!$B$3-'Anchor Points'!$B$2),IF(A75&lt;=25,'Anchor Points'!$B$3+(A75-'Anchor Points'!$A$3)/('Anchor Points'!$A$4-'Anchor Points'!$A$3)*('Anchor Points'!$B$4-'Anchor Points'!$B$3),IF(A75&lt;=40,'Anchor Points'!$B$4+(A75-'Anchor Points'!$A$4)/('Anchor Points'!$A$5-'Anchor Points'!$A$4)*('Anchor Points'!$B$5-'Anchor Points'!$B$4),IF(A75&lt;=55,'Anchor Points'!$B$5+(A75-'Anchor Points'!$A$5)/('Anchor Points'!$A$6-'Anchor Points'!$A$5)*('Anchor Points'!$B$6-'Anchor Points'!$B$5),IF(A75&lt;=70,'Anchor Points'!$B$6+(A75-'Anchor Points'!$A$6)/('Anchor Points'!$A$7-'Anchor Points'!$A$6)*('Anchor Points'!$B$7-'Anchor Points'!$B$6),IF(A75&lt;=90,'Anchor Points'!$B$7+(A75-'Anchor Points'!$A$7)/('Anchor Points'!$A$8-'Anchor Points'!$A$7)*('Anchor Points'!$B$8-'Anchor Points'!$B$7),'Anchor Points'!$B$8+(A75-'Anchor Points'!$A$8)/('Anchor Points'!$A$9-'Anchor Points'!$A$8)*('Anchor Points'!$B$9-'Anchor Points'!$B$8)))))))</x:f>
        <x:v>73.5</x:v>
      </x:c>
      <x:c r="D75" s="28" t="n">
        <x:f>IF(A75&lt;=15,'Anchor Points'!$C$2+(A75-'Anchor Points'!$A$2)/('Anchor Points'!$A$3-'Anchor Points'!$A$2)*('Anchor Points'!$C$3-'Anchor Points'!$C$2),IF(A75&lt;=25,'Anchor Points'!$C$3+(A75-'Anchor Points'!$A$3)/('Anchor Points'!$A$4-'Anchor Points'!$A$3)*('Anchor Points'!$C$4-'Anchor Points'!$C$3),IF(A75&lt;=40,'Anchor Points'!$C$4+(A75-'Anchor Points'!$A$4)/('Anchor Points'!$A$5-'Anchor Points'!$A$4)*('Anchor Points'!$C$5-'Anchor Points'!$C$4),IF(A75&lt;=55,'Anchor Points'!$C$5+(A75-'Anchor Points'!$A$5)/('Anchor Points'!$A$6-'Anchor Points'!$A$5)*('Anchor Points'!$C$6-'Anchor Points'!$C$5),IF(A75&lt;=70,'Anchor Points'!$C$6+(A75-'Anchor Points'!$A$6)/('Anchor Points'!$A$7-'Anchor Points'!$A$6)*('Anchor Points'!$C$7-'Anchor Points'!$C$6),IF(A75&lt;=90,'Anchor Points'!$C$7+(A75-'Anchor Points'!$A$7)/('Anchor Points'!$A$8-'Anchor Points'!$A$7)*('Anchor Points'!$C$8-'Anchor Points'!$C$7),'Anchor Points'!$C$8+(A75-'Anchor Points'!$A$8)/('Anchor Points'!$A$9-'Anchor Points'!$A$8)*('Anchor Points'!$C$9-'Anchor Points'!$C$8)))))))</x:f>
        <x:v>68</x:v>
      </x:c>
      <x:c r="E75" s="28" t="n">
        <x:f>IF(A75&lt;=15,'Anchor Points'!$D$2+(A75-'Anchor Points'!$A$2)/('Anchor Points'!$A$3-'Anchor Points'!$A$2)*('Anchor Points'!$D$3-'Anchor Points'!$D$2),IF(A75&lt;=25,'Anchor Points'!$D$3+(A75-'Anchor Points'!$A$3)/('Anchor Points'!$A$4-'Anchor Points'!$A$3)*('Anchor Points'!$D$4-'Anchor Points'!$D$3),IF(A75&lt;=40,'Anchor Points'!$D$4+(A75-'Anchor Points'!$A$4)/('Anchor Points'!$A$5-'Anchor Points'!$A$4)*('Anchor Points'!$D$5-'Anchor Points'!$D$4),IF(A75&lt;=55,'Anchor Points'!$D$5+(A75-'Anchor Points'!$A$5)/('Anchor Points'!$A$6-'Anchor Points'!$A$5)*('Anchor Points'!$D$6-'Anchor Points'!$D$5),IF(A75&lt;=70,'Anchor Points'!$D$6+(A75-'Anchor Points'!$A$6)/('Anchor Points'!$A$7-'Anchor Points'!$A$6)*('Anchor Points'!$D$7-'Anchor Points'!$D$6),IF(A75&lt;=90,'Anchor Points'!$D$7+(A75-'Anchor Points'!$A$7)/('Anchor Points'!$A$8-'Anchor Points'!$A$7)*('Anchor Points'!$D$8-'Anchor Points'!$D$7),'Anchor Points'!$D$8+(A75-'Anchor Points'!$A$8)/('Anchor Points'!$A$9-'Anchor Points'!$A$8)*('Anchor Points'!$D$9-'Anchor Points'!$D$8)))))))</x:f>
        <x:v>11.4</x:v>
      </x:c>
      <x:c r="F75" s="30" t="n">
        <x:f>ROUND(E75,0)</x:f>
        <x:v>11</x:v>
      </x:c>
      <x:c r="G75" s="28" t="n">
        <x:f>IF(A75&lt;=15,'Anchor Points'!$E$2+(A75-'Anchor Points'!$A$2)/('Anchor Points'!$A$3-'Anchor Points'!$A$2)*('Anchor Points'!$E$3-'Anchor Points'!$E$2),IF(A75&lt;=25,'Anchor Points'!$E$3+(A75-'Anchor Points'!$A$3)/('Anchor Points'!$A$4-'Anchor Points'!$A$3)*('Anchor Points'!$E$4-'Anchor Points'!$E$3),IF(A75&lt;=40,'Anchor Points'!$E$4+(A75-'Anchor Points'!$A$4)/('Anchor Points'!$A$5-'Anchor Points'!$A$4)*('Anchor Points'!$E$5-'Anchor Points'!$E$4),IF(A75&lt;=55,'Anchor Points'!$E$5+(A75-'Anchor Points'!$A$5)/('Anchor Points'!$A$6-'Anchor Points'!$A$5)*('Anchor Points'!$E$6-'Anchor Points'!$E$5),IF(A75&lt;=70,'Anchor Points'!$E$6+(A75-'Anchor Points'!$A$6)/('Anchor Points'!$A$7-'Anchor Points'!$A$6)*('Anchor Points'!$E$7-'Anchor Points'!$E$6),IF(A75&lt;=90,'Anchor Points'!$E$7+(A75-'Anchor Points'!$A$7)/('Anchor Points'!$A$8-'Anchor Points'!$A$7)*('Anchor Points'!$E$8-'Anchor Points'!$E$7),'Anchor Points'!$E$8+(A75-'Anchor Points'!$A$8)/('Anchor Points'!$A$9-'Anchor Points'!$A$8)*('Anchor Points'!$E$9-'Anchor Points'!$E$8)))))))</x:f>
        <x:v>5.75</x:v>
      </x:c>
      <x:c r="H75" s="30" t="n">
        <x:f>ROUND(G75,0)</x:f>
        <x:v>6</x:v>
      </x:c>
      <x:c r="I75" s="28" t="n">
        <x:f>IF(A75&lt;=15,'Anchor Points'!$F$2+(A75-'Anchor Points'!$A$2)/('Anchor Points'!$A$3-'Anchor Points'!$A$2)*('Anchor Points'!$F$3-'Anchor Points'!$F$2),IF(A75&lt;=25,'Anchor Points'!$F$3+(A75-'Anchor Points'!$A$3)/('Anchor Points'!$A$4-'Anchor Points'!$A$3)*('Anchor Points'!$F$4-'Anchor Points'!$F$3),IF(A75&lt;=40,'Anchor Points'!$F$4+(A75-'Anchor Points'!$A$4)/('Anchor Points'!$A$5-'Anchor Points'!$A$4)*('Anchor Points'!$F$5-'Anchor Points'!$F$4),IF(A75&lt;=55,'Anchor Points'!$F$5+(A75-'Anchor Points'!$A$5)/('Anchor Points'!$A$6-'Anchor Points'!$A$5)*('Anchor Points'!$F$6-'Anchor Points'!$F$5),IF(A75&lt;=70,'Anchor Points'!$F$6+(A75-'Anchor Points'!$A$6)/('Anchor Points'!$A$7-'Anchor Points'!$A$6)*('Anchor Points'!$F$7-'Anchor Points'!$F$6),IF(A75&lt;=90,'Anchor Points'!$F$7+(A75-'Anchor Points'!$A$7)/('Anchor Points'!$A$8-'Anchor Points'!$A$7)*('Anchor Points'!$F$8-'Anchor Points'!$F$7),'Anchor Points'!$F$8+(A75-'Anchor Points'!$A$8)/('Anchor Points'!$A$9-'Anchor Points'!$A$8)*('Anchor Points'!$F$9-'Anchor Points'!$F$8)))))))</x:f>
        <x:v>28.75</x:v>
      </x:c>
      <x:c r="J75" s="28" t="n">
        <x:v>8</x:v>
      </x:c>
      <x:c r="K75" s="56" t="n">
        <x:v>9</x:v>
      </x:c>
      <x:c r="L75" s="52" t="n">
        <x:v>10</x:v>
      </x:c>
      <x:c r="M75" s="52" t="n">
        <x:v>60</x:v>
      </x:c>
      <x:c r="N75" s="56" t="n">
        <x:v>65</x:v>
      </x:c>
      <x:c r="O75" s="28" t="n">
        <x:v>70</x:v>
      </x:c>
      <x:c r="P75" s="28" t="n">
        <x:v>70</x:v>
      </x:c>
      <x:c r="Q75" s="55" t="n">
        <x:v>80</x:v>
      </x:c>
      <x:c r="R75" s="28" t="n">
        <x:v>90</x:v>
      </x:c>
      <x:c r="S75" s="28" t="n">
        <x:v>12</x:v>
      </x:c>
      <x:c r="T75" s="28" t="n">
        <x:v>15</x:v>
      </x:c>
      <x:c r="U75" s="55" t="n">
        <x:v>18</x:v>
      </x:c>
      <x:c r="V75" s="28" t="n">
        <x:v>781</x:v>
      </x:c>
      <x:c r="W75" s="55" t="n">
        <x:v>1000</x:v>
      </x:c>
      <x:c r="X75" s="28" t="n">
        <x:v>1204</x:v>
      </x:c>
    </x:row>
    <x:row r="76">
      <x:c r="A76" s="30" t="n">
        <x:v>74</x:v>
      </x:c>
      <x:c r="B76" s="11" t="str">
        <x:f>IF(A76&lt;=15,"Seedling",IF(A76&lt;=25,"Establishment",IF(A76&lt;=40,"Vegetative Growth",IF(A76&lt;=55,"Flowering &amp; Initial Fruit Set",IF(A76&lt;=80,"Fruit Enlargement",IF(A76&lt;=95,"Ripening","Harvesting"))))))</x:f>
        <x:v>Fruit Enlargement</x:v>
      </x:c>
      <x:c r="C76" s="28" t="n">
        <x:f>IF(A76&lt;=15,'Anchor Points'!$B$2+(A76-'Anchor Points'!$A$2)/('Anchor Points'!$A$3-'Anchor Points'!$A$2)*('Anchor Points'!$B$3-'Anchor Points'!$B$2),IF(A76&lt;=25,'Anchor Points'!$B$3+(A76-'Anchor Points'!$A$3)/('Anchor Points'!$A$4-'Anchor Points'!$A$3)*('Anchor Points'!$B$4-'Anchor Points'!$B$3),IF(A76&lt;=40,'Anchor Points'!$B$4+(A76-'Anchor Points'!$A$4)/('Anchor Points'!$A$5-'Anchor Points'!$A$4)*('Anchor Points'!$B$5-'Anchor Points'!$B$4),IF(A76&lt;=55,'Anchor Points'!$B$5+(A76-'Anchor Points'!$A$5)/('Anchor Points'!$A$6-'Anchor Points'!$A$5)*('Anchor Points'!$B$6-'Anchor Points'!$B$5),IF(A76&lt;=70,'Anchor Points'!$B$6+(A76-'Anchor Points'!$A$6)/('Anchor Points'!$A$7-'Anchor Points'!$A$6)*('Anchor Points'!$B$7-'Anchor Points'!$B$6),IF(A76&lt;=90,'Anchor Points'!$B$7+(A76-'Anchor Points'!$A$7)/('Anchor Points'!$A$8-'Anchor Points'!$A$7)*('Anchor Points'!$B$8-'Anchor Points'!$B$7),'Anchor Points'!$B$8+(A76-'Anchor Points'!$A$8)/('Anchor Points'!$A$9-'Anchor Points'!$A$8)*('Anchor Points'!$B$9-'Anchor Points'!$B$8)))))))</x:f>
        <x:v>74</x:v>
      </x:c>
      <x:c r="D76" s="28" t="n">
        <x:f>IF(A76&lt;=15,'Anchor Points'!$C$2+(A76-'Anchor Points'!$A$2)/('Anchor Points'!$A$3-'Anchor Points'!$A$2)*('Anchor Points'!$C$3-'Anchor Points'!$C$2),IF(A76&lt;=25,'Anchor Points'!$C$3+(A76-'Anchor Points'!$A$3)/('Anchor Points'!$A$4-'Anchor Points'!$A$3)*('Anchor Points'!$C$4-'Anchor Points'!$C$3),IF(A76&lt;=40,'Anchor Points'!$C$4+(A76-'Anchor Points'!$A$4)/('Anchor Points'!$A$5-'Anchor Points'!$A$4)*('Anchor Points'!$C$5-'Anchor Points'!$C$4),IF(A76&lt;=55,'Anchor Points'!$C$5+(A76-'Anchor Points'!$A$5)/('Anchor Points'!$A$6-'Anchor Points'!$A$5)*('Anchor Points'!$C$6-'Anchor Points'!$C$5),IF(A76&lt;=70,'Anchor Points'!$C$6+(A76-'Anchor Points'!$A$6)/('Anchor Points'!$A$7-'Anchor Points'!$A$6)*('Anchor Points'!$C$7-'Anchor Points'!$C$6),IF(A76&lt;=90,'Anchor Points'!$C$7+(A76-'Anchor Points'!$A$7)/('Anchor Points'!$A$8-'Anchor Points'!$A$7)*('Anchor Points'!$C$8-'Anchor Points'!$C$7),'Anchor Points'!$C$8+(A76-'Anchor Points'!$A$8)/('Anchor Points'!$A$9-'Anchor Points'!$A$8)*('Anchor Points'!$C$9-'Anchor Points'!$C$8)))))))</x:f>
        <x:v>69</x:v>
      </x:c>
      <x:c r="E76" s="28" t="n">
        <x:f>IF(A76&lt;=15,'Anchor Points'!$D$2+(A76-'Anchor Points'!$A$2)/('Anchor Points'!$A$3-'Anchor Points'!$A$2)*('Anchor Points'!$D$3-'Anchor Points'!$D$2),IF(A76&lt;=25,'Anchor Points'!$D$3+(A76-'Anchor Points'!$A$3)/('Anchor Points'!$A$4-'Anchor Points'!$A$3)*('Anchor Points'!$D$4-'Anchor Points'!$D$3),IF(A76&lt;=40,'Anchor Points'!$D$4+(A76-'Anchor Points'!$A$4)/('Anchor Points'!$A$5-'Anchor Points'!$A$4)*('Anchor Points'!$D$5-'Anchor Points'!$D$4),IF(A76&lt;=55,'Anchor Points'!$D$5+(A76-'Anchor Points'!$A$5)/('Anchor Points'!$A$6-'Anchor Points'!$A$5)*('Anchor Points'!$D$6-'Anchor Points'!$D$5),IF(A76&lt;=70,'Anchor Points'!$D$6+(A76-'Anchor Points'!$A$6)/('Anchor Points'!$A$7-'Anchor Points'!$A$6)*('Anchor Points'!$D$7-'Anchor Points'!$D$6),IF(A76&lt;=90,'Anchor Points'!$D$7+(A76-'Anchor Points'!$A$7)/('Anchor Points'!$A$8-'Anchor Points'!$A$7)*('Anchor Points'!$D$8-'Anchor Points'!$D$7),'Anchor Points'!$D$8+(A76-'Anchor Points'!$A$8)/('Anchor Points'!$A$9-'Anchor Points'!$A$8)*('Anchor Points'!$D$9-'Anchor Points'!$D$8)))))))</x:f>
        <x:v>11.2</x:v>
      </x:c>
      <x:c r="F76" s="30" t="n">
        <x:f>ROUND(E76,0)</x:f>
        <x:v>11</x:v>
      </x:c>
      <x:c r="G76" s="28" t="n">
        <x:f>IF(A76&lt;=15,'Anchor Points'!$E$2+(A76-'Anchor Points'!$A$2)/('Anchor Points'!$A$3-'Anchor Points'!$A$2)*('Anchor Points'!$E$3-'Anchor Points'!$E$2),IF(A76&lt;=25,'Anchor Points'!$E$3+(A76-'Anchor Points'!$A$3)/('Anchor Points'!$A$4-'Anchor Points'!$A$3)*('Anchor Points'!$E$4-'Anchor Points'!$E$3),IF(A76&lt;=40,'Anchor Points'!$E$4+(A76-'Anchor Points'!$A$4)/('Anchor Points'!$A$5-'Anchor Points'!$A$4)*('Anchor Points'!$E$5-'Anchor Points'!$E$4),IF(A76&lt;=55,'Anchor Points'!$E$5+(A76-'Anchor Points'!$A$5)/('Anchor Points'!$A$6-'Anchor Points'!$A$5)*('Anchor Points'!$E$6-'Anchor Points'!$E$5),IF(A76&lt;=70,'Anchor Points'!$E$6+(A76-'Anchor Points'!$A$6)/('Anchor Points'!$A$7-'Anchor Points'!$A$6)*('Anchor Points'!$E$7-'Anchor Points'!$E$6),IF(A76&lt;=90,'Anchor Points'!$E$7+(A76-'Anchor Points'!$A$7)/('Anchor Points'!$A$8-'Anchor Points'!$A$7)*('Anchor Points'!$E$8-'Anchor Points'!$E$7),'Anchor Points'!$E$8+(A76-'Anchor Points'!$A$8)/('Anchor Points'!$A$9-'Anchor Points'!$A$8)*('Anchor Points'!$E$9-'Anchor Points'!$E$8)))))))</x:f>
        <x:v>6</x:v>
      </x:c>
      <x:c r="H76" s="30" t="n">
        <x:f>ROUND(G76,0)</x:f>
        <x:v>6</x:v>
      </x:c>
      <x:c r="I76" s="28" t="n">
        <x:f>IF(A76&lt;=15,'Anchor Points'!$F$2+(A76-'Anchor Points'!$A$2)/('Anchor Points'!$A$3-'Anchor Points'!$A$2)*('Anchor Points'!$F$3-'Anchor Points'!$F$2),IF(A76&lt;=25,'Anchor Points'!$F$3+(A76-'Anchor Points'!$A$3)/('Anchor Points'!$A$4-'Anchor Points'!$A$3)*('Anchor Points'!$F$4-'Anchor Points'!$F$3),IF(A76&lt;=40,'Anchor Points'!$F$4+(A76-'Anchor Points'!$A$4)/('Anchor Points'!$A$5-'Anchor Points'!$A$4)*('Anchor Points'!$F$5-'Anchor Points'!$F$4),IF(A76&lt;=55,'Anchor Points'!$F$5+(A76-'Anchor Points'!$A$5)/('Anchor Points'!$A$6-'Anchor Points'!$A$5)*('Anchor Points'!$F$6-'Anchor Points'!$F$5),IF(A76&lt;=70,'Anchor Points'!$F$6+(A76-'Anchor Points'!$A$6)/('Anchor Points'!$A$7-'Anchor Points'!$A$6)*('Anchor Points'!$F$7-'Anchor Points'!$F$6),IF(A76&lt;=90,'Anchor Points'!$F$7+(A76-'Anchor Points'!$A$7)/('Anchor Points'!$A$8-'Anchor Points'!$A$7)*('Anchor Points'!$F$8-'Anchor Points'!$F$7),'Anchor Points'!$F$8+(A76-'Anchor Points'!$A$8)/('Anchor Points'!$A$9-'Anchor Points'!$A$8)*('Anchor Points'!$F$9-'Anchor Points'!$F$8)))))))</x:f>
        <x:v>30</x:v>
      </x:c>
      <x:c r="J76" s="28" t="n">
        <x:v>8</x:v>
      </x:c>
      <x:c r="K76" s="56" t="n">
        <x:v>9</x:v>
      </x:c>
      <x:c r="L76" s="52" t="n">
        <x:v>10</x:v>
      </x:c>
      <x:c r="M76" s="52" t="n">
        <x:v>60</x:v>
      </x:c>
      <x:c r="N76" s="56" t="n">
        <x:v>65</x:v>
      </x:c>
      <x:c r="O76" s="28" t="n">
        <x:v>70</x:v>
      </x:c>
      <x:c r="P76" s="28" t="n">
        <x:v>70</x:v>
      </x:c>
      <x:c r="Q76" s="55" t="n">
        <x:v>80</x:v>
      </x:c>
      <x:c r="R76" s="28" t="n">
        <x:v>90</x:v>
      </x:c>
      <x:c r="S76" s="28" t="n">
        <x:v>12</x:v>
      </x:c>
      <x:c r="T76" s="28" t="n">
        <x:v>15</x:v>
      </x:c>
      <x:c r="U76" s="55" t="n">
        <x:v>18</x:v>
      </x:c>
      <x:c r="V76" s="28" t="n">
        <x:v>793</x:v>
      </x:c>
      <x:c r="W76" s="55" t="n">
        <x:v>1015</x:v>
      </x:c>
      <x:c r="X76" s="28" t="n">
        <x:v>1222</x:v>
      </x:c>
    </x:row>
    <x:row r="77">
      <x:c r="A77" s="30" t="n">
        <x:v>75</x:v>
      </x:c>
      <x:c r="B77" s="11" t="str">
        <x:f>IF(A77&lt;=15,"Seedling",IF(A77&lt;=25,"Establishment",IF(A77&lt;=40,"Vegetative Growth",IF(A77&lt;=55,"Flowering &amp; Initial Fruit Set",IF(A77&lt;=80,"Fruit Enlargement",IF(A77&lt;=95,"Ripening","Harvesting"))))))</x:f>
        <x:v>Fruit Enlargement</x:v>
      </x:c>
      <x:c r="C77" s="28" t="n">
        <x:f>IF(A77&lt;=15,'Anchor Points'!$B$2+(A77-'Anchor Points'!$A$2)/('Anchor Points'!$A$3-'Anchor Points'!$A$2)*('Anchor Points'!$B$3-'Anchor Points'!$B$2),IF(A77&lt;=25,'Anchor Points'!$B$3+(A77-'Anchor Points'!$A$3)/('Anchor Points'!$A$4-'Anchor Points'!$A$3)*('Anchor Points'!$B$4-'Anchor Points'!$B$3),IF(A77&lt;=40,'Anchor Points'!$B$4+(A77-'Anchor Points'!$A$4)/('Anchor Points'!$A$5-'Anchor Points'!$A$4)*('Anchor Points'!$B$5-'Anchor Points'!$B$4),IF(A77&lt;=55,'Anchor Points'!$B$5+(A77-'Anchor Points'!$A$5)/('Anchor Points'!$A$6-'Anchor Points'!$A$5)*('Anchor Points'!$B$6-'Anchor Points'!$B$5),IF(A77&lt;=70,'Anchor Points'!$B$6+(A77-'Anchor Points'!$A$6)/('Anchor Points'!$A$7-'Anchor Points'!$A$6)*('Anchor Points'!$B$7-'Anchor Points'!$B$6),IF(A77&lt;=90,'Anchor Points'!$B$7+(A77-'Anchor Points'!$A$7)/('Anchor Points'!$A$8-'Anchor Points'!$A$7)*('Anchor Points'!$B$8-'Anchor Points'!$B$7),'Anchor Points'!$B$8+(A77-'Anchor Points'!$A$8)/('Anchor Points'!$A$9-'Anchor Points'!$A$8)*('Anchor Points'!$B$9-'Anchor Points'!$B$8)))))))</x:f>
        <x:v>74.5</x:v>
      </x:c>
      <x:c r="D77" s="28" t="n">
        <x:f>IF(A77&lt;=15,'Anchor Points'!$C$2+(A77-'Anchor Points'!$A$2)/('Anchor Points'!$A$3-'Anchor Points'!$A$2)*('Anchor Points'!$C$3-'Anchor Points'!$C$2),IF(A77&lt;=25,'Anchor Points'!$C$3+(A77-'Anchor Points'!$A$3)/('Anchor Points'!$A$4-'Anchor Points'!$A$3)*('Anchor Points'!$C$4-'Anchor Points'!$C$3),IF(A77&lt;=40,'Anchor Points'!$C$4+(A77-'Anchor Points'!$A$4)/('Anchor Points'!$A$5-'Anchor Points'!$A$4)*('Anchor Points'!$C$5-'Anchor Points'!$C$4),IF(A77&lt;=55,'Anchor Points'!$C$5+(A77-'Anchor Points'!$A$5)/('Anchor Points'!$A$6-'Anchor Points'!$A$5)*('Anchor Points'!$C$6-'Anchor Points'!$C$5),IF(A77&lt;=70,'Anchor Points'!$C$6+(A77-'Anchor Points'!$A$6)/('Anchor Points'!$A$7-'Anchor Points'!$A$6)*('Anchor Points'!$C$7-'Anchor Points'!$C$6),IF(A77&lt;=90,'Anchor Points'!$C$7+(A77-'Anchor Points'!$A$7)/('Anchor Points'!$A$8-'Anchor Points'!$A$7)*('Anchor Points'!$C$8-'Anchor Points'!$C$7),'Anchor Points'!$C$8+(A77-'Anchor Points'!$A$8)/('Anchor Points'!$A$9-'Anchor Points'!$A$8)*('Anchor Points'!$C$9-'Anchor Points'!$C$8)))))))</x:f>
        <x:v>70</x:v>
      </x:c>
      <x:c r="E77" s="28" t="n">
        <x:f>IF(A77&lt;=15,'Anchor Points'!$D$2+(A77-'Anchor Points'!$A$2)/('Anchor Points'!$A$3-'Anchor Points'!$A$2)*('Anchor Points'!$D$3-'Anchor Points'!$D$2),IF(A77&lt;=25,'Anchor Points'!$D$3+(A77-'Anchor Points'!$A$3)/('Anchor Points'!$A$4-'Anchor Points'!$A$3)*('Anchor Points'!$D$4-'Anchor Points'!$D$3),IF(A77&lt;=40,'Anchor Points'!$D$4+(A77-'Anchor Points'!$A$4)/('Anchor Points'!$A$5-'Anchor Points'!$A$4)*('Anchor Points'!$D$5-'Anchor Points'!$D$4),IF(A77&lt;=55,'Anchor Points'!$D$5+(A77-'Anchor Points'!$A$5)/('Anchor Points'!$A$6-'Anchor Points'!$A$5)*('Anchor Points'!$D$6-'Anchor Points'!$D$5),IF(A77&lt;=70,'Anchor Points'!$D$6+(A77-'Anchor Points'!$A$6)/('Anchor Points'!$A$7-'Anchor Points'!$A$6)*('Anchor Points'!$D$7-'Anchor Points'!$D$6),IF(A77&lt;=90,'Anchor Points'!$D$7+(A77-'Anchor Points'!$A$7)/('Anchor Points'!$A$8-'Anchor Points'!$A$7)*('Anchor Points'!$D$8-'Anchor Points'!$D$7),'Anchor Points'!$D$8+(A77-'Anchor Points'!$A$8)/('Anchor Points'!$A$9-'Anchor Points'!$A$8)*('Anchor Points'!$D$9-'Anchor Points'!$D$8)))))))</x:f>
        <x:v>11</x:v>
      </x:c>
      <x:c r="F77" s="30" t="n">
        <x:f>ROUND(E77,0)</x:f>
        <x:v>11</x:v>
      </x:c>
      <x:c r="G77" s="28" t="n">
        <x:f>IF(A77&lt;=15,'Anchor Points'!$E$2+(A77-'Anchor Points'!$A$2)/('Anchor Points'!$A$3-'Anchor Points'!$A$2)*('Anchor Points'!$E$3-'Anchor Points'!$E$2),IF(A77&lt;=25,'Anchor Points'!$E$3+(A77-'Anchor Points'!$A$3)/('Anchor Points'!$A$4-'Anchor Points'!$A$3)*('Anchor Points'!$E$4-'Anchor Points'!$E$3),IF(A77&lt;=40,'Anchor Points'!$E$4+(A77-'Anchor Points'!$A$4)/('Anchor Points'!$A$5-'Anchor Points'!$A$4)*('Anchor Points'!$E$5-'Anchor Points'!$E$4),IF(A77&lt;=55,'Anchor Points'!$E$5+(A77-'Anchor Points'!$A$5)/('Anchor Points'!$A$6-'Anchor Points'!$A$5)*('Anchor Points'!$E$6-'Anchor Points'!$E$5),IF(A77&lt;=70,'Anchor Points'!$E$6+(A77-'Anchor Points'!$A$6)/('Anchor Points'!$A$7-'Anchor Points'!$A$6)*('Anchor Points'!$E$7-'Anchor Points'!$E$6),IF(A77&lt;=90,'Anchor Points'!$E$7+(A77-'Anchor Points'!$A$7)/('Anchor Points'!$A$8-'Anchor Points'!$A$7)*('Anchor Points'!$E$8-'Anchor Points'!$E$7),'Anchor Points'!$E$8+(A77-'Anchor Points'!$A$8)/('Anchor Points'!$A$9-'Anchor Points'!$A$8)*('Anchor Points'!$E$9-'Anchor Points'!$E$8)))))))</x:f>
        <x:v>6.25</x:v>
      </x:c>
      <x:c r="H77" s="30" t="n">
        <x:f>ROUND(G77,0)</x:f>
        <x:v>6</x:v>
      </x:c>
      <x:c r="I77" s="28" t="n">
        <x:f>IF(A77&lt;=15,'Anchor Points'!$F$2+(A77-'Anchor Points'!$A$2)/('Anchor Points'!$A$3-'Anchor Points'!$A$2)*('Anchor Points'!$F$3-'Anchor Points'!$F$2),IF(A77&lt;=25,'Anchor Points'!$F$3+(A77-'Anchor Points'!$A$3)/('Anchor Points'!$A$4-'Anchor Points'!$A$3)*('Anchor Points'!$F$4-'Anchor Points'!$F$3),IF(A77&lt;=40,'Anchor Points'!$F$4+(A77-'Anchor Points'!$A$4)/('Anchor Points'!$A$5-'Anchor Points'!$A$4)*('Anchor Points'!$F$5-'Anchor Points'!$F$4),IF(A77&lt;=55,'Anchor Points'!$F$5+(A77-'Anchor Points'!$A$5)/('Anchor Points'!$A$6-'Anchor Points'!$A$5)*('Anchor Points'!$F$6-'Anchor Points'!$F$5),IF(A77&lt;=70,'Anchor Points'!$F$6+(A77-'Anchor Points'!$A$6)/('Anchor Points'!$A$7-'Anchor Points'!$A$6)*('Anchor Points'!$F$7-'Anchor Points'!$F$6),IF(A77&lt;=90,'Anchor Points'!$F$7+(A77-'Anchor Points'!$A$7)/('Anchor Points'!$A$8-'Anchor Points'!$A$7)*('Anchor Points'!$F$8-'Anchor Points'!$F$7),'Anchor Points'!$F$8+(A77-'Anchor Points'!$A$8)/('Anchor Points'!$A$9-'Anchor Points'!$A$8)*('Anchor Points'!$F$9-'Anchor Points'!$F$8)))))))</x:f>
        <x:v>31.25</x:v>
      </x:c>
      <x:c r="J77" s="28" t="n">
        <x:v>8</x:v>
      </x:c>
      <x:c r="K77" s="56" t="n">
        <x:v>9</x:v>
      </x:c>
      <x:c r="L77" s="52" t="n">
        <x:v>10</x:v>
      </x:c>
      <x:c r="M77" s="52" t="n">
        <x:v>60</x:v>
      </x:c>
      <x:c r="N77" s="56" t="n">
        <x:v>65</x:v>
      </x:c>
      <x:c r="O77" s="28" t="n">
        <x:v>70</x:v>
      </x:c>
      <x:c r="P77" s="28" t="n">
        <x:v>70</x:v>
      </x:c>
      <x:c r="Q77" s="55" t="n">
        <x:v>80</x:v>
      </x:c>
      <x:c r="R77" s="28" t="n">
        <x:v>90</x:v>
      </x:c>
      <x:c r="S77" s="28" t="n">
        <x:v>12</x:v>
      </x:c>
      <x:c r="T77" s="28" t="n">
        <x:v>15</x:v>
      </x:c>
      <x:c r="U77" s="55" t="n">
        <x:v>18</x:v>
      </x:c>
      <x:c r="V77" s="28" t="n">
        <x:v>805</x:v>
      </x:c>
      <x:c r="W77" s="55" t="n">
        <x:v>1030</x:v>
      </x:c>
      <x:c r="X77" s="28" t="n">
        <x:v>1240</x:v>
      </x:c>
    </x:row>
    <x:row r="78">
      <x:c r="A78" s="30" t="n">
        <x:v>76</x:v>
      </x:c>
      <x:c r="B78" s="11" t="str">
        <x:f>IF(A78&lt;=15,"Seedling",IF(A78&lt;=25,"Establishment",IF(A78&lt;=40,"Vegetative Growth",IF(A78&lt;=55,"Flowering &amp; Initial Fruit Set",IF(A78&lt;=80,"Fruit Enlargement",IF(A78&lt;=95,"Ripening","Harvesting"))))))</x:f>
        <x:v>Fruit Enlargement</x:v>
      </x:c>
      <x:c r="C78" s="28" t="n">
        <x:f>IF(A78&lt;=15,'Anchor Points'!$B$2+(A78-'Anchor Points'!$A$2)/('Anchor Points'!$A$3-'Anchor Points'!$A$2)*('Anchor Points'!$B$3-'Anchor Points'!$B$2),IF(A78&lt;=25,'Anchor Points'!$B$3+(A78-'Anchor Points'!$A$3)/('Anchor Points'!$A$4-'Anchor Points'!$A$3)*('Anchor Points'!$B$4-'Anchor Points'!$B$3),IF(A78&lt;=40,'Anchor Points'!$B$4+(A78-'Anchor Points'!$A$4)/('Anchor Points'!$A$5-'Anchor Points'!$A$4)*('Anchor Points'!$B$5-'Anchor Points'!$B$4),IF(A78&lt;=55,'Anchor Points'!$B$5+(A78-'Anchor Points'!$A$5)/('Anchor Points'!$A$6-'Anchor Points'!$A$5)*('Anchor Points'!$B$6-'Anchor Points'!$B$5),IF(A78&lt;=70,'Anchor Points'!$B$6+(A78-'Anchor Points'!$A$6)/('Anchor Points'!$A$7-'Anchor Points'!$A$6)*('Anchor Points'!$B$7-'Anchor Points'!$B$6),IF(A78&lt;=90,'Anchor Points'!$B$7+(A78-'Anchor Points'!$A$7)/('Anchor Points'!$A$8-'Anchor Points'!$A$7)*('Anchor Points'!$B$8-'Anchor Points'!$B$7),'Anchor Points'!$B$8+(A78-'Anchor Points'!$A$8)/('Anchor Points'!$A$9-'Anchor Points'!$A$8)*('Anchor Points'!$B$9-'Anchor Points'!$B$8)))))))</x:f>
        <x:v>75</x:v>
      </x:c>
      <x:c r="D78" s="28" t="n">
        <x:f>IF(A78&lt;=15,'Anchor Points'!$C$2+(A78-'Anchor Points'!$A$2)/('Anchor Points'!$A$3-'Anchor Points'!$A$2)*('Anchor Points'!$C$3-'Anchor Points'!$C$2),IF(A78&lt;=25,'Anchor Points'!$C$3+(A78-'Anchor Points'!$A$3)/('Anchor Points'!$A$4-'Anchor Points'!$A$3)*('Anchor Points'!$C$4-'Anchor Points'!$C$3),IF(A78&lt;=40,'Anchor Points'!$C$4+(A78-'Anchor Points'!$A$4)/('Anchor Points'!$A$5-'Anchor Points'!$A$4)*('Anchor Points'!$C$5-'Anchor Points'!$C$4),IF(A78&lt;=55,'Anchor Points'!$C$5+(A78-'Anchor Points'!$A$5)/('Anchor Points'!$A$6-'Anchor Points'!$A$5)*('Anchor Points'!$C$6-'Anchor Points'!$C$5),IF(A78&lt;=70,'Anchor Points'!$C$6+(A78-'Anchor Points'!$A$6)/('Anchor Points'!$A$7-'Anchor Points'!$A$6)*('Anchor Points'!$C$7-'Anchor Points'!$C$6),IF(A78&lt;=90,'Anchor Points'!$C$7+(A78-'Anchor Points'!$A$7)/('Anchor Points'!$A$8-'Anchor Points'!$A$7)*('Anchor Points'!$C$8-'Anchor Points'!$C$7),'Anchor Points'!$C$8+(A78-'Anchor Points'!$A$8)/('Anchor Points'!$A$9-'Anchor Points'!$A$8)*('Anchor Points'!$C$9-'Anchor Points'!$C$8)))))))</x:f>
        <x:v>71</x:v>
      </x:c>
      <x:c r="E78" s="28" t="n">
        <x:f>IF(A78&lt;=15,'Anchor Points'!$D$2+(A78-'Anchor Points'!$A$2)/('Anchor Points'!$A$3-'Anchor Points'!$A$2)*('Anchor Points'!$D$3-'Anchor Points'!$D$2),IF(A78&lt;=25,'Anchor Points'!$D$3+(A78-'Anchor Points'!$A$3)/('Anchor Points'!$A$4-'Anchor Points'!$A$3)*('Anchor Points'!$D$4-'Anchor Points'!$D$3),IF(A78&lt;=40,'Anchor Points'!$D$4+(A78-'Anchor Points'!$A$4)/('Anchor Points'!$A$5-'Anchor Points'!$A$4)*('Anchor Points'!$D$5-'Anchor Points'!$D$4),IF(A78&lt;=55,'Anchor Points'!$D$5+(A78-'Anchor Points'!$A$5)/('Anchor Points'!$A$6-'Anchor Points'!$A$5)*('Anchor Points'!$D$6-'Anchor Points'!$D$5),IF(A78&lt;=70,'Anchor Points'!$D$6+(A78-'Anchor Points'!$A$6)/('Anchor Points'!$A$7-'Anchor Points'!$A$6)*('Anchor Points'!$D$7-'Anchor Points'!$D$6),IF(A78&lt;=90,'Anchor Points'!$D$7+(A78-'Anchor Points'!$A$7)/('Anchor Points'!$A$8-'Anchor Points'!$A$7)*('Anchor Points'!$D$8-'Anchor Points'!$D$7),'Anchor Points'!$D$8+(A78-'Anchor Points'!$A$8)/('Anchor Points'!$A$9-'Anchor Points'!$A$8)*('Anchor Points'!$D$9-'Anchor Points'!$D$8)))))))</x:f>
        <x:v>10.8</x:v>
      </x:c>
      <x:c r="F78" s="30" t="n">
        <x:f>ROUND(E78,0)</x:f>
        <x:v>11</x:v>
      </x:c>
      <x:c r="G78" s="28" t="n">
        <x:f>IF(A78&lt;=15,'Anchor Points'!$E$2+(A78-'Anchor Points'!$A$2)/('Anchor Points'!$A$3-'Anchor Points'!$A$2)*('Anchor Points'!$E$3-'Anchor Points'!$E$2),IF(A78&lt;=25,'Anchor Points'!$E$3+(A78-'Anchor Points'!$A$3)/('Anchor Points'!$A$4-'Anchor Points'!$A$3)*('Anchor Points'!$E$4-'Anchor Points'!$E$3),IF(A78&lt;=40,'Anchor Points'!$E$4+(A78-'Anchor Points'!$A$4)/('Anchor Points'!$A$5-'Anchor Points'!$A$4)*('Anchor Points'!$E$5-'Anchor Points'!$E$4),IF(A78&lt;=55,'Anchor Points'!$E$5+(A78-'Anchor Points'!$A$5)/('Anchor Points'!$A$6-'Anchor Points'!$A$5)*('Anchor Points'!$E$6-'Anchor Points'!$E$5),IF(A78&lt;=70,'Anchor Points'!$E$6+(A78-'Anchor Points'!$A$6)/('Anchor Points'!$A$7-'Anchor Points'!$A$6)*('Anchor Points'!$E$7-'Anchor Points'!$E$6),IF(A78&lt;=90,'Anchor Points'!$E$7+(A78-'Anchor Points'!$A$7)/('Anchor Points'!$A$8-'Anchor Points'!$A$7)*('Anchor Points'!$E$8-'Anchor Points'!$E$7),'Anchor Points'!$E$8+(A78-'Anchor Points'!$A$8)/('Anchor Points'!$A$9-'Anchor Points'!$A$8)*('Anchor Points'!$E$9-'Anchor Points'!$E$8)))))))</x:f>
        <x:v>6.5</x:v>
      </x:c>
      <x:c r="H78" s="30" t="n">
        <x:f>ROUND(G78,0)</x:f>
        <x:v>7</x:v>
      </x:c>
      <x:c r="I78" s="28" t="n">
        <x:f>IF(A78&lt;=15,'Anchor Points'!$F$2+(A78-'Anchor Points'!$A$2)/('Anchor Points'!$A$3-'Anchor Points'!$A$2)*('Anchor Points'!$F$3-'Anchor Points'!$F$2),IF(A78&lt;=25,'Anchor Points'!$F$3+(A78-'Anchor Points'!$A$3)/('Anchor Points'!$A$4-'Anchor Points'!$A$3)*('Anchor Points'!$F$4-'Anchor Points'!$F$3),IF(A78&lt;=40,'Anchor Points'!$F$4+(A78-'Anchor Points'!$A$4)/('Anchor Points'!$A$5-'Anchor Points'!$A$4)*('Anchor Points'!$F$5-'Anchor Points'!$F$4),IF(A78&lt;=55,'Anchor Points'!$F$5+(A78-'Anchor Points'!$A$5)/('Anchor Points'!$A$6-'Anchor Points'!$A$5)*('Anchor Points'!$F$6-'Anchor Points'!$F$5),IF(A78&lt;=70,'Anchor Points'!$F$6+(A78-'Anchor Points'!$A$6)/('Anchor Points'!$A$7-'Anchor Points'!$A$6)*('Anchor Points'!$F$7-'Anchor Points'!$F$6),IF(A78&lt;=90,'Anchor Points'!$F$7+(A78-'Anchor Points'!$A$7)/('Anchor Points'!$A$8-'Anchor Points'!$A$7)*('Anchor Points'!$F$8-'Anchor Points'!$F$7),'Anchor Points'!$F$8+(A78-'Anchor Points'!$A$8)/('Anchor Points'!$A$9-'Anchor Points'!$A$8)*('Anchor Points'!$F$9-'Anchor Points'!$F$8)))))))</x:f>
        <x:v>32.5</x:v>
      </x:c>
      <x:c r="J78" s="28" t="n">
        <x:v>8</x:v>
      </x:c>
      <x:c r="K78" s="56" t="n">
        <x:v>9</x:v>
      </x:c>
      <x:c r="L78" s="52" t="n">
        <x:v>10</x:v>
      </x:c>
      <x:c r="M78" s="52" t="n">
        <x:v>60</x:v>
      </x:c>
      <x:c r="N78" s="56" t="n">
        <x:v>65</x:v>
      </x:c>
      <x:c r="O78" s="28" t="n">
        <x:v>70</x:v>
      </x:c>
      <x:c r="P78" s="28" t="n">
        <x:v>70</x:v>
      </x:c>
      <x:c r="Q78" s="55" t="n">
        <x:v>80</x:v>
      </x:c>
      <x:c r="R78" s="28" t="n">
        <x:v>90</x:v>
      </x:c>
      <x:c r="S78" s="28" t="n">
        <x:v>12</x:v>
      </x:c>
      <x:c r="T78" s="28" t="n">
        <x:v>15</x:v>
      </x:c>
      <x:c r="U78" s="55" t="n">
        <x:v>18</x:v>
      </x:c>
      <x:c r="V78" s="28" t="n">
        <x:v>817</x:v>
      </x:c>
      <x:c r="W78" s="55" t="n">
        <x:v>1045</x:v>
      </x:c>
      <x:c r="X78" s="28" t="n">
        <x:v>1258</x:v>
      </x:c>
    </x:row>
    <x:row r="79">
      <x:c r="A79" s="30" t="n">
        <x:v>77</x:v>
      </x:c>
      <x:c r="B79" s="11" t="str">
        <x:f>IF(A79&lt;=15,"Seedling",IF(A79&lt;=25,"Establishment",IF(A79&lt;=40,"Vegetative Growth",IF(A79&lt;=55,"Flowering &amp; Initial Fruit Set",IF(A79&lt;=80,"Fruit Enlargement",IF(A79&lt;=95,"Ripening","Harvesting"))))))</x:f>
        <x:v>Fruit Enlargement</x:v>
      </x:c>
      <x:c r="C79" s="28" t="n">
        <x:f>IF(A79&lt;=15,'Anchor Points'!$B$2+(A79-'Anchor Points'!$A$2)/('Anchor Points'!$A$3-'Anchor Points'!$A$2)*('Anchor Points'!$B$3-'Anchor Points'!$B$2),IF(A79&lt;=25,'Anchor Points'!$B$3+(A79-'Anchor Points'!$A$3)/('Anchor Points'!$A$4-'Anchor Points'!$A$3)*('Anchor Points'!$B$4-'Anchor Points'!$B$3),IF(A79&lt;=40,'Anchor Points'!$B$4+(A79-'Anchor Points'!$A$4)/('Anchor Points'!$A$5-'Anchor Points'!$A$4)*('Anchor Points'!$B$5-'Anchor Points'!$B$4),IF(A79&lt;=55,'Anchor Points'!$B$5+(A79-'Anchor Points'!$A$5)/('Anchor Points'!$A$6-'Anchor Points'!$A$5)*('Anchor Points'!$B$6-'Anchor Points'!$B$5),IF(A79&lt;=70,'Anchor Points'!$B$6+(A79-'Anchor Points'!$A$6)/('Anchor Points'!$A$7-'Anchor Points'!$A$6)*('Anchor Points'!$B$7-'Anchor Points'!$B$6),IF(A79&lt;=90,'Anchor Points'!$B$7+(A79-'Anchor Points'!$A$7)/('Anchor Points'!$A$8-'Anchor Points'!$A$7)*('Anchor Points'!$B$8-'Anchor Points'!$B$7),'Anchor Points'!$B$8+(A79-'Anchor Points'!$A$8)/('Anchor Points'!$A$9-'Anchor Points'!$A$8)*('Anchor Points'!$B$9-'Anchor Points'!$B$8)))))))</x:f>
        <x:v>75.5</x:v>
      </x:c>
      <x:c r="D79" s="28" t="n">
        <x:f>IF(A79&lt;=15,'Anchor Points'!$C$2+(A79-'Anchor Points'!$A$2)/('Anchor Points'!$A$3-'Anchor Points'!$A$2)*('Anchor Points'!$C$3-'Anchor Points'!$C$2),IF(A79&lt;=25,'Anchor Points'!$C$3+(A79-'Anchor Points'!$A$3)/('Anchor Points'!$A$4-'Anchor Points'!$A$3)*('Anchor Points'!$C$4-'Anchor Points'!$C$3),IF(A79&lt;=40,'Anchor Points'!$C$4+(A79-'Anchor Points'!$A$4)/('Anchor Points'!$A$5-'Anchor Points'!$A$4)*('Anchor Points'!$C$5-'Anchor Points'!$C$4),IF(A79&lt;=55,'Anchor Points'!$C$5+(A79-'Anchor Points'!$A$5)/('Anchor Points'!$A$6-'Anchor Points'!$A$5)*('Anchor Points'!$C$6-'Anchor Points'!$C$5),IF(A79&lt;=70,'Anchor Points'!$C$6+(A79-'Anchor Points'!$A$6)/('Anchor Points'!$A$7-'Anchor Points'!$A$6)*('Anchor Points'!$C$7-'Anchor Points'!$C$6),IF(A79&lt;=90,'Anchor Points'!$C$7+(A79-'Anchor Points'!$A$7)/('Anchor Points'!$A$8-'Anchor Points'!$A$7)*('Anchor Points'!$C$8-'Anchor Points'!$C$7),'Anchor Points'!$C$8+(A79-'Anchor Points'!$A$8)/('Anchor Points'!$A$9-'Anchor Points'!$A$8)*('Anchor Points'!$C$9-'Anchor Points'!$C$8)))))))</x:f>
        <x:v>72</x:v>
      </x:c>
      <x:c r="E79" s="28" t="n">
        <x:f>IF(A79&lt;=15,'Anchor Points'!$D$2+(A79-'Anchor Points'!$A$2)/('Anchor Points'!$A$3-'Anchor Points'!$A$2)*('Anchor Points'!$D$3-'Anchor Points'!$D$2),IF(A79&lt;=25,'Anchor Points'!$D$3+(A79-'Anchor Points'!$A$3)/('Anchor Points'!$A$4-'Anchor Points'!$A$3)*('Anchor Points'!$D$4-'Anchor Points'!$D$3),IF(A79&lt;=40,'Anchor Points'!$D$4+(A79-'Anchor Points'!$A$4)/('Anchor Points'!$A$5-'Anchor Points'!$A$4)*('Anchor Points'!$D$5-'Anchor Points'!$D$4),IF(A79&lt;=55,'Anchor Points'!$D$5+(A79-'Anchor Points'!$A$5)/('Anchor Points'!$A$6-'Anchor Points'!$A$5)*('Anchor Points'!$D$6-'Anchor Points'!$D$5),IF(A79&lt;=70,'Anchor Points'!$D$6+(A79-'Anchor Points'!$A$6)/('Anchor Points'!$A$7-'Anchor Points'!$A$6)*('Anchor Points'!$D$7-'Anchor Points'!$D$6),IF(A79&lt;=90,'Anchor Points'!$D$7+(A79-'Anchor Points'!$A$7)/('Anchor Points'!$A$8-'Anchor Points'!$A$7)*('Anchor Points'!$D$8-'Anchor Points'!$D$7),'Anchor Points'!$D$8+(A79-'Anchor Points'!$A$8)/('Anchor Points'!$A$9-'Anchor Points'!$A$8)*('Anchor Points'!$D$9-'Anchor Points'!$D$8)))))))</x:f>
        <x:v>10.6</x:v>
      </x:c>
      <x:c r="F79" s="30" t="n">
        <x:f>ROUND(E79,0)</x:f>
        <x:v>11</x:v>
      </x:c>
      <x:c r="G79" s="28" t="n">
        <x:f>IF(A79&lt;=15,'Anchor Points'!$E$2+(A79-'Anchor Points'!$A$2)/('Anchor Points'!$A$3-'Anchor Points'!$A$2)*('Anchor Points'!$E$3-'Anchor Points'!$E$2),IF(A79&lt;=25,'Anchor Points'!$E$3+(A79-'Anchor Points'!$A$3)/('Anchor Points'!$A$4-'Anchor Points'!$A$3)*('Anchor Points'!$E$4-'Anchor Points'!$E$3),IF(A79&lt;=40,'Anchor Points'!$E$4+(A79-'Anchor Points'!$A$4)/('Anchor Points'!$A$5-'Anchor Points'!$A$4)*('Anchor Points'!$E$5-'Anchor Points'!$E$4),IF(A79&lt;=55,'Anchor Points'!$E$5+(A79-'Anchor Points'!$A$5)/('Anchor Points'!$A$6-'Anchor Points'!$A$5)*('Anchor Points'!$E$6-'Anchor Points'!$E$5),IF(A79&lt;=70,'Anchor Points'!$E$6+(A79-'Anchor Points'!$A$6)/('Anchor Points'!$A$7-'Anchor Points'!$A$6)*('Anchor Points'!$E$7-'Anchor Points'!$E$6),IF(A79&lt;=90,'Anchor Points'!$E$7+(A79-'Anchor Points'!$A$7)/('Anchor Points'!$A$8-'Anchor Points'!$A$7)*('Anchor Points'!$E$8-'Anchor Points'!$E$7),'Anchor Points'!$E$8+(A79-'Anchor Points'!$A$8)/('Anchor Points'!$A$9-'Anchor Points'!$A$8)*('Anchor Points'!$E$9-'Anchor Points'!$E$8)))))))</x:f>
        <x:v>6.75</x:v>
      </x:c>
      <x:c r="H79" s="30" t="n">
        <x:f>ROUND(G79,0)</x:f>
        <x:v>7</x:v>
      </x:c>
      <x:c r="I79" s="28" t="n">
        <x:f>IF(A79&lt;=15,'Anchor Points'!$F$2+(A79-'Anchor Points'!$A$2)/('Anchor Points'!$A$3-'Anchor Points'!$A$2)*('Anchor Points'!$F$3-'Anchor Points'!$F$2),IF(A79&lt;=25,'Anchor Points'!$F$3+(A79-'Anchor Points'!$A$3)/('Anchor Points'!$A$4-'Anchor Points'!$A$3)*('Anchor Points'!$F$4-'Anchor Points'!$F$3),IF(A79&lt;=40,'Anchor Points'!$F$4+(A79-'Anchor Points'!$A$4)/('Anchor Points'!$A$5-'Anchor Points'!$A$4)*('Anchor Points'!$F$5-'Anchor Points'!$F$4),IF(A79&lt;=55,'Anchor Points'!$F$5+(A79-'Anchor Points'!$A$5)/('Anchor Points'!$A$6-'Anchor Points'!$A$5)*('Anchor Points'!$F$6-'Anchor Points'!$F$5),IF(A79&lt;=70,'Anchor Points'!$F$6+(A79-'Anchor Points'!$A$6)/('Anchor Points'!$A$7-'Anchor Points'!$A$6)*('Anchor Points'!$F$7-'Anchor Points'!$F$6),IF(A79&lt;=90,'Anchor Points'!$F$7+(A79-'Anchor Points'!$A$7)/('Anchor Points'!$A$8-'Anchor Points'!$A$7)*('Anchor Points'!$F$8-'Anchor Points'!$F$7),'Anchor Points'!$F$8+(A79-'Anchor Points'!$A$8)/('Anchor Points'!$A$9-'Anchor Points'!$A$8)*('Anchor Points'!$F$9-'Anchor Points'!$F$8)))))))</x:f>
        <x:v>33.75</x:v>
      </x:c>
      <x:c r="J79" s="28" t="n">
        <x:v>8</x:v>
      </x:c>
      <x:c r="K79" s="56" t="n">
        <x:v>9</x:v>
      </x:c>
      <x:c r="L79" s="52" t="n">
        <x:v>10</x:v>
      </x:c>
      <x:c r="M79" s="52" t="n">
        <x:v>60</x:v>
      </x:c>
      <x:c r="N79" s="56" t="n">
        <x:v>65</x:v>
      </x:c>
      <x:c r="O79" s="28" t="n">
        <x:v>70</x:v>
      </x:c>
      <x:c r="P79" s="28" t="n">
        <x:v>70</x:v>
      </x:c>
      <x:c r="Q79" s="55" t="n">
        <x:v>80</x:v>
      </x:c>
      <x:c r="R79" s="28" t="n">
        <x:v>90</x:v>
      </x:c>
      <x:c r="S79" s="28" t="n">
        <x:v>12</x:v>
      </x:c>
      <x:c r="T79" s="28" t="n">
        <x:v>15</x:v>
      </x:c>
      <x:c r="U79" s="55" t="n">
        <x:v>18</x:v>
      </x:c>
      <x:c r="V79" s="28" t="n">
        <x:v>829</x:v>
      </x:c>
      <x:c r="W79" s="55" t="n">
        <x:v>1060</x:v>
      </x:c>
      <x:c r="X79" s="28" t="n">
        <x:v>1276</x:v>
      </x:c>
    </x:row>
    <x:row r="80">
      <x:c r="A80" s="30" t="n">
        <x:v>78</x:v>
      </x:c>
      <x:c r="B80" s="11" t="str">
        <x:f>IF(A80&lt;=15,"Seedling",IF(A80&lt;=25,"Establishment",IF(A80&lt;=40,"Vegetative Growth",IF(A80&lt;=55,"Flowering &amp; Initial Fruit Set",IF(A80&lt;=80,"Fruit Enlargement",IF(A80&lt;=95,"Ripening","Harvesting"))))))</x:f>
        <x:v>Fruit Enlargement</x:v>
      </x:c>
      <x:c r="C80" s="28" t="n">
        <x:f>IF(A80&lt;=15,'Anchor Points'!$B$2+(A80-'Anchor Points'!$A$2)/('Anchor Points'!$A$3-'Anchor Points'!$A$2)*('Anchor Points'!$B$3-'Anchor Points'!$B$2),IF(A80&lt;=25,'Anchor Points'!$B$3+(A80-'Anchor Points'!$A$3)/('Anchor Points'!$A$4-'Anchor Points'!$A$3)*('Anchor Points'!$B$4-'Anchor Points'!$B$3),IF(A80&lt;=40,'Anchor Points'!$B$4+(A80-'Anchor Points'!$A$4)/('Anchor Points'!$A$5-'Anchor Points'!$A$4)*('Anchor Points'!$B$5-'Anchor Points'!$B$4),IF(A80&lt;=55,'Anchor Points'!$B$5+(A80-'Anchor Points'!$A$5)/('Anchor Points'!$A$6-'Anchor Points'!$A$5)*('Anchor Points'!$B$6-'Anchor Points'!$B$5),IF(A80&lt;=70,'Anchor Points'!$B$6+(A80-'Anchor Points'!$A$6)/('Anchor Points'!$A$7-'Anchor Points'!$A$6)*('Anchor Points'!$B$7-'Anchor Points'!$B$6),IF(A80&lt;=90,'Anchor Points'!$B$7+(A80-'Anchor Points'!$A$7)/('Anchor Points'!$A$8-'Anchor Points'!$A$7)*('Anchor Points'!$B$8-'Anchor Points'!$B$7),'Anchor Points'!$B$8+(A80-'Anchor Points'!$A$8)/('Anchor Points'!$A$9-'Anchor Points'!$A$8)*('Anchor Points'!$B$9-'Anchor Points'!$B$8)))))))</x:f>
        <x:v>76</x:v>
      </x:c>
      <x:c r="D80" s="28" t="n">
        <x:f>IF(A80&lt;=15,'Anchor Points'!$C$2+(A80-'Anchor Points'!$A$2)/('Anchor Points'!$A$3-'Anchor Points'!$A$2)*('Anchor Points'!$C$3-'Anchor Points'!$C$2),IF(A80&lt;=25,'Anchor Points'!$C$3+(A80-'Anchor Points'!$A$3)/('Anchor Points'!$A$4-'Anchor Points'!$A$3)*('Anchor Points'!$C$4-'Anchor Points'!$C$3),IF(A80&lt;=40,'Anchor Points'!$C$4+(A80-'Anchor Points'!$A$4)/('Anchor Points'!$A$5-'Anchor Points'!$A$4)*('Anchor Points'!$C$5-'Anchor Points'!$C$4),IF(A80&lt;=55,'Anchor Points'!$C$5+(A80-'Anchor Points'!$A$5)/('Anchor Points'!$A$6-'Anchor Points'!$A$5)*('Anchor Points'!$C$6-'Anchor Points'!$C$5),IF(A80&lt;=70,'Anchor Points'!$C$6+(A80-'Anchor Points'!$A$6)/('Anchor Points'!$A$7-'Anchor Points'!$A$6)*('Anchor Points'!$C$7-'Anchor Points'!$C$6),IF(A80&lt;=90,'Anchor Points'!$C$7+(A80-'Anchor Points'!$A$7)/('Anchor Points'!$A$8-'Anchor Points'!$A$7)*('Anchor Points'!$C$8-'Anchor Points'!$C$7),'Anchor Points'!$C$8+(A80-'Anchor Points'!$A$8)/('Anchor Points'!$A$9-'Anchor Points'!$A$8)*('Anchor Points'!$C$9-'Anchor Points'!$C$8)))))))</x:f>
        <x:v>73</x:v>
      </x:c>
      <x:c r="E80" s="28" t="n">
        <x:f>IF(A80&lt;=15,'Anchor Points'!$D$2+(A80-'Anchor Points'!$A$2)/('Anchor Points'!$A$3-'Anchor Points'!$A$2)*('Anchor Points'!$D$3-'Anchor Points'!$D$2),IF(A80&lt;=25,'Anchor Points'!$D$3+(A80-'Anchor Points'!$A$3)/('Anchor Points'!$A$4-'Anchor Points'!$A$3)*('Anchor Points'!$D$4-'Anchor Points'!$D$3),IF(A80&lt;=40,'Anchor Points'!$D$4+(A80-'Anchor Points'!$A$4)/('Anchor Points'!$A$5-'Anchor Points'!$A$4)*('Anchor Points'!$D$5-'Anchor Points'!$D$4),IF(A80&lt;=55,'Anchor Points'!$D$5+(A80-'Anchor Points'!$A$5)/('Anchor Points'!$A$6-'Anchor Points'!$A$5)*('Anchor Points'!$D$6-'Anchor Points'!$D$5),IF(A80&lt;=70,'Anchor Points'!$D$6+(A80-'Anchor Points'!$A$6)/('Anchor Points'!$A$7-'Anchor Points'!$A$6)*('Anchor Points'!$D$7-'Anchor Points'!$D$6),IF(A80&lt;=90,'Anchor Points'!$D$7+(A80-'Anchor Points'!$A$7)/('Anchor Points'!$A$8-'Anchor Points'!$A$7)*('Anchor Points'!$D$8-'Anchor Points'!$D$7),'Anchor Points'!$D$8+(A80-'Anchor Points'!$A$8)/('Anchor Points'!$A$9-'Anchor Points'!$A$8)*('Anchor Points'!$D$9-'Anchor Points'!$D$8)))))))</x:f>
        <x:v>10.4</x:v>
      </x:c>
      <x:c r="F80" s="30" t="n">
        <x:f>ROUND(E80,0)</x:f>
        <x:v>10</x:v>
      </x:c>
      <x:c r="G80" s="28" t="n">
        <x:f>IF(A80&lt;=15,'Anchor Points'!$E$2+(A80-'Anchor Points'!$A$2)/('Anchor Points'!$A$3-'Anchor Points'!$A$2)*('Anchor Points'!$E$3-'Anchor Points'!$E$2),IF(A80&lt;=25,'Anchor Points'!$E$3+(A80-'Anchor Points'!$A$3)/('Anchor Points'!$A$4-'Anchor Points'!$A$3)*('Anchor Points'!$E$4-'Anchor Points'!$E$3),IF(A80&lt;=40,'Anchor Points'!$E$4+(A80-'Anchor Points'!$A$4)/('Anchor Points'!$A$5-'Anchor Points'!$A$4)*('Anchor Points'!$E$5-'Anchor Points'!$E$4),IF(A80&lt;=55,'Anchor Points'!$E$5+(A80-'Anchor Points'!$A$5)/('Anchor Points'!$A$6-'Anchor Points'!$A$5)*('Anchor Points'!$E$6-'Anchor Points'!$E$5),IF(A80&lt;=70,'Anchor Points'!$E$6+(A80-'Anchor Points'!$A$6)/('Anchor Points'!$A$7-'Anchor Points'!$A$6)*('Anchor Points'!$E$7-'Anchor Points'!$E$6),IF(A80&lt;=90,'Anchor Points'!$E$7+(A80-'Anchor Points'!$A$7)/('Anchor Points'!$A$8-'Anchor Points'!$A$7)*('Anchor Points'!$E$8-'Anchor Points'!$E$7),'Anchor Points'!$E$8+(A80-'Anchor Points'!$A$8)/('Anchor Points'!$A$9-'Anchor Points'!$A$8)*('Anchor Points'!$E$9-'Anchor Points'!$E$8)))))))</x:f>
        <x:v>7</x:v>
      </x:c>
      <x:c r="H80" s="30" t="n">
        <x:f>ROUND(G80,0)</x:f>
        <x:v>7</x:v>
      </x:c>
      <x:c r="I80" s="28" t="n">
        <x:f>IF(A80&lt;=15,'Anchor Points'!$F$2+(A80-'Anchor Points'!$A$2)/('Anchor Points'!$A$3-'Anchor Points'!$A$2)*('Anchor Points'!$F$3-'Anchor Points'!$F$2),IF(A80&lt;=25,'Anchor Points'!$F$3+(A80-'Anchor Points'!$A$3)/('Anchor Points'!$A$4-'Anchor Points'!$A$3)*('Anchor Points'!$F$4-'Anchor Points'!$F$3),IF(A80&lt;=40,'Anchor Points'!$F$4+(A80-'Anchor Points'!$A$4)/('Anchor Points'!$A$5-'Anchor Points'!$A$4)*('Anchor Points'!$F$5-'Anchor Points'!$F$4),IF(A80&lt;=55,'Anchor Points'!$F$5+(A80-'Anchor Points'!$A$5)/('Anchor Points'!$A$6-'Anchor Points'!$A$5)*('Anchor Points'!$F$6-'Anchor Points'!$F$5),IF(A80&lt;=70,'Anchor Points'!$F$6+(A80-'Anchor Points'!$A$6)/('Anchor Points'!$A$7-'Anchor Points'!$A$6)*('Anchor Points'!$F$7-'Anchor Points'!$F$6),IF(A80&lt;=90,'Anchor Points'!$F$7+(A80-'Anchor Points'!$A$7)/('Anchor Points'!$A$8-'Anchor Points'!$A$7)*('Anchor Points'!$F$8-'Anchor Points'!$F$7),'Anchor Points'!$F$8+(A80-'Anchor Points'!$A$8)/('Anchor Points'!$A$9-'Anchor Points'!$A$8)*('Anchor Points'!$F$9-'Anchor Points'!$F$8)))))))</x:f>
        <x:v>35</x:v>
      </x:c>
      <x:c r="J80" s="28" t="n">
        <x:v>8</x:v>
      </x:c>
      <x:c r="K80" s="56" t="n">
        <x:v>9</x:v>
      </x:c>
      <x:c r="L80" s="52" t="n">
        <x:v>10</x:v>
      </x:c>
      <x:c r="M80" s="52" t="n">
        <x:v>60</x:v>
      </x:c>
      <x:c r="N80" s="56" t="n">
        <x:v>65</x:v>
      </x:c>
      <x:c r="O80" s="28" t="n">
        <x:v>70</x:v>
      </x:c>
      <x:c r="P80" s="28" t="n">
        <x:v>70</x:v>
      </x:c>
      <x:c r="Q80" s="55" t="n">
        <x:v>80</x:v>
      </x:c>
      <x:c r="R80" s="28" t="n">
        <x:v>90</x:v>
      </x:c>
      <x:c r="S80" s="28" t="n">
        <x:v>12</x:v>
      </x:c>
      <x:c r="T80" s="28" t="n">
        <x:v>15</x:v>
      </x:c>
      <x:c r="U80" s="55" t="n">
        <x:v>18</x:v>
      </x:c>
      <x:c r="V80" s="28" t="n">
        <x:v>841</x:v>
      </x:c>
      <x:c r="W80" s="55" t="n">
        <x:v>1075</x:v>
      </x:c>
      <x:c r="X80" s="28" t="n">
        <x:v>1294</x:v>
      </x:c>
    </x:row>
    <x:row r="81">
      <x:c r="A81" s="30" t="n">
        <x:v>79</x:v>
      </x:c>
      <x:c r="B81" s="11" t="str">
        <x:f>IF(A81&lt;=15,"Seedling",IF(A81&lt;=25,"Establishment",IF(A81&lt;=40,"Vegetative Growth",IF(A81&lt;=55,"Flowering &amp; Initial Fruit Set",IF(A81&lt;=80,"Fruit Enlargement",IF(A81&lt;=95,"Ripening","Harvesting"))))))</x:f>
        <x:v>Fruit Enlargement</x:v>
      </x:c>
      <x:c r="C81" s="28" t="n">
        <x:f>IF(A81&lt;=15,'Anchor Points'!$B$2+(A81-'Anchor Points'!$A$2)/('Anchor Points'!$A$3-'Anchor Points'!$A$2)*('Anchor Points'!$B$3-'Anchor Points'!$B$2),IF(A81&lt;=25,'Anchor Points'!$B$3+(A81-'Anchor Points'!$A$3)/('Anchor Points'!$A$4-'Anchor Points'!$A$3)*('Anchor Points'!$B$4-'Anchor Points'!$B$3),IF(A81&lt;=40,'Anchor Points'!$B$4+(A81-'Anchor Points'!$A$4)/('Anchor Points'!$A$5-'Anchor Points'!$A$4)*('Anchor Points'!$B$5-'Anchor Points'!$B$4),IF(A81&lt;=55,'Anchor Points'!$B$5+(A81-'Anchor Points'!$A$5)/('Anchor Points'!$A$6-'Anchor Points'!$A$5)*('Anchor Points'!$B$6-'Anchor Points'!$B$5),IF(A81&lt;=70,'Anchor Points'!$B$6+(A81-'Anchor Points'!$A$6)/('Anchor Points'!$A$7-'Anchor Points'!$A$6)*('Anchor Points'!$B$7-'Anchor Points'!$B$6),IF(A81&lt;=90,'Anchor Points'!$B$7+(A81-'Anchor Points'!$A$7)/('Anchor Points'!$A$8-'Anchor Points'!$A$7)*('Anchor Points'!$B$8-'Anchor Points'!$B$7),'Anchor Points'!$B$8+(A81-'Anchor Points'!$A$8)/('Anchor Points'!$A$9-'Anchor Points'!$A$8)*('Anchor Points'!$B$9-'Anchor Points'!$B$8)))))))</x:f>
        <x:v>76.5</x:v>
      </x:c>
      <x:c r="D81" s="28" t="n">
        <x:f>IF(A81&lt;=15,'Anchor Points'!$C$2+(A81-'Anchor Points'!$A$2)/('Anchor Points'!$A$3-'Anchor Points'!$A$2)*('Anchor Points'!$C$3-'Anchor Points'!$C$2),IF(A81&lt;=25,'Anchor Points'!$C$3+(A81-'Anchor Points'!$A$3)/('Anchor Points'!$A$4-'Anchor Points'!$A$3)*('Anchor Points'!$C$4-'Anchor Points'!$C$3),IF(A81&lt;=40,'Anchor Points'!$C$4+(A81-'Anchor Points'!$A$4)/('Anchor Points'!$A$5-'Anchor Points'!$A$4)*('Anchor Points'!$C$5-'Anchor Points'!$C$4),IF(A81&lt;=55,'Anchor Points'!$C$5+(A81-'Anchor Points'!$A$5)/('Anchor Points'!$A$6-'Anchor Points'!$A$5)*('Anchor Points'!$C$6-'Anchor Points'!$C$5),IF(A81&lt;=70,'Anchor Points'!$C$6+(A81-'Anchor Points'!$A$6)/('Anchor Points'!$A$7-'Anchor Points'!$A$6)*('Anchor Points'!$C$7-'Anchor Points'!$C$6),IF(A81&lt;=90,'Anchor Points'!$C$7+(A81-'Anchor Points'!$A$7)/('Anchor Points'!$A$8-'Anchor Points'!$A$7)*('Anchor Points'!$C$8-'Anchor Points'!$C$7),'Anchor Points'!$C$8+(A81-'Anchor Points'!$A$8)/('Anchor Points'!$A$9-'Anchor Points'!$A$8)*('Anchor Points'!$C$9-'Anchor Points'!$C$8)))))))</x:f>
        <x:v>74</x:v>
      </x:c>
      <x:c r="E81" s="28" t="n">
        <x:f>IF(A81&lt;=15,'Anchor Points'!$D$2+(A81-'Anchor Points'!$A$2)/('Anchor Points'!$A$3-'Anchor Points'!$A$2)*('Anchor Points'!$D$3-'Anchor Points'!$D$2),IF(A81&lt;=25,'Anchor Points'!$D$3+(A81-'Anchor Points'!$A$3)/('Anchor Points'!$A$4-'Anchor Points'!$A$3)*('Anchor Points'!$D$4-'Anchor Points'!$D$3),IF(A81&lt;=40,'Anchor Points'!$D$4+(A81-'Anchor Points'!$A$4)/('Anchor Points'!$A$5-'Anchor Points'!$A$4)*('Anchor Points'!$D$5-'Anchor Points'!$D$4),IF(A81&lt;=55,'Anchor Points'!$D$5+(A81-'Anchor Points'!$A$5)/('Anchor Points'!$A$6-'Anchor Points'!$A$5)*('Anchor Points'!$D$6-'Anchor Points'!$D$5),IF(A81&lt;=70,'Anchor Points'!$D$6+(A81-'Anchor Points'!$A$6)/('Anchor Points'!$A$7-'Anchor Points'!$A$6)*('Anchor Points'!$D$7-'Anchor Points'!$D$6),IF(A81&lt;=90,'Anchor Points'!$D$7+(A81-'Anchor Points'!$A$7)/('Anchor Points'!$A$8-'Anchor Points'!$A$7)*('Anchor Points'!$D$8-'Anchor Points'!$D$7),'Anchor Points'!$D$8+(A81-'Anchor Points'!$A$8)/('Anchor Points'!$A$9-'Anchor Points'!$A$8)*('Anchor Points'!$D$9-'Anchor Points'!$D$8)))))))</x:f>
        <x:v>10.2</x:v>
      </x:c>
      <x:c r="F81" s="30" t="n">
        <x:f>ROUND(E81,0)</x:f>
        <x:v>10</x:v>
      </x:c>
      <x:c r="G81" s="28" t="n">
        <x:f>IF(A81&lt;=15,'Anchor Points'!$E$2+(A81-'Anchor Points'!$A$2)/('Anchor Points'!$A$3-'Anchor Points'!$A$2)*('Anchor Points'!$E$3-'Anchor Points'!$E$2),IF(A81&lt;=25,'Anchor Points'!$E$3+(A81-'Anchor Points'!$A$3)/('Anchor Points'!$A$4-'Anchor Points'!$A$3)*('Anchor Points'!$E$4-'Anchor Points'!$E$3),IF(A81&lt;=40,'Anchor Points'!$E$4+(A81-'Anchor Points'!$A$4)/('Anchor Points'!$A$5-'Anchor Points'!$A$4)*('Anchor Points'!$E$5-'Anchor Points'!$E$4),IF(A81&lt;=55,'Anchor Points'!$E$5+(A81-'Anchor Points'!$A$5)/('Anchor Points'!$A$6-'Anchor Points'!$A$5)*('Anchor Points'!$E$6-'Anchor Points'!$E$5),IF(A81&lt;=70,'Anchor Points'!$E$6+(A81-'Anchor Points'!$A$6)/('Anchor Points'!$A$7-'Anchor Points'!$A$6)*('Anchor Points'!$E$7-'Anchor Points'!$E$6),IF(A81&lt;=90,'Anchor Points'!$E$7+(A81-'Anchor Points'!$A$7)/('Anchor Points'!$A$8-'Anchor Points'!$A$7)*('Anchor Points'!$E$8-'Anchor Points'!$E$7),'Anchor Points'!$E$8+(A81-'Anchor Points'!$A$8)/('Anchor Points'!$A$9-'Anchor Points'!$A$8)*('Anchor Points'!$E$9-'Anchor Points'!$E$8)))))))</x:f>
        <x:v>7.25</x:v>
      </x:c>
      <x:c r="H81" s="30" t="n">
        <x:f>ROUND(G81,0)</x:f>
        <x:v>7</x:v>
      </x:c>
      <x:c r="I81" s="28" t="n">
        <x:f>IF(A81&lt;=15,'Anchor Points'!$F$2+(A81-'Anchor Points'!$A$2)/('Anchor Points'!$A$3-'Anchor Points'!$A$2)*('Anchor Points'!$F$3-'Anchor Points'!$F$2),IF(A81&lt;=25,'Anchor Points'!$F$3+(A81-'Anchor Points'!$A$3)/('Anchor Points'!$A$4-'Anchor Points'!$A$3)*('Anchor Points'!$F$4-'Anchor Points'!$F$3),IF(A81&lt;=40,'Anchor Points'!$F$4+(A81-'Anchor Points'!$A$4)/('Anchor Points'!$A$5-'Anchor Points'!$A$4)*('Anchor Points'!$F$5-'Anchor Points'!$F$4),IF(A81&lt;=55,'Anchor Points'!$F$5+(A81-'Anchor Points'!$A$5)/('Anchor Points'!$A$6-'Anchor Points'!$A$5)*('Anchor Points'!$F$6-'Anchor Points'!$F$5),IF(A81&lt;=70,'Anchor Points'!$F$6+(A81-'Anchor Points'!$A$6)/('Anchor Points'!$A$7-'Anchor Points'!$A$6)*('Anchor Points'!$F$7-'Anchor Points'!$F$6),IF(A81&lt;=90,'Anchor Points'!$F$7+(A81-'Anchor Points'!$A$7)/('Anchor Points'!$A$8-'Anchor Points'!$A$7)*('Anchor Points'!$F$8-'Anchor Points'!$F$7),'Anchor Points'!$F$8+(A81-'Anchor Points'!$A$8)/('Anchor Points'!$A$9-'Anchor Points'!$A$8)*('Anchor Points'!$F$9-'Anchor Points'!$F$8)))))))</x:f>
        <x:v>36.25</x:v>
      </x:c>
      <x:c r="J81" s="28" t="n">
        <x:v>8</x:v>
      </x:c>
      <x:c r="K81" s="56" t="n">
        <x:v>9</x:v>
      </x:c>
      <x:c r="L81" s="52" t="n">
        <x:v>10</x:v>
      </x:c>
      <x:c r="M81" s="52" t="n">
        <x:v>60</x:v>
      </x:c>
      <x:c r="N81" s="56" t="n">
        <x:v>65</x:v>
      </x:c>
      <x:c r="O81" s="28" t="n">
        <x:v>70</x:v>
      </x:c>
      <x:c r="P81" s="28" t="n">
        <x:v>70</x:v>
      </x:c>
      <x:c r="Q81" s="55" t="n">
        <x:v>80</x:v>
      </x:c>
      <x:c r="R81" s="28" t="n">
        <x:v>90</x:v>
      </x:c>
      <x:c r="S81" s="28" t="n">
        <x:v>12</x:v>
      </x:c>
      <x:c r="T81" s="28" t="n">
        <x:v>15</x:v>
      </x:c>
      <x:c r="U81" s="55" t="n">
        <x:v>18</x:v>
      </x:c>
      <x:c r="V81" s="28" t="n">
        <x:v>853</x:v>
      </x:c>
      <x:c r="W81" s="55" t="n">
        <x:v>1090</x:v>
      </x:c>
      <x:c r="X81" s="28" t="n">
        <x:v>1312</x:v>
      </x:c>
    </x:row>
    <x:row r="82">
      <x:c r="A82" s="30" t="n">
        <x:v>80</x:v>
      </x:c>
      <x:c r="B82" s="11" t="str">
        <x:f>IF(A82&lt;=15,"Seedling",IF(A82&lt;=25,"Establishment",IF(A82&lt;=40,"Vegetative Growth",IF(A82&lt;=55,"Flowering &amp; Initial Fruit Set",IF(A82&lt;=80,"Fruit Enlargement",IF(A82&lt;=95,"Ripening","Harvesting"))))))</x:f>
        <x:v>Fruit Enlargement</x:v>
      </x:c>
      <x:c r="C82" s="28" t="n">
        <x:f>IF(A82&lt;=15,'Anchor Points'!$B$2+(A82-'Anchor Points'!$A$2)/('Anchor Points'!$A$3-'Anchor Points'!$A$2)*('Anchor Points'!$B$3-'Anchor Points'!$B$2),IF(A82&lt;=25,'Anchor Points'!$B$3+(A82-'Anchor Points'!$A$3)/('Anchor Points'!$A$4-'Anchor Points'!$A$3)*('Anchor Points'!$B$4-'Anchor Points'!$B$3),IF(A82&lt;=40,'Anchor Points'!$B$4+(A82-'Anchor Points'!$A$4)/('Anchor Points'!$A$5-'Anchor Points'!$A$4)*('Anchor Points'!$B$5-'Anchor Points'!$B$4),IF(A82&lt;=55,'Anchor Points'!$B$5+(A82-'Anchor Points'!$A$5)/('Anchor Points'!$A$6-'Anchor Points'!$A$5)*('Anchor Points'!$B$6-'Anchor Points'!$B$5),IF(A82&lt;=70,'Anchor Points'!$B$6+(A82-'Anchor Points'!$A$6)/('Anchor Points'!$A$7-'Anchor Points'!$A$6)*('Anchor Points'!$B$7-'Anchor Points'!$B$6),IF(A82&lt;=90,'Anchor Points'!$B$7+(A82-'Anchor Points'!$A$7)/('Anchor Points'!$A$8-'Anchor Points'!$A$7)*('Anchor Points'!$B$8-'Anchor Points'!$B$7),'Anchor Points'!$B$8+(A82-'Anchor Points'!$A$8)/('Anchor Points'!$A$9-'Anchor Points'!$A$8)*('Anchor Points'!$B$9-'Anchor Points'!$B$8)))))))</x:f>
        <x:v>77</x:v>
      </x:c>
      <x:c r="D82" s="28" t="n">
        <x:f>IF(A82&lt;=15,'Anchor Points'!$C$2+(A82-'Anchor Points'!$A$2)/('Anchor Points'!$A$3-'Anchor Points'!$A$2)*('Anchor Points'!$C$3-'Anchor Points'!$C$2),IF(A82&lt;=25,'Anchor Points'!$C$3+(A82-'Anchor Points'!$A$3)/('Anchor Points'!$A$4-'Anchor Points'!$A$3)*('Anchor Points'!$C$4-'Anchor Points'!$C$3),IF(A82&lt;=40,'Anchor Points'!$C$4+(A82-'Anchor Points'!$A$4)/('Anchor Points'!$A$5-'Anchor Points'!$A$4)*('Anchor Points'!$C$5-'Anchor Points'!$C$4),IF(A82&lt;=55,'Anchor Points'!$C$5+(A82-'Anchor Points'!$A$5)/('Anchor Points'!$A$6-'Anchor Points'!$A$5)*('Anchor Points'!$C$6-'Anchor Points'!$C$5),IF(A82&lt;=70,'Anchor Points'!$C$6+(A82-'Anchor Points'!$A$6)/('Anchor Points'!$A$7-'Anchor Points'!$A$6)*('Anchor Points'!$C$7-'Anchor Points'!$C$6),IF(A82&lt;=90,'Anchor Points'!$C$7+(A82-'Anchor Points'!$A$7)/('Anchor Points'!$A$8-'Anchor Points'!$A$7)*('Anchor Points'!$C$8-'Anchor Points'!$C$7),'Anchor Points'!$C$8+(A82-'Anchor Points'!$A$8)/('Anchor Points'!$A$9-'Anchor Points'!$A$8)*('Anchor Points'!$C$9-'Anchor Points'!$C$8)))))))</x:f>
        <x:v>75</x:v>
      </x:c>
      <x:c r="E82" s="28" t="n">
        <x:f>IF(A82&lt;=15,'Anchor Points'!$D$2+(A82-'Anchor Points'!$A$2)/('Anchor Points'!$A$3-'Anchor Points'!$A$2)*('Anchor Points'!$D$3-'Anchor Points'!$D$2),IF(A82&lt;=25,'Anchor Points'!$D$3+(A82-'Anchor Points'!$A$3)/('Anchor Points'!$A$4-'Anchor Points'!$A$3)*('Anchor Points'!$D$4-'Anchor Points'!$D$3),IF(A82&lt;=40,'Anchor Points'!$D$4+(A82-'Anchor Points'!$A$4)/('Anchor Points'!$A$5-'Anchor Points'!$A$4)*('Anchor Points'!$D$5-'Anchor Points'!$D$4),IF(A82&lt;=55,'Anchor Points'!$D$5+(A82-'Anchor Points'!$A$5)/('Anchor Points'!$A$6-'Anchor Points'!$A$5)*('Anchor Points'!$D$6-'Anchor Points'!$D$5),IF(A82&lt;=70,'Anchor Points'!$D$6+(A82-'Anchor Points'!$A$6)/('Anchor Points'!$A$7-'Anchor Points'!$A$6)*('Anchor Points'!$D$7-'Anchor Points'!$D$6),IF(A82&lt;=90,'Anchor Points'!$D$7+(A82-'Anchor Points'!$A$7)/('Anchor Points'!$A$8-'Anchor Points'!$A$7)*('Anchor Points'!$D$8-'Anchor Points'!$D$7),'Anchor Points'!$D$8+(A82-'Anchor Points'!$A$8)/('Anchor Points'!$A$9-'Anchor Points'!$A$8)*('Anchor Points'!$D$9-'Anchor Points'!$D$8)))))))</x:f>
        <x:v>10</x:v>
      </x:c>
      <x:c r="F82" s="30" t="n">
        <x:f>ROUND(E82,0)</x:f>
        <x:v>10</x:v>
      </x:c>
      <x:c r="G82" s="28" t="n">
        <x:f>IF(A82&lt;=15,'Anchor Points'!$E$2+(A82-'Anchor Points'!$A$2)/('Anchor Points'!$A$3-'Anchor Points'!$A$2)*('Anchor Points'!$E$3-'Anchor Points'!$E$2),IF(A82&lt;=25,'Anchor Points'!$E$3+(A82-'Anchor Points'!$A$3)/('Anchor Points'!$A$4-'Anchor Points'!$A$3)*('Anchor Points'!$E$4-'Anchor Points'!$E$3),IF(A82&lt;=40,'Anchor Points'!$E$4+(A82-'Anchor Points'!$A$4)/('Anchor Points'!$A$5-'Anchor Points'!$A$4)*('Anchor Points'!$E$5-'Anchor Points'!$E$4),IF(A82&lt;=55,'Anchor Points'!$E$5+(A82-'Anchor Points'!$A$5)/('Anchor Points'!$A$6-'Anchor Points'!$A$5)*('Anchor Points'!$E$6-'Anchor Points'!$E$5),IF(A82&lt;=70,'Anchor Points'!$E$6+(A82-'Anchor Points'!$A$6)/('Anchor Points'!$A$7-'Anchor Points'!$A$6)*('Anchor Points'!$E$7-'Anchor Points'!$E$6),IF(A82&lt;=90,'Anchor Points'!$E$7+(A82-'Anchor Points'!$A$7)/('Anchor Points'!$A$8-'Anchor Points'!$A$7)*('Anchor Points'!$E$8-'Anchor Points'!$E$7),'Anchor Points'!$E$8+(A82-'Anchor Points'!$A$8)/('Anchor Points'!$A$9-'Anchor Points'!$A$8)*('Anchor Points'!$E$9-'Anchor Points'!$E$8)))))))</x:f>
        <x:v>7.5</x:v>
      </x:c>
      <x:c r="H82" s="30" t="n">
        <x:f>ROUND(G82,0)</x:f>
        <x:v>8</x:v>
      </x:c>
      <x:c r="I82" s="28" t="n">
        <x:f>IF(A82&lt;=15,'Anchor Points'!$F$2+(A82-'Anchor Points'!$A$2)/('Anchor Points'!$A$3-'Anchor Points'!$A$2)*('Anchor Points'!$F$3-'Anchor Points'!$F$2),IF(A82&lt;=25,'Anchor Points'!$F$3+(A82-'Anchor Points'!$A$3)/('Anchor Points'!$A$4-'Anchor Points'!$A$3)*('Anchor Points'!$F$4-'Anchor Points'!$F$3),IF(A82&lt;=40,'Anchor Points'!$F$4+(A82-'Anchor Points'!$A$4)/('Anchor Points'!$A$5-'Anchor Points'!$A$4)*('Anchor Points'!$F$5-'Anchor Points'!$F$4),IF(A82&lt;=55,'Anchor Points'!$F$5+(A82-'Anchor Points'!$A$5)/('Anchor Points'!$A$6-'Anchor Points'!$A$5)*('Anchor Points'!$F$6-'Anchor Points'!$F$5),IF(A82&lt;=70,'Anchor Points'!$F$6+(A82-'Anchor Points'!$A$6)/('Anchor Points'!$A$7-'Anchor Points'!$A$6)*('Anchor Points'!$F$7-'Anchor Points'!$F$6),IF(A82&lt;=90,'Anchor Points'!$F$7+(A82-'Anchor Points'!$A$7)/('Anchor Points'!$A$8-'Anchor Points'!$A$7)*('Anchor Points'!$F$8-'Anchor Points'!$F$7),'Anchor Points'!$F$8+(A82-'Anchor Points'!$A$8)/('Anchor Points'!$A$9-'Anchor Points'!$A$8)*('Anchor Points'!$F$9-'Anchor Points'!$F$8)))))))</x:f>
        <x:v>37.5</x:v>
      </x:c>
      <x:c r="J82" s="28" t="n">
        <x:v>8</x:v>
      </x:c>
      <x:c r="K82" s="56" t="n">
        <x:v>9</x:v>
      </x:c>
      <x:c r="L82" s="52" t="n">
        <x:v>10</x:v>
      </x:c>
      <x:c r="M82" s="52" t="n">
        <x:v>60</x:v>
      </x:c>
      <x:c r="N82" s="56" t="n">
        <x:v>65</x:v>
      </x:c>
      <x:c r="O82" s="28" t="n">
        <x:v>70</x:v>
      </x:c>
      <x:c r="P82" s="28" t="n">
        <x:v>70</x:v>
      </x:c>
      <x:c r="Q82" s="55" t="n">
        <x:v>80</x:v>
      </x:c>
      <x:c r="R82" s="28" t="n">
        <x:v>90</x:v>
      </x:c>
      <x:c r="S82" s="28" t="n">
        <x:v>12</x:v>
      </x:c>
      <x:c r="T82" s="28" t="n">
        <x:v>15</x:v>
      </x:c>
      <x:c r="U82" s="55" t="n">
        <x:v>18</x:v>
      </x:c>
      <x:c r="V82" s="28" t="n">
        <x:v>865</x:v>
      </x:c>
      <x:c r="W82" s="55" t="n">
        <x:v>1105</x:v>
      </x:c>
      <x:c r="X82" s="28" t="n">
        <x:v>1330</x:v>
      </x:c>
    </x:row>
    <x:row r="83">
      <x:c r="A83" s="30" t="n">
        <x:v>81</x:v>
      </x:c>
      <x:c r="B83" s="11" t="str">
        <x:f>IF(A83&lt;=15,"Seedling",IF(A83&lt;=25,"Establishment",IF(A83&lt;=40,"Vegetative Growth",IF(A83&lt;=55,"Flowering &amp; Initial Fruit Set",IF(A83&lt;=80,"Fruit Enlargement",IF(A83&lt;=95,"Ripening","Harvesting"))))))</x:f>
        <x:v>Ripening</x:v>
      </x:c>
      <x:c r="C83" s="28" t="n">
        <x:f>IF(A83&lt;=15,'Anchor Points'!$B$2+(A83-'Anchor Points'!$A$2)/('Anchor Points'!$A$3-'Anchor Points'!$A$2)*('Anchor Points'!$B$3-'Anchor Points'!$B$2),IF(A83&lt;=25,'Anchor Points'!$B$3+(A83-'Anchor Points'!$A$3)/('Anchor Points'!$A$4-'Anchor Points'!$A$3)*('Anchor Points'!$B$4-'Anchor Points'!$B$3),IF(A83&lt;=40,'Anchor Points'!$B$4+(A83-'Anchor Points'!$A$4)/('Anchor Points'!$A$5-'Anchor Points'!$A$4)*('Anchor Points'!$B$5-'Anchor Points'!$B$4),IF(A83&lt;=55,'Anchor Points'!$B$5+(A83-'Anchor Points'!$A$5)/('Anchor Points'!$A$6-'Anchor Points'!$A$5)*('Anchor Points'!$B$6-'Anchor Points'!$B$5),IF(A83&lt;=70,'Anchor Points'!$B$6+(A83-'Anchor Points'!$A$6)/('Anchor Points'!$A$7-'Anchor Points'!$A$6)*('Anchor Points'!$B$7-'Anchor Points'!$B$6),IF(A83&lt;=90,'Anchor Points'!$B$7+(A83-'Anchor Points'!$A$7)/('Anchor Points'!$A$8-'Anchor Points'!$A$7)*('Anchor Points'!$B$8-'Anchor Points'!$B$7),'Anchor Points'!$B$8+(A83-'Anchor Points'!$A$8)/('Anchor Points'!$A$9-'Anchor Points'!$A$8)*('Anchor Points'!$B$9-'Anchor Points'!$B$8)))))))</x:f>
        <x:v>77.5</x:v>
      </x:c>
      <x:c r="D83" s="28" t="n">
        <x:f>IF(A83&lt;=15,'Anchor Points'!$C$2+(A83-'Anchor Points'!$A$2)/('Anchor Points'!$A$3-'Anchor Points'!$A$2)*('Anchor Points'!$C$3-'Anchor Points'!$C$2),IF(A83&lt;=25,'Anchor Points'!$C$3+(A83-'Anchor Points'!$A$3)/('Anchor Points'!$A$4-'Anchor Points'!$A$3)*('Anchor Points'!$C$4-'Anchor Points'!$C$3),IF(A83&lt;=40,'Anchor Points'!$C$4+(A83-'Anchor Points'!$A$4)/('Anchor Points'!$A$5-'Anchor Points'!$A$4)*('Anchor Points'!$C$5-'Anchor Points'!$C$4),IF(A83&lt;=55,'Anchor Points'!$C$5+(A83-'Anchor Points'!$A$5)/('Anchor Points'!$A$6-'Anchor Points'!$A$5)*('Anchor Points'!$C$6-'Anchor Points'!$C$5),IF(A83&lt;=70,'Anchor Points'!$C$6+(A83-'Anchor Points'!$A$6)/('Anchor Points'!$A$7-'Anchor Points'!$A$6)*('Anchor Points'!$C$7-'Anchor Points'!$C$6),IF(A83&lt;=90,'Anchor Points'!$C$7+(A83-'Anchor Points'!$A$7)/('Anchor Points'!$A$8-'Anchor Points'!$A$7)*('Anchor Points'!$C$8-'Anchor Points'!$C$7),'Anchor Points'!$C$8+(A83-'Anchor Points'!$A$8)/('Anchor Points'!$A$9-'Anchor Points'!$A$8)*('Anchor Points'!$C$9-'Anchor Points'!$C$8)))))))</x:f>
        <x:v>76</x:v>
      </x:c>
      <x:c r="E83" s="28" t="n">
        <x:f>IF(A83&lt;=15,'Anchor Points'!$D$2+(A83-'Anchor Points'!$A$2)/('Anchor Points'!$A$3-'Anchor Points'!$A$2)*('Anchor Points'!$D$3-'Anchor Points'!$D$2),IF(A83&lt;=25,'Anchor Points'!$D$3+(A83-'Anchor Points'!$A$3)/('Anchor Points'!$A$4-'Anchor Points'!$A$3)*('Anchor Points'!$D$4-'Anchor Points'!$D$3),IF(A83&lt;=40,'Anchor Points'!$D$4+(A83-'Anchor Points'!$A$4)/('Anchor Points'!$A$5-'Anchor Points'!$A$4)*('Anchor Points'!$D$5-'Anchor Points'!$D$4),IF(A83&lt;=55,'Anchor Points'!$D$5+(A83-'Anchor Points'!$A$5)/('Anchor Points'!$A$6-'Anchor Points'!$A$5)*('Anchor Points'!$D$6-'Anchor Points'!$D$5),IF(A83&lt;=70,'Anchor Points'!$D$6+(A83-'Anchor Points'!$A$6)/('Anchor Points'!$A$7-'Anchor Points'!$A$6)*('Anchor Points'!$D$7-'Anchor Points'!$D$6),IF(A83&lt;=90,'Anchor Points'!$D$7+(A83-'Anchor Points'!$A$7)/('Anchor Points'!$A$8-'Anchor Points'!$A$7)*('Anchor Points'!$D$8-'Anchor Points'!$D$7),'Anchor Points'!$D$8+(A83-'Anchor Points'!$A$8)/('Anchor Points'!$A$9-'Anchor Points'!$A$8)*('Anchor Points'!$D$9-'Anchor Points'!$D$8)))))))</x:f>
        <x:v>9.8</x:v>
      </x:c>
      <x:c r="F83" s="30" t="n">
        <x:f>ROUND(E83,0)</x:f>
        <x:v>10</x:v>
      </x:c>
      <x:c r="G83" s="28" t="n">
        <x:f>IF(A83&lt;=15,'Anchor Points'!$E$2+(A83-'Anchor Points'!$A$2)/('Anchor Points'!$A$3-'Anchor Points'!$A$2)*('Anchor Points'!$E$3-'Anchor Points'!$E$2),IF(A83&lt;=25,'Anchor Points'!$E$3+(A83-'Anchor Points'!$A$3)/('Anchor Points'!$A$4-'Anchor Points'!$A$3)*('Anchor Points'!$E$4-'Anchor Points'!$E$3),IF(A83&lt;=40,'Anchor Points'!$E$4+(A83-'Anchor Points'!$A$4)/('Anchor Points'!$A$5-'Anchor Points'!$A$4)*('Anchor Points'!$E$5-'Anchor Points'!$E$4),IF(A83&lt;=55,'Anchor Points'!$E$5+(A83-'Anchor Points'!$A$5)/('Anchor Points'!$A$6-'Anchor Points'!$A$5)*('Anchor Points'!$E$6-'Anchor Points'!$E$5),IF(A83&lt;=70,'Anchor Points'!$E$6+(A83-'Anchor Points'!$A$6)/('Anchor Points'!$A$7-'Anchor Points'!$A$6)*('Anchor Points'!$E$7-'Anchor Points'!$E$6),IF(A83&lt;=90,'Anchor Points'!$E$7+(A83-'Anchor Points'!$A$7)/('Anchor Points'!$A$8-'Anchor Points'!$A$7)*('Anchor Points'!$E$8-'Anchor Points'!$E$7),'Anchor Points'!$E$8+(A83-'Anchor Points'!$A$8)/('Anchor Points'!$A$9-'Anchor Points'!$A$8)*('Anchor Points'!$E$9-'Anchor Points'!$E$8)))))))</x:f>
        <x:v>7.75</x:v>
      </x:c>
      <x:c r="H83" s="30" t="n">
        <x:f>ROUND(G83,0)</x:f>
        <x:v>8</x:v>
      </x:c>
      <x:c r="I83" s="28" t="n">
        <x:f>IF(A83&lt;=15,'Anchor Points'!$F$2+(A83-'Anchor Points'!$A$2)/('Anchor Points'!$A$3-'Anchor Points'!$A$2)*('Anchor Points'!$F$3-'Anchor Points'!$F$2),IF(A83&lt;=25,'Anchor Points'!$F$3+(A83-'Anchor Points'!$A$3)/('Anchor Points'!$A$4-'Anchor Points'!$A$3)*('Anchor Points'!$F$4-'Anchor Points'!$F$3),IF(A83&lt;=40,'Anchor Points'!$F$4+(A83-'Anchor Points'!$A$4)/('Anchor Points'!$A$5-'Anchor Points'!$A$4)*('Anchor Points'!$F$5-'Anchor Points'!$F$4),IF(A83&lt;=55,'Anchor Points'!$F$5+(A83-'Anchor Points'!$A$5)/('Anchor Points'!$A$6-'Anchor Points'!$A$5)*('Anchor Points'!$F$6-'Anchor Points'!$F$5),IF(A83&lt;=70,'Anchor Points'!$F$6+(A83-'Anchor Points'!$A$6)/('Anchor Points'!$A$7-'Anchor Points'!$A$6)*('Anchor Points'!$F$7-'Anchor Points'!$F$6),IF(A83&lt;=90,'Anchor Points'!$F$7+(A83-'Anchor Points'!$A$7)/('Anchor Points'!$A$8-'Anchor Points'!$A$7)*('Anchor Points'!$F$8-'Anchor Points'!$F$7),'Anchor Points'!$F$8+(A83-'Anchor Points'!$A$8)/('Anchor Points'!$A$9-'Anchor Points'!$A$8)*('Anchor Points'!$F$9-'Anchor Points'!$F$8)))))))</x:f>
        <x:v>38.75</x:v>
      </x:c>
      <x:c r="J83" s="28" t="n">
        <x:v>8</x:v>
      </x:c>
      <x:c r="K83" s="56" t="n">
        <x:v>9</x:v>
      </x:c>
      <x:c r="L83" s="52" t="n">
        <x:v>10</x:v>
      </x:c>
      <x:c r="M83" s="52" t="n">
        <x:v>55</x:v>
      </x:c>
      <x:c r="N83" s="56" t="n">
        <x:v>62</x:v>
      </x:c>
      <x:c r="O83" s="28" t="n">
        <x:v>70</x:v>
      </x:c>
      <x:c r="P83" s="28" t="n">
        <x:v>60</x:v>
      </x:c>
      <x:c r="Q83" s="55" t="n">
        <x:v>70</x:v>
      </x:c>
      <x:c r="R83" s="28" t="n">
        <x:v>80</x:v>
      </x:c>
      <x:c r="S83" s="28" t="n">
        <x:v>12</x:v>
      </x:c>
      <x:c r="T83" s="28" t="n">
        <x:v>15</x:v>
      </x:c>
      <x:c r="U83" s="55" t="n">
        <x:v>18</x:v>
      </x:c>
      <x:c r="V83" s="28" t="n">
        <x:v>877</x:v>
      </x:c>
      <x:c r="W83" s="55" t="n">
        <x:v>1120</x:v>
      </x:c>
      <x:c r="X83" s="28" t="n">
        <x:v>1348</x:v>
      </x:c>
    </x:row>
    <x:row r="84">
      <x:c r="A84" s="30" t="n">
        <x:v>82</x:v>
      </x:c>
      <x:c r="B84" s="11" t="str">
        <x:f>IF(A84&lt;=15,"Seedling",IF(A84&lt;=25,"Establishment",IF(A84&lt;=40,"Vegetative Growth",IF(A84&lt;=55,"Flowering &amp; Initial Fruit Set",IF(A84&lt;=80,"Fruit Enlargement",IF(A84&lt;=95,"Ripening","Harvesting"))))))</x:f>
        <x:v>Ripening</x:v>
      </x:c>
      <x:c r="C84" s="28" t="n">
        <x:f>IF(A84&lt;=15,'Anchor Points'!$B$2+(A84-'Anchor Points'!$A$2)/('Anchor Points'!$A$3-'Anchor Points'!$A$2)*('Anchor Points'!$B$3-'Anchor Points'!$B$2),IF(A84&lt;=25,'Anchor Points'!$B$3+(A84-'Anchor Points'!$A$3)/('Anchor Points'!$A$4-'Anchor Points'!$A$3)*('Anchor Points'!$B$4-'Anchor Points'!$B$3),IF(A84&lt;=40,'Anchor Points'!$B$4+(A84-'Anchor Points'!$A$4)/('Anchor Points'!$A$5-'Anchor Points'!$A$4)*('Anchor Points'!$B$5-'Anchor Points'!$B$4),IF(A84&lt;=55,'Anchor Points'!$B$5+(A84-'Anchor Points'!$A$5)/('Anchor Points'!$A$6-'Anchor Points'!$A$5)*('Anchor Points'!$B$6-'Anchor Points'!$B$5),IF(A84&lt;=70,'Anchor Points'!$B$6+(A84-'Anchor Points'!$A$6)/('Anchor Points'!$A$7-'Anchor Points'!$A$6)*('Anchor Points'!$B$7-'Anchor Points'!$B$6),IF(A84&lt;=90,'Anchor Points'!$B$7+(A84-'Anchor Points'!$A$7)/('Anchor Points'!$A$8-'Anchor Points'!$A$7)*('Anchor Points'!$B$8-'Anchor Points'!$B$7),'Anchor Points'!$B$8+(A84-'Anchor Points'!$A$8)/('Anchor Points'!$A$9-'Anchor Points'!$A$8)*('Anchor Points'!$B$9-'Anchor Points'!$B$8)))))))</x:f>
        <x:v>78</x:v>
      </x:c>
      <x:c r="D84" s="28" t="n">
        <x:f>IF(A84&lt;=15,'Anchor Points'!$C$2+(A84-'Anchor Points'!$A$2)/('Anchor Points'!$A$3-'Anchor Points'!$A$2)*('Anchor Points'!$C$3-'Anchor Points'!$C$2),IF(A84&lt;=25,'Anchor Points'!$C$3+(A84-'Anchor Points'!$A$3)/('Anchor Points'!$A$4-'Anchor Points'!$A$3)*('Anchor Points'!$C$4-'Anchor Points'!$C$3),IF(A84&lt;=40,'Anchor Points'!$C$4+(A84-'Anchor Points'!$A$4)/('Anchor Points'!$A$5-'Anchor Points'!$A$4)*('Anchor Points'!$C$5-'Anchor Points'!$C$4),IF(A84&lt;=55,'Anchor Points'!$C$5+(A84-'Anchor Points'!$A$5)/('Anchor Points'!$A$6-'Anchor Points'!$A$5)*('Anchor Points'!$C$6-'Anchor Points'!$C$5),IF(A84&lt;=70,'Anchor Points'!$C$6+(A84-'Anchor Points'!$A$6)/('Anchor Points'!$A$7-'Anchor Points'!$A$6)*('Anchor Points'!$C$7-'Anchor Points'!$C$6),IF(A84&lt;=90,'Anchor Points'!$C$7+(A84-'Anchor Points'!$A$7)/('Anchor Points'!$A$8-'Anchor Points'!$A$7)*('Anchor Points'!$C$8-'Anchor Points'!$C$7),'Anchor Points'!$C$8+(A84-'Anchor Points'!$A$8)/('Anchor Points'!$A$9-'Anchor Points'!$A$8)*('Anchor Points'!$C$9-'Anchor Points'!$C$8)))))))</x:f>
        <x:v>77</x:v>
      </x:c>
      <x:c r="E84" s="28" t="n">
        <x:f>IF(A84&lt;=15,'Anchor Points'!$D$2+(A84-'Anchor Points'!$A$2)/('Anchor Points'!$A$3-'Anchor Points'!$A$2)*('Anchor Points'!$D$3-'Anchor Points'!$D$2),IF(A84&lt;=25,'Anchor Points'!$D$3+(A84-'Anchor Points'!$A$3)/('Anchor Points'!$A$4-'Anchor Points'!$A$3)*('Anchor Points'!$D$4-'Anchor Points'!$D$3),IF(A84&lt;=40,'Anchor Points'!$D$4+(A84-'Anchor Points'!$A$4)/('Anchor Points'!$A$5-'Anchor Points'!$A$4)*('Anchor Points'!$D$5-'Anchor Points'!$D$4),IF(A84&lt;=55,'Anchor Points'!$D$5+(A84-'Anchor Points'!$A$5)/('Anchor Points'!$A$6-'Anchor Points'!$A$5)*('Anchor Points'!$D$6-'Anchor Points'!$D$5),IF(A84&lt;=70,'Anchor Points'!$D$6+(A84-'Anchor Points'!$A$6)/('Anchor Points'!$A$7-'Anchor Points'!$A$6)*('Anchor Points'!$D$7-'Anchor Points'!$D$6),IF(A84&lt;=90,'Anchor Points'!$D$7+(A84-'Anchor Points'!$A$7)/('Anchor Points'!$A$8-'Anchor Points'!$A$7)*('Anchor Points'!$D$8-'Anchor Points'!$D$7),'Anchor Points'!$D$8+(A84-'Anchor Points'!$A$8)/('Anchor Points'!$A$9-'Anchor Points'!$A$8)*('Anchor Points'!$D$9-'Anchor Points'!$D$8)))))))</x:f>
        <x:v>9.6</x:v>
      </x:c>
      <x:c r="F84" s="30" t="n">
        <x:f>ROUND(E84,0)</x:f>
        <x:v>10</x:v>
      </x:c>
      <x:c r="G84" s="28" t="n">
        <x:f>IF(A84&lt;=15,'Anchor Points'!$E$2+(A84-'Anchor Points'!$A$2)/('Anchor Points'!$A$3-'Anchor Points'!$A$2)*('Anchor Points'!$E$3-'Anchor Points'!$E$2),IF(A84&lt;=25,'Anchor Points'!$E$3+(A84-'Anchor Points'!$A$3)/('Anchor Points'!$A$4-'Anchor Points'!$A$3)*('Anchor Points'!$E$4-'Anchor Points'!$E$3),IF(A84&lt;=40,'Anchor Points'!$E$4+(A84-'Anchor Points'!$A$4)/('Anchor Points'!$A$5-'Anchor Points'!$A$4)*('Anchor Points'!$E$5-'Anchor Points'!$E$4),IF(A84&lt;=55,'Anchor Points'!$E$5+(A84-'Anchor Points'!$A$5)/('Anchor Points'!$A$6-'Anchor Points'!$A$5)*('Anchor Points'!$E$6-'Anchor Points'!$E$5),IF(A84&lt;=70,'Anchor Points'!$E$6+(A84-'Anchor Points'!$A$6)/('Anchor Points'!$A$7-'Anchor Points'!$A$6)*('Anchor Points'!$E$7-'Anchor Points'!$E$6),IF(A84&lt;=90,'Anchor Points'!$E$7+(A84-'Anchor Points'!$A$7)/('Anchor Points'!$A$8-'Anchor Points'!$A$7)*('Anchor Points'!$E$8-'Anchor Points'!$E$7),'Anchor Points'!$E$8+(A84-'Anchor Points'!$A$8)/('Anchor Points'!$A$9-'Anchor Points'!$A$8)*('Anchor Points'!$E$9-'Anchor Points'!$E$8)))))))</x:f>
        <x:v>8</x:v>
      </x:c>
      <x:c r="H84" s="30" t="n">
        <x:f>ROUND(G84,0)</x:f>
        <x:v>8</x:v>
      </x:c>
      <x:c r="I84" s="28" t="n">
        <x:f>IF(A84&lt;=15,'Anchor Points'!$F$2+(A84-'Anchor Points'!$A$2)/('Anchor Points'!$A$3-'Anchor Points'!$A$2)*('Anchor Points'!$F$3-'Anchor Points'!$F$2),IF(A84&lt;=25,'Anchor Points'!$F$3+(A84-'Anchor Points'!$A$3)/('Anchor Points'!$A$4-'Anchor Points'!$A$3)*('Anchor Points'!$F$4-'Anchor Points'!$F$3),IF(A84&lt;=40,'Anchor Points'!$F$4+(A84-'Anchor Points'!$A$4)/('Anchor Points'!$A$5-'Anchor Points'!$A$4)*('Anchor Points'!$F$5-'Anchor Points'!$F$4),IF(A84&lt;=55,'Anchor Points'!$F$5+(A84-'Anchor Points'!$A$5)/('Anchor Points'!$A$6-'Anchor Points'!$A$5)*('Anchor Points'!$F$6-'Anchor Points'!$F$5),IF(A84&lt;=70,'Anchor Points'!$F$6+(A84-'Anchor Points'!$A$6)/('Anchor Points'!$A$7-'Anchor Points'!$A$6)*('Anchor Points'!$F$7-'Anchor Points'!$F$6),IF(A84&lt;=90,'Anchor Points'!$F$7+(A84-'Anchor Points'!$A$7)/('Anchor Points'!$A$8-'Anchor Points'!$A$7)*('Anchor Points'!$F$8-'Anchor Points'!$F$7),'Anchor Points'!$F$8+(A84-'Anchor Points'!$A$8)/('Anchor Points'!$A$9-'Anchor Points'!$A$8)*('Anchor Points'!$F$9-'Anchor Points'!$F$8)))))))</x:f>
        <x:v>40</x:v>
      </x:c>
      <x:c r="J84" s="28" t="n">
        <x:v>8</x:v>
      </x:c>
      <x:c r="K84" s="56" t="n">
        <x:v>9</x:v>
      </x:c>
      <x:c r="L84" s="52" t="n">
        <x:v>10</x:v>
      </x:c>
      <x:c r="M84" s="52" t="n">
        <x:v>55</x:v>
      </x:c>
      <x:c r="N84" s="56" t="n">
        <x:v>62</x:v>
      </x:c>
      <x:c r="O84" s="28" t="n">
        <x:v>70</x:v>
      </x:c>
      <x:c r="P84" s="28" t="n">
        <x:v>60</x:v>
      </x:c>
      <x:c r="Q84" s="55" t="n">
        <x:v>70</x:v>
      </x:c>
      <x:c r="R84" s="28" t="n">
        <x:v>80</x:v>
      </x:c>
      <x:c r="S84" s="28" t="n">
        <x:v>12</x:v>
      </x:c>
      <x:c r="T84" s="28" t="n">
        <x:v>15</x:v>
      </x:c>
      <x:c r="U84" s="55" t="n">
        <x:v>18</x:v>
      </x:c>
      <x:c r="V84" s="28" t="n">
        <x:v>889</x:v>
      </x:c>
      <x:c r="W84" s="55" t="n">
        <x:v>1135</x:v>
      </x:c>
      <x:c r="X84" s="28" t="n">
        <x:v>1366</x:v>
      </x:c>
    </x:row>
    <x:row r="85">
      <x:c r="A85" s="30" t="n">
        <x:v>83</x:v>
      </x:c>
      <x:c r="B85" s="11" t="str">
        <x:f>IF(A85&lt;=15,"Seedling",IF(A85&lt;=25,"Establishment",IF(A85&lt;=40,"Vegetative Growth",IF(A85&lt;=55,"Flowering &amp; Initial Fruit Set",IF(A85&lt;=80,"Fruit Enlargement",IF(A85&lt;=95,"Ripening","Harvesting"))))))</x:f>
        <x:v>Ripening</x:v>
      </x:c>
      <x:c r="C85" s="28" t="n">
        <x:f>IF(A85&lt;=15,'Anchor Points'!$B$2+(A85-'Anchor Points'!$A$2)/('Anchor Points'!$A$3-'Anchor Points'!$A$2)*('Anchor Points'!$B$3-'Anchor Points'!$B$2),IF(A85&lt;=25,'Anchor Points'!$B$3+(A85-'Anchor Points'!$A$3)/('Anchor Points'!$A$4-'Anchor Points'!$A$3)*('Anchor Points'!$B$4-'Anchor Points'!$B$3),IF(A85&lt;=40,'Anchor Points'!$B$4+(A85-'Anchor Points'!$A$4)/('Anchor Points'!$A$5-'Anchor Points'!$A$4)*('Anchor Points'!$B$5-'Anchor Points'!$B$4),IF(A85&lt;=55,'Anchor Points'!$B$5+(A85-'Anchor Points'!$A$5)/('Anchor Points'!$A$6-'Anchor Points'!$A$5)*('Anchor Points'!$B$6-'Anchor Points'!$B$5),IF(A85&lt;=70,'Anchor Points'!$B$6+(A85-'Anchor Points'!$A$6)/('Anchor Points'!$A$7-'Anchor Points'!$A$6)*('Anchor Points'!$B$7-'Anchor Points'!$B$6),IF(A85&lt;=90,'Anchor Points'!$B$7+(A85-'Anchor Points'!$A$7)/('Anchor Points'!$A$8-'Anchor Points'!$A$7)*('Anchor Points'!$B$8-'Anchor Points'!$B$7),'Anchor Points'!$B$8+(A85-'Anchor Points'!$A$8)/('Anchor Points'!$A$9-'Anchor Points'!$A$8)*('Anchor Points'!$B$9-'Anchor Points'!$B$8)))))))</x:f>
        <x:v>78.5</x:v>
      </x:c>
      <x:c r="D85" s="28" t="n">
        <x:f>IF(A85&lt;=15,'Anchor Points'!$C$2+(A85-'Anchor Points'!$A$2)/('Anchor Points'!$A$3-'Anchor Points'!$A$2)*('Anchor Points'!$C$3-'Anchor Points'!$C$2),IF(A85&lt;=25,'Anchor Points'!$C$3+(A85-'Anchor Points'!$A$3)/('Anchor Points'!$A$4-'Anchor Points'!$A$3)*('Anchor Points'!$C$4-'Anchor Points'!$C$3),IF(A85&lt;=40,'Anchor Points'!$C$4+(A85-'Anchor Points'!$A$4)/('Anchor Points'!$A$5-'Anchor Points'!$A$4)*('Anchor Points'!$C$5-'Anchor Points'!$C$4),IF(A85&lt;=55,'Anchor Points'!$C$5+(A85-'Anchor Points'!$A$5)/('Anchor Points'!$A$6-'Anchor Points'!$A$5)*('Anchor Points'!$C$6-'Anchor Points'!$C$5),IF(A85&lt;=70,'Anchor Points'!$C$6+(A85-'Anchor Points'!$A$6)/('Anchor Points'!$A$7-'Anchor Points'!$A$6)*('Anchor Points'!$C$7-'Anchor Points'!$C$6),IF(A85&lt;=90,'Anchor Points'!$C$7+(A85-'Anchor Points'!$A$7)/('Anchor Points'!$A$8-'Anchor Points'!$A$7)*('Anchor Points'!$C$8-'Anchor Points'!$C$7),'Anchor Points'!$C$8+(A85-'Anchor Points'!$A$8)/('Anchor Points'!$A$9-'Anchor Points'!$A$8)*('Anchor Points'!$C$9-'Anchor Points'!$C$8)))))))</x:f>
        <x:v>78</x:v>
      </x:c>
      <x:c r="E85" s="28" t="n">
        <x:f>IF(A85&lt;=15,'Anchor Points'!$D$2+(A85-'Anchor Points'!$A$2)/('Anchor Points'!$A$3-'Anchor Points'!$A$2)*('Anchor Points'!$D$3-'Anchor Points'!$D$2),IF(A85&lt;=25,'Anchor Points'!$D$3+(A85-'Anchor Points'!$A$3)/('Anchor Points'!$A$4-'Anchor Points'!$A$3)*('Anchor Points'!$D$4-'Anchor Points'!$D$3),IF(A85&lt;=40,'Anchor Points'!$D$4+(A85-'Anchor Points'!$A$4)/('Anchor Points'!$A$5-'Anchor Points'!$A$4)*('Anchor Points'!$D$5-'Anchor Points'!$D$4),IF(A85&lt;=55,'Anchor Points'!$D$5+(A85-'Anchor Points'!$A$5)/('Anchor Points'!$A$6-'Anchor Points'!$A$5)*('Anchor Points'!$D$6-'Anchor Points'!$D$5),IF(A85&lt;=70,'Anchor Points'!$D$6+(A85-'Anchor Points'!$A$6)/('Anchor Points'!$A$7-'Anchor Points'!$A$6)*('Anchor Points'!$D$7-'Anchor Points'!$D$6),IF(A85&lt;=90,'Anchor Points'!$D$7+(A85-'Anchor Points'!$A$7)/('Anchor Points'!$A$8-'Anchor Points'!$A$7)*('Anchor Points'!$D$8-'Anchor Points'!$D$7),'Anchor Points'!$D$8+(A85-'Anchor Points'!$A$8)/('Anchor Points'!$A$9-'Anchor Points'!$A$8)*('Anchor Points'!$D$9-'Anchor Points'!$D$8)))))))</x:f>
        <x:v>9.4</x:v>
      </x:c>
      <x:c r="F85" s="30" t="n">
        <x:f>ROUND(E85,0)</x:f>
        <x:v>9</x:v>
      </x:c>
      <x:c r="G85" s="28" t="n">
        <x:f>IF(A85&lt;=15,'Anchor Points'!$E$2+(A85-'Anchor Points'!$A$2)/('Anchor Points'!$A$3-'Anchor Points'!$A$2)*('Anchor Points'!$E$3-'Anchor Points'!$E$2),IF(A85&lt;=25,'Anchor Points'!$E$3+(A85-'Anchor Points'!$A$3)/('Anchor Points'!$A$4-'Anchor Points'!$A$3)*('Anchor Points'!$E$4-'Anchor Points'!$E$3),IF(A85&lt;=40,'Anchor Points'!$E$4+(A85-'Anchor Points'!$A$4)/('Anchor Points'!$A$5-'Anchor Points'!$A$4)*('Anchor Points'!$E$5-'Anchor Points'!$E$4),IF(A85&lt;=55,'Anchor Points'!$E$5+(A85-'Anchor Points'!$A$5)/('Anchor Points'!$A$6-'Anchor Points'!$A$5)*('Anchor Points'!$E$6-'Anchor Points'!$E$5),IF(A85&lt;=70,'Anchor Points'!$E$6+(A85-'Anchor Points'!$A$6)/('Anchor Points'!$A$7-'Anchor Points'!$A$6)*('Anchor Points'!$E$7-'Anchor Points'!$E$6),IF(A85&lt;=90,'Anchor Points'!$E$7+(A85-'Anchor Points'!$A$7)/('Anchor Points'!$A$8-'Anchor Points'!$A$7)*('Anchor Points'!$E$8-'Anchor Points'!$E$7),'Anchor Points'!$E$8+(A85-'Anchor Points'!$A$8)/('Anchor Points'!$A$9-'Anchor Points'!$A$8)*('Anchor Points'!$E$9-'Anchor Points'!$E$8)))))))</x:f>
        <x:v>8.25</x:v>
      </x:c>
      <x:c r="H85" s="30" t="n">
        <x:f>ROUND(G85,0)</x:f>
        <x:v>8</x:v>
      </x:c>
      <x:c r="I85" s="28" t="n">
        <x:f>IF(A85&lt;=15,'Anchor Points'!$F$2+(A85-'Anchor Points'!$A$2)/('Anchor Points'!$A$3-'Anchor Points'!$A$2)*('Anchor Points'!$F$3-'Anchor Points'!$F$2),IF(A85&lt;=25,'Anchor Points'!$F$3+(A85-'Anchor Points'!$A$3)/('Anchor Points'!$A$4-'Anchor Points'!$A$3)*('Anchor Points'!$F$4-'Anchor Points'!$F$3),IF(A85&lt;=40,'Anchor Points'!$F$4+(A85-'Anchor Points'!$A$4)/('Anchor Points'!$A$5-'Anchor Points'!$A$4)*('Anchor Points'!$F$5-'Anchor Points'!$F$4),IF(A85&lt;=55,'Anchor Points'!$F$5+(A85-'Anchor Points'!$A$5)/('Anchor Points'!$A$6-'Anchor Points'!$A$5)*('Anchor Points'!$F$6-'Anchor Points'!$F$5),IF(A85&lt;=70,'Anchor Points'!$F$6+(A85-'Anchor Points'!$A$6)/('Anchor Points'!$A$7-'Anchor Points'!$A$6)*('Anchor Points'!$F$7-'Anchor Points'!$F$6),IF(A85&lt;=90,'Anchor Points'!$F$7+(A85-'Anchor Points'!$A$7)/('Anchor Points'!$A$8-'Anchor Points'!$A$7)*('Anchor Points'!$F$8-'Anchor Points'!$F$7),'Anchor Points'!$F$8+(A85-'Anchor Points'!$A$8)/('Anchor Points'!$A$9-'Anchor Points'!$A$8)*('Anchor Points'!$F$9-'Anchor Points'!$F$8)))))))</x:f>
        <x:v>41.25</x:v>
      </x:c>
      <x:c r="J85" s="28" t="n">
        <x:v>8</x:v>
      </x:c>
      <x:c r="K85" s="56" t="n">
        <x:v>9</x:v>
      </x:c>
      <x:c r="L85" s="52" t="n">
        <x:v>10</x:v>
      </x:c>
      <x:c r="M85" s="52" t="n">
        <x:v>55</x:v>
      </x:c>
      <x:c r="N85" s="56" t="n">
        <x:v>62</x:v>
      </x:c>
      <x:c r="O85" s="28" t="n">
        <x:v>70</x:v>
      </x:c>
      <x:c r="P85" s="28" t="n">
        <x:v>60</x:v>
      </x:c>
      <x:c r="Q85" s="55" t="n">
        <x:v>70</x:v>
      </x:c>
      <x:c r="R85" s="28" t="n">
        <x:v>80</x:v>
      </x:c>
      <x:c r="S85" s="28" t="n">
        <x:v>12</x:v>
      </x:c>
      <x:c r="T85" s="28" t="n">
        <x:v>15</x:v>
      </x:c>
      <x:c r="U85" s="55" t="n">
        <x:v>18</x:v>
      </x:c>
      <x:c r="V85" s="28" t="n">
        <x:v>901</x:v>
      </x:c>
      <x:c r="W85" s="55" t="n">
        <x:v>1150</x:v>
      </x:c>
      <x:c r="X85" s="28" t="n">
        <x:v>1384</x:v>
      </x:c>
    </x:row>
    <x:row r="86">
      <x:c r="A86" s="30" t="n">
        <x:v>84</x:v>
      </x:c>
      <x:c r="B86" s="11" t="str">
        <x:f>IF(A86&lt;=15,"Seedling",IF(A86&lt;=25,"Establishment",IF(A86&lt;=40,"Vegetative Growth",IF(A86&lt;=55,"Flowering &amp; Initial Fruit Set",IF(A86&lt;=80,"Fruit Enlargement",IF(A86&lt;=95,"Ripening","Harvesting"))))))</x:f>
        <x:v>Ripening</x:v>
      </x:c>
      <x:c r="C86" s="28" t="n">
        <x:f>IF(A86&lt;=15,'Anchor Points'!$B$2+(A86-'Anchor Points'!$A$2)/('Anchor Points'!$A$3-'Anchor Points'!$A$2)*('Anchor Points'!$B$3-'Anchor Points'!$B$2),IF(A86&lt;=25,'Anchor Points'!$B$3+(A86-'Anchor Points'!$A$3)/('Anchor Points'!$A$4-'Anchor Points'!$A$3)*('Anchor Points'!$B$4-'Anchor Points'!$B$3),IF(A86&lt;=40,'Anchor Points'!$B$4+(A86-'Anchor Points'!$A$4)/('Anchor Points'!$A$5-'Anchor Points'!$A$4)*('Anchor Points'!$B$5-'Anchor Points'!$B$4),IF(A86&lt;=55,'Anchor Points'!$B$5+(A86-'Anchor Points'!$A$5)/('Anchor Points'!$A$6-'Anchor Points'!$A$5)*('Anchor Points'!$B$6-'Anchor Points'!$B$5),IF(A86&lt;=70,'Anchor Points'!$B$6+(A86-'Anchor Points'!$A$6)/('Anchor Points'!$A$7-'Anchor Points'!$A$6)*('Anchor Points'!$B$7-'Anchor Points'!$B$6),IF(A86&lt;=90,'Anchor Points'!$B$7+(A86-'Anchor Points'!$A$7)/('Anchor Points'!$A$8-'Anchor Points'!$A$7)*('Anchor Points'!$B$8-'Anchor Points'!$B$7),'Anchor Points'!$B$8+(A86-'Anchor Points'!$A$8)/('Anchor Points'!$A$9-'Anchor Points'!$A$8)*('Anchor Points'!$B$9-'Anchor Points'!$B$8)))))))</x:f>
        <x:v>79</x:v>
      </x:c>
      <x:c r="D86" s="28" t="n">
        <x:f>IF(A86&lt;=15,'Anchor Points'!$C$2+(A86-'Anchor Points'!$A$2)/('Anchor Points'!$A$3-'Anchor Points'!$A$2)*('Anchor Points'!$C$3-'Anchor Points'!$C$2),IF(A86&lt;=25,'Anchor Points'!$C$3+(A86-'Anchor Points'!$A$3)/('Anchor Points'!$A$4-'Anchor Points'!$A$3)*('Anchor Points'!$C$4-'Anchor Points'!$C$3),IF(A86&lt;=40,'Anchor Points'!$C$4+(A86-'Anchor Points'!$A$4)/('Anchor Points'!$A$5-'Anchor Points'!$A$4)*('Anchor Points'!$C$5-'Anchor Points'!$C$4),IF(A86&lt;=55,'Anchor Points'!$C$5+(A86-'Anchor Points'!$A$5)/('Anchor Points'!$A$6-'Anchor Points'!$A$5)*('Anchor Points'!$C$6-'Anchor Points'!$C$5),IF(A86&lt;=70,'Anchor Points'!$C$6+(A86-'Anchor Points'!$A$6)/('Anchor Points'!$A$7-'Anchor Points'!$A$6)*('Anchor Points'!$C$7-'Anchor Points'!$C$6),IF(A86&lt;=90,'Anchor Points'!$C$7+(A86-'Anchor Points'!$A$7)/('Anchor Points'!$A$8-'Anchor Points'!$A$7)*('Anchor Points'!$C$8-'Anchor Points'!$C$7),'Anchor Points'!$C$8+(A86-'Anchor Points'!$A$8)/('Anchor Points'!$A$9-'Anchor Points'!$A$8)*('Anchor Points'!$C$9-'Anchor Points'!$C$8)))))))</x:f>
        <x:v>79</x:v>
      </x:c>
      <x:c r="E86" s="28" t="n">
        <x:f>IF(A86&lt;=15,'Anchor Points'!$D$2+(A86-'Anchor Points'!$A$2)/('Anchor Points'!$A$3-'Anchor Points'!$A$2)*('Anchor Points'!$D$3-'Anchor Points'!$D$2),IF(A86&lt;=25,'Anchor Points'!$D$3+(A86-'Anchor Points'!$A$3)/('Anchor Points'!$A$4-'Anchor Points'!$A$3)*('Anchor Points'!$D$4-'Anchor Points'!$D$3),IF(A86&lt;=40,'Anchor Points'!$D$4+(A86-'Anchor Points'!$A$4)/('Anchor Points'!$A$5-'Anchor Points'!$A$4)*('Anchor Points'!$D$5-'Anchor Points'!$D$4),IF(A86&lt;=55,'Anchor Points'!$D$5+(A86-'Anchor Points'!$A$5)/('Anchor Points'!$A$6-'Anchor Points'!$A$5)*('Anchor Points'!$D$6-'Anchor Points'!$D$5),IF(A86&lt;=70,'Anchor Points'!$D$6+(A86-'Anchor Points'!$A$6)/('Anchor Points'!$A$7-'Anchor Points'!$A$6)*('Anchor Points'!$D$7-'Anchor Points'!$D$6),IF(A86&lt;=90,'Anchor Points'!$D$7+(A86-'Anchor Points'!$A$7)/('Anchor Points'!$A$8-'Anchor Points'!$A$7)*('Anchor Points'!$D$8-'Anchor Points'!$D$7),'Anchor Points'!$D$8+(A86-'Anchor Points'!$A$8)/('Anchor Points'!$A$9-'Anchor Points'!$A$8)*('Anchor Points'!$D$9-'Anchor Points'!$D$8)))))))</x:f>
        <x:v>9.2</x:v>
      </x:c>
      <x:c r="F86" s="30" t="n">
        <x:f>ROUND(E86,0)</x:f>
        <x:v>9</x:v>
      </x:c>
      <x:c r="G86" s="28" t="n">
        <x:f>IF(A86&lt;=15,'Anchor Points'!$E$2+(A86-'Anchor Points'!$A$2)/('Anchor Points'!$A$3-'Anchor Points'!$A$2)*('Anchor Points'!$E$3-'Anchor Points'!$E$2),IF(A86&lt;=25,'Anchor Points'!$E$3+(A86-'Anchor Points'!$A$3)/('Anchor Points'!$A$4-'Anchor Points'!$A$3)*('Anchor Points'!$E$4-'Anchor Points'!$E$3),IF(A86&lt;=40,'Anchor Points'!$E$4+(A86-'Anchor Points'!$A$4)/('Anchor Points'!$A$5-'Anchor Points'!$A$4)*('Anchor Points'!$E$5-'Anchor Points'!$E$4),IF(A86&lt;=55,'Anchor Points'!$E$5+(A86-'Anchor Points'!$A$5)/('Anchor Points'!$A$6-'Anchor Points'!$A$5)*('Anchor Points'!$E$6-'Anchor Points'!$E$5),IF(A86&lt;=70,'Anchor Points'!$E$6+(A86-'Anchor Points'!$A$6)/('Anchor Points'!$A$7-'Anchor Points'!$A$6)*('Anchor Points'!$E$7-'Anchor Points'!$E$6),IF(A86&lt;=90,'Anchor Points'!$E$7+(A86-'Anchor Points'!$A$7)/('Anchor Points'!$A$8-'Anchor Points'!$A$7)*('Anchor Points'!$E$8-'Anchor Points'!$E$7),'Anchor Points'!$E$8+(A86-'Anchor Points'!$A$8)/('Anchor Points'!$A$9-'Anchor Points'!$A$8)*('Anchor Points'!$E$9-'Anchor Points'!$E$8)))))))</x:f>
        <x:v>8.5</x:v>
      </x:c>
      <x:c r="H86" s="30" t="n">
        <x:f>ROUND(G86,0)</x:f>
        <x:v>9</x:v>
      </x:c>
      <x:c r="I86" s="28" t="n">
        <x:f>IF(A86&lt;=15,'Anchor Points'!$F$2+(A86-'Anchor Points'!$A$2)/('Anchor Points'!$A$3-'Anchor Points'!$A$2)*('Anchor Points'!$F$3-'Anchor Points'!$F$2),IF(A86&lt;=25,'Anchor Points'!$F$3+(A86-'Anchor Points'!$A$3)/('Anchor Points'!$A$4-'Anchor Points'!$A$3)*('Anchor Points'!$F$4-'Anchor Points'!$F$3),IF(A86&lt;=40,'Anchor Points'!$F$4+(A86-'Anchor Points'!$A$4)/('Anchor Points'!$A$5-'Anchor Points'!$A$4)*('Anchor Points'!$F$5-'Anchor Points'!$F$4),IF(A86&lt;=55,'Anchor Points'!$F$5+(A86-'Anchor Points'!$A$5)/('Anchor Points'!$A$6-'Anchor Points'!$A$5)*('Anchor Points'!$F$6-'Anchor Points'!$F$5),IF(A86&lt;=70,'Anchor Points'!$F$6+(A86-'Anchor Points'!$A$6)/('Anchor Points'!$A$7-'Anchor Points'!$A$6)*('Anchor Points'!$F$7-'Anchor Points'!$F$6),IF(A86&lt;=90,'Anchor Points'!$F$7+(A86-'Anchor Points'!$A$7)/('Anchor Points'!$A$8-'Anchor Points'!$A$7)*('Anchor Points'!$F$8-'Anchor Points'!$F$7),'Anchor Points'!$F$8+(A86-'Anchor Points'!$A$8)/('Anchor Points'!$A$9-'Anchor Points'!$A$8)*('Anchor Points'!$F$9-'Anchor Points'!$F$8)))))))</x:f>
        <x:v>42.5</x:v>
      </x:c>
      <x:c r="J86" s="28" t="n">
        <x:v>8</x:v>
      </x:c>
      <x:c r="K86" s="56" t="n">
        <x:v>9</x:v>
      </x:c>
      <x:c r="L86" s="52" t="n">
        <x:v>10</x:v>
      </x:c>
      <x:c r="M86" s="52" t="n">
        <x:v>55</x:v>
      </x:c>
      <x:c r="N86" s="56" t="n">
        <x:v>62</x:v>
      </x:c>
      <x:c r="O86" s="28" t="n">
        <x:v>70</x:v>
      </x:c>
      <x:c r="P86" s="28" t="n">
        <x:v>60</x:v>
      </x:c>
      <x:c r="Q86" s="55" t="n">
        <x:v>70</x:v>
      </x:c>
      <x:c r="R86" s="28" t="n">
        <x:v>80</x:v>
      </x:c>
      <x:c r="S86" s="28" t="n">
        <x:v>12</x:v>
      </x:c>
      <x:c r="T86" s="28" t="n">
        <x:v>15</x:v>
      </x:c>
      <x:c r="U86" s="55" t="n">
        <x:v>18</x:v>
      </x:c>
      <x:c r="V86" s="28" t="n">
        <x:v>913</x:v>
      </x:c>
      <x:c r="W86" s="55" t="n">
        <x:v>1165</x:v>
      </x:c>
      <x:c r="X86" s="28" t="n">
        <x:v>1402</x:v>
      </x:c>
    </x:row>
    <x:row r="87">
      <x:c r="A87" s="30" t="n">
        <x:v>85</x:v>
      </x:c>
      <x:c r="B87" s="11" t="str">
        <x:f>IF(A87&lt;=15,"Seedling",IF(A87&lt;=25,"Establishment",IF(A87&lt;=40,"Vegetative Growth",IF(A87&lt;=55,"Flowering &amp; Initial Fruit Set",IF(A87&lt;=80,"Fruit Enlargement",IF(A87&lt;=95,"Ripening","Harvesting"))))))</x:f>
        <x:v>Ripening</x:v>
      </x:c>
      <x:c r="C87" s="28" t="n">
        <x:f>IF(A87&lt;=15,'Anchor Points'!$B$2+(A87-'Anchor Points'!$A$2)/('Anchor Points'!$A$3-'Anchor Points'!$A$2)*('Anchor Points'!$B$3-'Anchor Points'!$B$2),IF(A87&lt;=25,'Anchor Points'!$B$3+(A87-'Anchor Points'!$A$3)/('Anchor Points'!$A$4-'Anchor Points'!$A$3)*('Anchor Points'!$B$4-'Anchor Points'!$B$3),IF(A87&lt;=40,'Anchor Points'!$B$4+(A87-'Anchor Points'!$A$4)/('Anchor Points'!$A$5-'Anchor Points'!$A$4)*('Anchor Points'!$B$5-'Anchor Points'!$B$4),IF(A87&lt;=55,'Anchor Points'!$B$5+(A87-'Anchor Points'!$A$5)/('Anchor Points'!$A$6-'Anchor Points'!$A$5)*('Anchor Points'!$B$6-'Anchor Points'!$B$5),IF(A87&lt;=70,'Anchor Points'!$B$6+(A87-'Anchor Points'!$A$6)/('Anchor Points'!$A$7-'Anchor Points'!$A$6)*('Anchor Points'!$B$7-'Anchor Points'!$B$6),IF(A87&lt;=90,'Anchor Points'!$B$7+(A87-'Anchor Points'!$A$7)/('Anchor Points'!$A$8-'Anchor Points'!$A$7)*('Anchor Points'!$B$8-'Anchor Points'!$B$7),'Anchor Points'!$B$8+(A87-'Anchor Points'!$A$8)/('Anchor Points'!$A$9-'Anchor Points'!$A$8)*('Anchor Points'!$B$9-'Anchor Points'!$B$8)))))))</x:f>
        <x:v>79.5</x:v>
      </x:c>
      <x:c r="D87" s="28" t="n">
        <x:f>IF(A87&lt;=15,'Anchor Points'!$C$2+(A87-'Anchor Points'!$A$2)/('Anchor Points'!$A$3-'Anchor Points'!$A$2)*('Anchor Points'!$C$3-'Anchor Points'!$C$2),IF(A87&lt;=25,'Anchor Points'!$C$3+(A87-'Anchor Points'!$A$3)/('Anchor Points'!$A$4-'Anchor Points'!$A$3)*('Anchor Points'!$C$4-'Anchor Points'!$C$3),IF(A87&lt;=40,'Anchor Points'!$C$4+(A87-'Anchor Points'!$A$4)/('Anchor Points'!$A$5-'Anchor Points'!$A$4)*('Anchor Points'!$C$5-'Anchor Points'!$C$4),IF(A87&lt;=55,'Anchor Points'!$C$5+(A87-'Anchor Points'!$A$5)/('Anchor Points'!$A$6-'Anchor Points'!$A$5)*('Anchor Points'!$C$6-'Anchor Points'!$C$5),IF(A87&lt;=70,'Anchor Points'!$C$6+(A87-'Anchor Points'!$A$6)/('Anchor Points'!$A$7-'Anchor Points'!$A$6)*('Anchor Points'!$C$7-'Anchor Points'!$C$6),IF(A87&lt;=90,'Anchor Points'!$C$7+(A87-'Anchor Points'!$A$7)/('Anchor Points'!$A$8-'Anchor Points'!$A$7)*('Anchor Points'!$C$8-'Anchor Points'!$C$7),'Anchor Points'!$C$8+(A87-'Anchor Points'!$A$8)/('Anchor Points'!$A$9-'Anchor Points'!$A$8)*('Anchor Points'!$C$9-'Anchor Points'!$C$8)))))))</x:f>
        <x:v>80</x:v>
      </x:c>
      <x:c r="E87" s="28" t="n">
        <x:f>IF(A87&lt;=15,'Anchor Points'!$D$2+(A87-'Anchor Points'!$A$2)/('Anchor Points'!$A$3-'Anchor Points'!$A$2)*('Anchor Points'!$D$3-'Anchor Points'!$D$2),IF(A87&lt;=25,'Anchor Points'!$D$3+(A87-'Anchor Points'!$A$3)/('Anchor Points'!$A$4-'Anchor Points'!$A$3)*('Anchor Points'!$D$4-'Anchor Points'!$D$3),IF(A87&lt;=40,'Anchor Points'!$D$4+(A87-'Anchor Points'!$A$4)/('Anchor Points'!$A$5-'Anchor Points'!$A$4)*('Anchor Points'!$D$5-'Anchor Points'!$D$4),IF(A87&lt;=55,'Anchor Points'!$D$5+(A87-'Anchor Points'!$A$5)/('Anchor Points'!$A$6-'Anchor Points'!$A$5)*('Anchor Points'!$D$6-'Anchor Points'!$D$5),IF(A87&lt;=70,'Anchor Points'!$D$6+(A87-'Anchor Points'!$A$6)/('Anchor Points'!$A$7-'Anchor Points'!$A$6)*('Anchor Points'!$D$7-'Anchor Points'!$D$6),IF(A87&lt;=90,'Anchor Points'!$D$7+(A87-'Anchor Points'!$A$7)/('Anchor Points'!$A$8-'Anchor Points'!$A$7)*('Anchor Points'!$D$8-'Anchor Points'!$D$7),'Anchor Points'!$D$8+(A87-'Anchor Points'!$A$8)/('Anchor Points'!$A$9-'Anchor Points'!$A$8)*('Anchor Points'!$D$9-'Anchor Points'!$D$8)))))))</x:f>
        <x:v>9</x:v>
      </x:c>
      <x:c r="F87" s="30" t="n">
        <x:f>ROUND(E87,0)</x:f>
        <x:v>9</x:v>
      </x:c>
      <x:c r="G87" s="28" t="n">
        <x:f>IF(A87&lt;=15,'Anchor Points'!$E$2+(A87-'Anchor Points'!$A$2)/('Anchor Points'!$A$3-'Anchor Points'!$A$2)*('Anchor Points'!$E$3-'Anchor Points'!$E$2),IF(A87&lt;=25,'Anchor Points'!$E$3+(A87-'Anchor Points'!$A$3)/('Anchor Points'!$A$4-'Anchor Points'!$A$3)*('Anchor Points'!$E$4-'Anchor Points'!$E$3),IF(A87&lt;=40,'Anchor Points'!$E$4+(A87-'Anchor Points'!$A$4)/('Anchor Points'!$A$5-'Anchor Points'!$A$4)*('Anchor Points'!$E$5-'Anchor Points'!$E$4),IF(A87&lt;=55,'Anchor Points'!$E$5+(A87-'Anchor Points'!$A$5)/('Anchor Points'!$A$6-'Anchor Points'!$A$5)*('Anchor Points'!$E$6-'Anchor Points'!$E$5),IF(A87&lt;=70,'Anchor Points'!$E$6+(A87-'Anchor Points'!$A$6)/('Anchor Points'!$A$7-'Anchor Points'!$A$6)*('Anchor Points'!$E$7-'Anchor Points'!$E$6),IF(A87&lt;=90,'Anchor Points'!$E$7+(A87-'Anchor Points'!$A$7)/('Anchor Points'!$A$8-'Anchor Points'!$A$7)*('Anchor Points'!$E$8-'Anchor Points'!$E$7),'Anchor Points'!$E$8+(A87-'Anchor Points'!$A$8)/('Anchor Points'!$A$9-'Anchor Points'!$A$8)*('Anchor Points'!$E$9-'Anchor Points'!$E$8)))))))</x:f>
        <x:v>8.75</x:v>
      </x:c>
      <x:c r="H87" s="30" t="n">
        <x:f>ROUND(G87,0)</x:f>
        <x:v>9</x:v>
      </x:c>
      <x:c r="I87" s="28" t="n">
        <x:f>IF(A87&lt;=15,'Anchor Points'!$F$2+(A87-'Anchor Points'!$A$2)/('Anchor Points'!$A$3-'Anchor Points'!$A$2)*('Anchor Points'!$F$3-'Anchor Points'!$F$2),IF(A87&lt;=25,'Anchor Points'!$F$3+(A87-'Anchor Points'!$A$3)/('Anchor Points'!$A$4-'Anchor Points'!$A$3)*('Anchor Points'!$F$4-'Anchor Points'!$F$3),IF(A87&lt;=40,'Anchor Points'!$F$4+(A87-'Anchor Points'!$A$4)/('Anchor Points'!$A$5-'Anchor Points'!$A$4)*('Anchor Points'!$F$5-'Anchor Points'!$F$4),IF(A87&lt;=55,'Anchor Points'!$F$5+(A87-'Anchor Points'!$A$5)/('Anchor Points'!$A$6-'Anchor Points'!$A$5)*('Anchor Points'!$F$6-'Anchor Points'!$F$5),IF(A87&lt;=70,'Anchor Points'!$F$6+(A87-'Anchor Points'!$A$6)/('Anchor Points'!$A$7-'Anchor Points'!$A$6)*('Anchor Points'!$F$7-'Anchor Points'!$F$6),IF(A87&lt;=90,'Anchor Points'!$F$7+(A87-'Anchor Points'!$A$7)/('Anchor Points'!$A$8-'Anchor Points'!$A$7)*('Anchor Points'!$F$8-'Anchor Points'!$F$7),'Anchor Points'!$F$8+(A87-'Anchor Points'!$A$8)/('Anchor Points'!$A$9-'Anchor Points'!$A$8)*('Anchor Points'!$F$9-'Anchor Points'!$F$8)))))))</x:f>
        <x:v>43.75</x:v>
      </x:c>
      <x:c r="J87" s="28" t="n">
        <x:v>8</x:v>
      </x:c>
      <x:c r="K87" s="56" t="n">
        <x:v>9</x:v>
      </x:c>
      <x:c r="L87" s="52" t="n">
        <x:v>10</x:v>
      </x:c>
      <x:c r="M87" s="52" t="n">
        <x:v>55</x:v>
      </x:c>
      <x:c r="N87" s="56" t="n">
        <x:v>62</x:v>
      </x:c>
      <x:c r="O87" s="28" t="n">
        <x:v>70</x:v>
      </x:c>
      <x:c r="P87" s="28" t="n">
        <x:v>60</x:v>
      </x:c>
      <x:c r="Q87" s="55" t="n">
        <x:v>70</x:v>
      </x:c>
      <x:c r="R87" s="28" t="n">
        <x:v>80</x:v>
      </x:c>
      <x:c r="S87" s="28" t="n">
        <x:v>12</x:v>
      </x:c>
      <x:c r="T87" s="28" t="n">
        <x:v>15</x:v>
      </x:c>
      <x:c r="U87" s="55" t="n">
        <x:v>18</x:v>
      </x:c>
      <x:c r="V87" s="28" t="n">
        <x:v>925</x:v>
      </x:c>
      <x:c r="W87" s="55" t="n">
        <x:v>1180</x:v>
      </x:c>
      <x:c r="X87" s="28" t="n">
        <x:v>1420</x:v>
      </x:c>
    </x:row>
    <x:row r="88">
      <x:c r="A88" s="30" t="n">
        <x:v>86</x:v>
      </x:c>
      <x:c r="B88" s="11" t="str">
        <x:f>IF(A88&lt;=15,"Seedling",IF(A88&lt;=25,"Establishment",IF(A88&lt;=40,"Vegetative Growth",IF(A88&lt;=55,"Flowering &amp; Initial Fruit Set",IF(A88&lt;=80,"Fruit Enlargement",IF(A88&lt;=95,"Ripening","Harvesting"))))))</x:f>
        <x:v>Ripening</x:v>
      </x:c>
      <x:c r="C88" s="28" t="n">
        <x:f>IF(A88&lt;=15,'Anchor Points'!$B$2+(A88-'Anchor Points'!$A$2)/('Anchor Points'!$A$3-'Anchor Points'!$A$2)*('Anchor Points'!$B$3-'Anchor Points'!$B$2),IF(A88&lt;=25,'Anchor Points'!$B$3+(A88-'Anchor Points'!$A$3)/('Anchor Points'!$A$4-'Anchor Points'!$A$3)*('Anchor Points'!$B$4-'Anchor Points'!$B$3),IF(A88&lt;=40,'Anchor Points'!$B$4+(A88-'Anchor Points'!$A$4)/('Anchor Points'!$A$5-'Anchor Points'!$A$4)*('Anchor Points'!$B$5-'Anchor Points'!$B$4),IF(A88&lt;=55,'Anchor Points'!$B$5+(A88-'Anchor Points'!$A$5)/('Anchor Points'!$A$6-'Anchor Points'!$A$5)*('Anchor Points'!$B$6-'Anchor Points'!$B$5),IF(A88&lt;=70,'Anchor Points'!$B$6+(A88-'Anchor Points'!$A$6)/('Anchor Points'!$A$7-'Anchor Points'!$A$6)*('Anchor Points'!$B$7-'Anchor Points'!$B$6),IF(A88&lt;=90,'Anchor Points'!$B$7+(A88-'Anchor Points'!$A$7)/('Anchor Points'!$A$8-'Anchor Points'!$A$7)*('Anchor Points'!$B$8-'Anchor Points'!$B$7),'Anchor Points'!$B$8+(A88-'Anchor Points'!$A$8)/('Anchor Points'!$A$9-'Anchor Points'!$A$8)*('Anchor Points'!$B$9-'Anchor Points'!$B$8)))))))</x:f>
        <x:v>80</x:v>
      </x:c>
      <x:c r="D88" s="28" t="n">
        <x:f>IF(A88&lt;=15,'Anchor Points'!$C$2+(A88-'Anchor Points'!$A$2)/('Anchor Points'!$A$3-'Anchor Points'!$A$2)*('Anchor Points'!$C$3-'Anchor Points'!$C$2),IF(A88&lt;=25,'Anchor Points'!$C$3+(A88-'Anchor Points'!$A$3)/('Anchor Points'!$A$4-'Anchor Points'!$A$3)*('Anchor Points'!$C$4-'Anchor Points'!$C$3),IF(A88&lt;=40,'Anchor Points'!$C$4+(A88-'Anchor Points'!$A$4)/('Anchor Points'!$A$5-'Anchor Points'!$A$4)*('Anchor Points'!$C$5-'Anchor Points'!$C$4),IF(A88&lt;=55,'Anchor Points'!$C$5+(A88-'Anchor Points'!$A$5)/('Anchor Points'!$A$6-'Anchor Points'!$A$5)*('Anchor Points'!$C$6-'Anchor Points'!$C$5),IF(A88&lt;=70,'Anchor Points'!$C$6+(A88-'Anchor Points'!$A$6)/('Anchor Points'!$A$7-'Anchor Points'!$A$6)*('Anchor Points'!$C$7-'Anchor Points'!$C$6),IF(A88&lt;=90,'Anchor Points'!$C$7+(A88-'Anchor Points'!$A$7)/('Anchor Points'!$A$8-'Anchor Points'!$A$7)*('Anchor Points'!$C$8-'Anchor Points'!$C$7),'Anchor Points'!$C$8+(A88-'Anchor Points'!$A$8)/('Anchor Points'!$A$9-'Anchor Points'!$A$8)*('Anchor Points'!$C$9-'Anchor Points'!$C$8)))))))</x:f>
        <x:v>81</x:v>
      </x:c>
      <x:c r="E88" s="28" t="n">
        <x:f>IF(A88&lt;=15,'Anchor Points'!$D$2+(A88-'Anchor Points'!$A$2)/('Anchor Points'!$A$3-'Anchor Points'!$A$2)*('Anchor Points'!$D$3-'Anchor Points'!$D$2),IF(A88&lt;=25,'Anchor Points'!$D$3+(A88-'Anchor Points'!$A$3)/('Anchor Points'!$A$4-'Anchor Points'!$A$3)*('Anchor Points'!$D$4-'Anchor Points'!$D$3),IF(A88&lt;=40,'Anchor Points'!$D$4+(A88-'Anchor Points'!$A$4)/('Anchor Points'!$A$5-'Anchor Points'!$A$4)*('Anchor Points'!$D$5-'Anchor Points'!$D$4),IF(A88&lt;=55,'Anchor Points'!$D$5+(A88-'Anchor Points'!$A$5)/('Anchor Points'!$A$6-'Anchor Points'!$A$5)*('Anchor Points'!$D$6-'Anchor Points'!$D$5),IF(A88&lt;=70,'Anchor Points'!$D$6+(A88-'Anchor Points'!$A$6)/('Anchor Points'!$A$7-'Anchor Points'!$A$6)*('Anchor Points'!$D$7-'Anchor Points'!$D$6),IF(A88&lt;=90,'Anchor Points'!$D$7+(A88-'Anchor Points'!$A$7)/('Anchor Points'!$A$8-'Anchor Points'!$A$7)*('Anchor Points'!$D$8-'Anchor Points'!$D$7),'Anchor Points'!$D$8+(A88-'Anchor Points'!$A$8)/('Anchor Points'!$A$9-'Anchor Points'!$A$8)*('Anchor Points'!$D$9-'Anchor Points'!$D$8)))))))</x:f>
        <x:v>8.8</x:v>
      </x:c>
      <x:c r="F88" s="30" t="n">
        <x:f>ROUND(E88,0)</x:f>
        <x:v>9</x:v>
      </x:c>
      <x:c r="G88" s="28" t="n">
        <x:f>IF(A88&lt;=15,'Anchor Points'!$E$2+(A88-'Anchor Points'!$A$2)/('Anchor Points'!$A$3-'Anchor Points'!$A$2)*('Anchor Points'!$E$3-'Anchor Points'!$E$2),IF(A88&lt;=25,'Anchor Points'!$E$3+(A88-'Anchor Points'!$A$3)/('Anchor Points'!$A$4-'Anchor Points'!$A$3)*('Anchor Points'!$E$4-'Anchor Points'!$E$3),IF(A88&lt;=40,'Anchor Points'!$E$4+(A88-'Anchor Points'!$A$4)/('Anchor Points'!$A$5-'Anchor Points'!$A$4)*('Anchor Points'!$E$5-'Anchor Points'!$E$4),IF(A88&lt;=55,'Anchor Points'!$E$5+(A88-'Anchor Points'!$A$5)/('Anchor Points'!$A$6-'Anchor Points'!$A$5)*('Anchor Points'!$E$6-'Anchor Points'!$E$5),IF(A88&lt;=70,'Anchor Points'!$E$6+(A88-'Anchor Points'!$A$6)/('Anchor Points'!$A$7-'Anchor Points'!$A$6)*('Anchor Points'!$E$7-'Anchor Points'!$E$6),IF(A88&lt;=90,'Anchor Points'!$E$7+(A88-'Anchor Points'!$A$7)/('Anchor Points'!$A$8-'Anchor Points'!$A$7)*('Anchor Points'!$E$8-'Anchor Points'!$E$7),'Anchor Points'!$E$8+(A88-'Anchor Points'!$A$8)/('Anchor Points'!$A$9-'Anchor Points'!$A$8)*('Anchor Points'!$E$9-'Anchor Points'!$E$8)))))))</x:f>
        <x:v>9</x:v>
      </x:c>
      <x:c r="H88" s="30" t="n">
        <x:f>ROUND(G88,0)</x:f>
        <x:v>9</x:v>
      </x:c>
      <x:c r="I88" s="28" t="n">
        <x:f>IF(A88&lt;=15,'Anchor Points'!$F$2+(A88-'Anchor Points'!$A$2)/('Anchor Points'!$A$3-'Anchor Points'!$A$2)*('Anchor Points'!$F$3-'Anchor Points'!$F$2),IF(A88&lt;=25,'Anchor Points'!$F$3+(A88-'Anchor Points'!$A$3)/('Anchor Points'!$A$4-'Anchor Points'!$A$3)*('Anchor Points'!$F$4-'Anchor Points'!$F$3),IF(A88&lt;=40,'Anchor Points'!$F$4+(A88-'Anchor Points'!$A$4)/('Anchor Points'!$A$5-'Anchor Points'!$A$4)*('Anchor Points'!$F$5-'Anchor Points'!$F$4),IF(A88&lt;=55,'Anchor Points'!$F$5+(A88-'Anchor Points'!$A$5)/('Anchor Points'!$A$6-'Anchor Points'!$A$5)*('Anchor Points'!$F$6-'Anchor Points'!$F$5),IF(A88&lt;=70,'Anchor Points'!$F$6+(A88-'Anchor Points'!$A$6)/('Anchor Points'!$A$7-'Anchor Points'!$A$6)*('Anchor Points'!$F$7-'Anchor Points'!$F$6),IF(A88&lt;=90,'Anchor Points'!$F$7+(A88-'Anchor Points'!$A$7)/('Anchor Points'!$A$8-'Anchor Points'!$A$7)*('Anchor Points'!$F$8-'Anchor Points'!$F$7),'Anchor Points'!$F$8+(A88-'Anchor Points'!$A$8)/('Anchor Points'!$A$9-'Anchor Points'!$A$8)*('Anchor Points'!$F$9-'Anchor Points'!$F$8)))))))</x:f>
        <x:v>45</x:v>
      </x:c>
      <x:c r="J88" s="28" t="n">
        <x:v>8</x:v>
      </x:c>
      <x:c r="K88" s="56" t="n">
        <x:v>9</x:v>
      </x:c>
      <x:c r="L88" s="52" t="n">
        <x:v>10</x:v>
      </x:c>
      <x:c r="M88" s="52" t="n">
        <x:v>55</x:v>
      </x:c>
      <x:c r="N88" s="56" t="n">
        <x:v>62</x:v>
      </x:c>
      <x:c r="O88" s="28" t="n">
        <x:v>70</x:v>
      </x:c>
      <x:c r="P88" s="28" t="n">
        <x:v>60</x:v>
      </x:c>
      <x:c r="Q88" s="55" t="n">
        <x:v>70</x:v>
      </x:c>
      <x:c r="R88" s="28" t="n">
        <x:v>80</x:v>
      </x:c>
      <x:c r="S88" s="28" t="n">
        <x:v>12</x:v>
      </x:c>
      <x:c r="T88" s="28" t="n">
        <x:v>15</x:v>
      </x:c>
      <x:c r="U88" s="55" t="n">
        <x:v>18</x:v>
      </x:c>
      <x:c r="V88" s="28" t="n">
        <x:v>937</x:v>
      </x:c>
      <x:c r="W88" s="55" t="n">
        <x:v>1195</x:v>
      </x:c>
      <x:c r="X88" s="28" t="n">
        <x:v>1438</x:v>
      </x:c>
    </x:row>
    <x:row r="89">
      <x:c r="A89" s="30" t="n">
        <x:v>87</x:v>
      </x:c>
      <x:c r="B89" s="11" t="str">
        <x:f>IF(A89&lt;=15,"Seedling",IF(A89&lt;=25,"Establishment",IF(A89&lt;=40,"Vegetative Growth",IF(A89&lt;=55,"Flowering &amp; Initial Fruit Set",IF(A89&lt;=80,"Fruit Enlargement",IF(A89&lt;=95,"Ripening","Harvesting"))))))</x:f>
        <x:v>Ripening</x:v>
      </x:c>
      <x:c r="C89" s="28" t="n">
        <x:f>IF(A89&lt;=15,'Anchor Points'!$B$2+(A89-'Anchor Points'!$A$2)/('Anchor Points'!$A$3-'Anchor Points'!$A$2)*('Anchor Points'!$B$3-'Anchor Points'!$B$2),IF(A89&lt;=25,'Anchor Points'!$B$3+(A89-'Anchor Points'!$A$3)/('Anchor Points'!$A$4-'Anchor Points'!$A$3)*('Anchor Points'!$B$4-'Anchor Points'!$B$3),IF(A89&lt;=40,'Anchor Points'!$B$4+(A89-'Anchor Points'!$A$4)/('Anchor Points'!$A$5-'Anchor Points'!$A$4)*('Anchor Points'!$B$5-'Anchor Points'!$B$4),IF(A89&lt;=55,'Anchor Points'!$B$5+(A89-'Anchor Points'!$A$5)/('Anchor Points'!$A$6-'Anchor Points'!$A$5)*('Anchor Points'!$B$6-'Anchor Points'!$B$5),IF(A89&lt;=70,'Anchor Points'!$B$6+(A89-'Anchor Points'!$A$6)/('Anchor Points'!$A$7-'Anchor Points'!$A$6)*('Anchor Points'!$B$7-'Anchor Points'!$B$6),IF(A89&lt;=90,'Anchor Points'!$B$7+(A89-'Anchor Points'!$A$7)/('Anchor Points'!$A$8-'Anchor Points'!$A$7)*('Anchor Points'!$B$8-'Anchor Points'!$B$7),'Anchor Points'!$B$8+(A89-'Anchor Points'!$A$8)/('Anchor Points'!$A$9-'Anchor Points'!$A$8)*('Anchor Points'!$B$9-'Anchor Points'!$B$8)))))))</x:f>
        <x:v>80.5</x:v>
      </x:c>
      <x:c r="D89" s="28" t="n">
        <x:f>IF(A89&lt;=15,'Anchor Points'!$C$2+(A89-'Anchor Points'!$A$2)/('Anchor Points'!$A$3-'Anchor Points'!$A$2)*('Anchor Points'!$C$3-'Anchor Points'!$C$2),IF(A89&lt;=25,'Anchor Points'!$C$3+(A89-'Anchor Points'!$A$3)/('Anchor Points'!$A$4-'Anchor Points'!$A$3)*('Anchor Points'!$C$4-'Anchor Points'!$C$3),IF(A89&lt;=40,'Anchor Points'!$C$4+(A89-'Anchor Points'!$A$4)/('Anchor Points'!$A$5-'Anchor Points'!$A$4)*('Anchor Points'!$C$5-'Anchor Points'!$C$4),IF(A89&lt;=55,'Anchor Points'!$C$5+(A89-'Anchor Points'!$A$5)/('Anchor Points'!$A$6-'Anchor Points'!$A$5)*('Anchor Points'!$C$6-'Anchor Points'!$C$5),IF(A89&lt;=70,'Anchor Points'!$C$6+(A89-'Anchor Points'!$A$6)/('Anchor Points'!$A$7-'Anchor Points'!$A$6)*('Anchor Points'!$C$7-'Anchor Points'!$C$6),IF(A89&lt;=90,'Anchor Points'!$C$7+(A89-'Anchor Points'!$A$7)/('Anchor Points'!$A$8-'Anchor Points'!$A$7)*('Anchor Points'!$C$8-'Anchor Points'!$C$7),'Anchor Points'!$C$8+(A89-'Anchor Points'!$A$8)/('Anchor Points'!$A$9-'Anchor Points'!$A$8)*('Anchor Points'!$C$9-'Anchor Points'!$C$8)))))))</x:f>
        <x:v>82</x:v>
      </x:c>
      <x:c r="E89" s="28" t="n">
        <x:f>IF(A89&lt;=15,'Anchor Points'!$D$2+(A89-'Anchor Points'!$A$2)/('Anchor Points'!$A$3-'Anchor Points'!$A$2)*('Anchor Points'!$D$3-'Anchor Points'!$D$2),IF(A89&lt;=25,'Anchor Points'!$D$3+(A89-'Anchor Points'!$A$3)/('Anchor Points'!$A$4-'Anchor Points'!$A$3)*('Anchor Points'!$D$4-'Anchor Points'!$D$3),IF(A89&lt;=40,'Anchor Points'!$D$4+(A89-'Anchor Points'!$A$4)/('Anchor Points'!$A$5-'Anchor Points'!$A$4)*('Anchor Points'!$D$5-'Anchor Points'!$D$4),IF(A89&lt;=55,'Anchor Points'!$D$5+(A89-'Anchor Points'!$A$5)/('Anchor Points'!$A$6-'Anchor Points'!$A$5)*('Anchor Points'!$D$6-'Anchor Points'!$D$5),IF(A89&lt;=70,'Anchor Points'!$D$6+(A89-'Anchor Points'!$A$6)/('Anchor Points'!$A$7-'Anchor Points'!$A$6)*('Anchor Points'!$D$7-'Anchor Points'!$D$6),IF(A89&lt;=90,'Anchor Points'!$D$7+(A89-'Anchor Points'!$A$7)/('Anchor Points'!$A$8-'Anchor Points'!$A$7)*('Anchor Points'!$D$8-'Anchor Points'!$D$7),'Anchor Points'!$D$8+(A89-'Anchor Points'!$A$8)/('Anchor Points'!$A$9-'Anchor Points'!$A$8)*('Anchor Points'!$D$9-'Anchor Points'!$D$8)))))))</x:f>
        <x:v>8.6</x:v>
      </x:c>
      <x:c r="F89" s="30" t="n">
        <x:f>ROUND(E89,0)</x:f>
        <x:v>9</x:v>
      </x:c>
      <x:c r="G89" s="28" t="n">
        <x:f>IF(A89&lt;=15,'Anchor Points'!$E$2+(A89-'Anchor Points'!$A$2)/('Anchor Points'!$A$3-'Anchor Points'!$A$2)*('Anchor Points'!$E$3-'Anchor Points'!$E$2),IF(A89&lt;=25,'Anchor Points'!$E$3+(A89-'Anchor Points'!$A$3)/('Anchor Points'!$A$4-'Anchor Points'!$A$3)*('Anchor Points'!$E$4-'Anchor Points'!$E$3),IF(A89&lt;=40,'Anchor Points'!$E$4+(A89-'Anchor Points'!$A$4)/('Anchor Points'!$A$5-'Anchor Points'!$A$4)*('Anchor Points'!$E$5-'Anchor Points'!$E$4),IF(A89&lt;=55,'Anchor Points'!$E$5+(A89-'Anchor Points'!$A$5)/('Anchor Points'!$A$6-'Anchor Points'!$A$5)*('Anchor Points'!$E$6-'Anchor Points'!$E$5),IF(A89&lt;=70,'Anchor Points'!$E$6+(A89-'Anchor Points'!$A$6)/('Anchor Points'!$A$7-'Anchor Points'!$A$6)*('Anchor Points'!$E$7-'Anchor Points'!$E$6),IF(A89&lt;=90,'Anchor Points'!$E$7+(A89-'Anchor Points'!$A$7)/('Anchor Points'!$A$8-'Anchor Points'!$A$7)*('Anchor Points'!$E$8-'Anchor Points'!$E$7),'Anchor Points'!$E$8+(A89-'Anchor Points'!$A$8)/('Anchor Points'!$A$9-'Anchor Points'!$A$8)*('Anchor Points'!$E$9-'Anchor Points'!$E$8)))))))</x:f>
        <x:v>9.25</x:v>
      </x:c>
      <x:c r="H89" s="30" t="n">
        <x:f>ROUND(G89,0)</x:f>
        <x:v>9</x:v>
      </x:c>
      <x:c r="I89" s="28" t="n">
        <x:f>IF(A89&lt;=15,'Anchor Points'!$F$2+(A89-'Anchor Points'!$A$2)/('Anchor Points'!$A$3-'Anchor Points'!$A$2)*('Anchor Points'!$F$3-'Anchor Points'!$F$2),IF(A89&lt;=25,'Anchor Points'!$F$3+(A89-'Anchor Points'!$A$3)/('Anchor Points'!$A$4-'Anchor Points'!$A$3)*('Anchor Points'!$F$4-'Anchor Points'!$F$3),IF(A89&lt;=40,'Anchor Points'!$F$4+(A89-'Anchor Points'!$A$4)/('Anchor Points'!$A$5-'Anchor Points'!$A$4)*('Anchor Points'!$F$5-'Anchor Points'!$F$4),IF(A89&lt;=55,'Anchor Points'!$F$5+(A89-'Anchor Points'!$A$5)/('Anchor Points'!$A$6-'Anchor Points'!$A$5)*('Anchor Points'!$F$6-'Anchor Points'!$F$5),IF(A89&lt;=70,'Anchor Points'!$F$6+(A89-'Anchor Points'!$A$6)/('Anchor Points'!$A$7-'Anchor Points'!$A$6)*('Anchor Points'!$F$7-'Anchor Points'!$F$6),IF(A89&lt;=90,'Anchor Points'!$F$7+(A89-'Anchor Points'!$A$7)/('Anchor Points'!$A$8-'Anchor Points'!$A$7)*('Anchor Points'!$F$8-'Anchor Points'!$F$7),'Anchor Points'!$F$8+(A89-'Anchor Points'!$A$8)/('Anchor Points'!$A$9-'Anchor Points'!$A$8)*('Anchor Points'!$F$9-'Anchor Points'!$F$8)))))))</x:f>
        <x:v>46.25</x:v>
      </x:c>
      <x:c r="J89" s="28" t="n">
        <x:v>8</x:v>
      </x:c>
      <x:c r="K89" s="56" t="n">
        <x:v>9</x:v>
      </x:c>
      <x:c r="L89" s="52" t="n">
        <x:v>10</x:v>
      </x:c>
      <x:c r="M89" s="52" t="n">
        <x:v>55</x:v>
      </x:c>
      <x:c r="N89" s="56" t="n">
        <x:v>62</x:v>
      </x:c>
      <x:c r="O89" s="28" t="n">
        <x:v>70</x:v>
      </x:c>
      <x:c r="P89" s="28" t="n">
        <x:v>60</x:v>
      </x:c>
      <x:c r="Q89" s="55" t="n">
        <x:v>70</x:v>
      </x:c>
      <x:c r="R89" s="28" t="n">
        <x:v>80</x:v>
      </x:c>
      <x:c r="S89" s="28" t="n">
        <x:v>12</x:v>
      </x:c>
      <x:c r="T89" s="28" t="n">
        <x:v>15</x:v>
      </x:c>
      <x:c r="U89" s="55" t="n">
        <x:v>18</x:v>
      </x:c>
      <x:c r="V89" s="28" t="n">
        <x:v>949</x:v>
      </x:c>
      <x:c r="W89" s="55" t="n">
        <x:v>1210</x:v>
      </x:c>
      <x:c r="X89" s="28" t="n">
        <x:v>1456</x:v>
      </x:c>
    </x:row>
    <x:row r="90">
      <x:c r="A90" s="30" t="n">
        <x:v>88</x:v>
      </x:c>
      <x:c r="B90" s="11" t="str">
        <x:f>IF(A90&lt;=15,"Seedling",IF(A90&lt;=25,"Establishment",IF(A90&lt;=40,"Vegetative Growth",IF(A90&lt;=55,"Flowering &amp; Initial Fruit Set",IF(A90&lt;=80,"Fruit Enlargement",IF(A90&lt;=95,"Ripening","Harvesting"))))))</x:f>
        <x:v>Ripening</x:v>
      </x:c>
      <x:c r="C90" s="28" t="n">
        <x:f>IF(A90&lt;=15,'Anchor Points'!$B$2+(A90-'Anchor Points'!$A$2)/('Anchor Points'!$A$3-'Anchor Points'!$A$2)*('Anchor Points'!$B$3-'Anchor Points'!$B$2),IF(A90&lt;=25,'Anchor Points'!$B$3+(A90-'Anchor Points'!$A$3)/('Anchor Points'!$A$4-'Anchor Points'!$A$3)*('Anchor Points'!$B$4-'Anchor Points'!$B$3),IF(A90&lt;=40,'Anchor Points'!$B$4+(A90-'Anchor Points'!$A$4)/('Anchor Points'!$A$5-'Anchor Points'!$A$4)*('Anchor Points'!$B$5-'Anchor Points'!$B$4),IF(A90&lt;=55,'Anchor Points'!$B$5+(A90-'Anchor Points'!$A$5)/('Anchor Points'!$A$6-'Anchor Points'!$A$5)*('Anchor Points'!$B$6-'Anchor Points'!$B$5),IF(A90&lt;=70,'Anchor Points'!$B$6+(A90-'Anchor Points'!$A$6)/('Anchor Points'!$A$7-'Anchor Points'!$A$6)*('Anchor Points'!$B$7-'Anchor Points'!$B$6),IF(A90&lt;=90,'Anchor Points'!$B$7+(A90-'Anchor Points'!$A$7)/('Anchor Points'!$A$8-'Anchor Points'!$A$7)*('Anchor Points'!$B$8-'Anchor Points'!$B$7),'Anchor Points'!$B$8+(A90-'Anchor Points'!$A$8)/('Anchor Points'!$A$9-'Anchor Points'!$A$8)*('Anchor Points'!$B$9-'Anchor Points'!$B$8)))))))</x:f>
        <x:v>81</x:v>
      </x:c>
      <x:c r="D90" s="28" t="n">
        <x:f>IF(A90&lt;=15,'Anchor Points'!$C$2+(A90-'Anchor Points'!$A$2)/('Anchor Points'!$A$3-'Anchor Points'!$A$2)*('Anchor Points'!$C$3-'Anchor Points'!$C$2),IF(A90&lt;=25,'Anchor Points'!$C$3+(A90-'Anchor Points'!$A$3)/('Anchor Points'!$A$4-'Anchor Points'!$A$3)*('Anchor Points'!$C$4-'Anchor Points'!$C$3),IF(A90&lt;=40,'Anchor Points'!$C$4+(A90-'Anchor Points'!$A$4)/('Anchor Points'!$A$5-'Anchor Points'!$A$4)*('Anchor Points'!$C$5-'Anchor Points'!$C$4),IF(A90&lt;=55,'Anchor Points'!$C$5+(A90-'Anchor Points'!$A$5)/('Anchor Points'!$A$6-'Anchor Points'!$A$5)*('Anchor Points'!$C$6-'Anchor Points'!$C$5),IF(A90&lt;=70,'Anchor Points'!$C$6+(A90-'Anchor Points'!$A$6)/('Anchor Points'!$A$7-'Anchor Points'!$A$6)*('Anchor Points'!$C$7-'Anchor Points'!$C$6),IF(A90&lt;=90,'Anchor Points'!$C$7+(A90-'Anchor Points'!$A$7)/('Anchor Points'!$A$8-'Anchor Points'!$A$7)*('Anchor Points'!$C$8-'Anchor Points'!$C$7),'Anchor Points'!$C$8+(A90-'Anchor Points'!$A$8)/('Anchor Points'!$A$9-'Anchor Points'!$A$8)*('Anchor Points'!$C$9-'Anchor Points'!$C$8)))))))</x:f>
        <x:v>83</x:v>
      </x:c>
      <x:c r="E90" s="28" t="n">
        <x:f>IF(A90&lt;=15,'Anchor Points'!$D$2+(A90-'Anchor Points'!$A$2)/('Anchor Points'!$A$3-'Anchor Points'!$A$2)*('Anchor Points'!$D$3-'Anchor Points'!$D$2),IF(A90&lt;=25,'Anchor Points'!$D$3+(A90-'Anchor Points'!$A$3)/('Anchor Points'!$A$4-'Anchor Points'!$A$3)*('Anchor Points'!$D$4-'Anchor Points'!$D$3),IF(A90&lt;=40,'Anchor Points'!$D$4+(A90-'Anchor Points'!$A$4)/('Anchor Points'!$A$5-'Anchor Points'!$A$4)*('Anchor Points'!$D$5-'Anchor Points'!$D$4),IF(A90&lt;=55,'Anchor Points'!$D$5+(A90-'Anchor Points'!$A$5)/('Anchor Points'!$A$6-'Anchor Points'!$A$5)*('Anchor Points'!$D$6-'Anchor Points'!$D$5),IF(A90&lt;=70,'Anchor Points'!$D$6+(A90-'Anchor Points'!$A$6)/('Anchor Points'!$A$7-'Anchor Points'!$A$6)*('Anchor Points'!$D$7-'Anchor Points'!$D$6),IF(A90&lt;=90,'Anchor Points'!$D$7+(A90-'Anchor Points'!$A$7)/('Anchor Points'!$A$8-'Anchor Points'!$A$7)*('Anchor Points'!$D$8-'Anchor Points'!$D$7),'Anchor Points'!$D$8+(A90-'Anchor Points'!$A$8)/('Anchor Points'!$A$9-'Anchor Points'!$A$8)*('Anchor Points'!$D$9-'Anchor Points'!$D$8)))))))</x:f>
        <x:v>8.4</x:v>
      </x:c>
      <x:c r="F90" s="30" t="n">
        <x:f>ROUND(E90,0)</x:f>
        <x:v>8</x:v>
      </x:c>
      <x:c r="G90" s="28" t="n">
        <x:f>IF(A90&lt;=15,'Anchor Points'!$E$2+(A90-'Anchor Points'!$A$2)/('Anchor Points'!$A$3-'Anchor Points'!$A$2)*('Anchor Points'!$E$3-'Anchor Points'!$E$2),IF(A90&lt;=25,'Anchor Points'!$E$3+(A90-'Anchor Points'!$A$3)/('Anchor Points'!$A$4-'Anchor Points'!$A$3)*('Anchor Points'!$E$4-'Anchor Points'!$E$3),IF(A90&lt;=40,'Anchor Points'!$E$4+(A90-'Anchor Points'!$A$4)/('Anchor Points'!$A$5-'Anchor Points'!$A$4)*('Anchor Points'!$E$5-'Anchor Points'!$E$4),IF(A90&lt;=55,'Anchor Points'!$E$5+(A90-'Anchor Points'!$A$5)/('Anchor Points'!$A$6-'Anchor Points'!$A$5)*('Anchor Points'!$E$6-'Anchor Points'!$E$5),IF(A90&lt;=70,'Anchor Points'!$E$6+(A90-'Anchor Points'!$A$6)/('Anchor Points'!$A$7-'Anchor Points'!$A$6)*('Anchor Points'!$E$7-'Anchor Points'!$E$6),IF(A90&lt;=90,'Anchor Points'!$E$7+(A90-'Anchor Points'!$A$7)/('Anchor Points'!$A$8-'Anchor Points'!$A$7)*('Anchor Points'!$E$8-'Anchor Points'!$E$7),'Anchor Points'!$E$8+(A90-'Anchor Points'!$A$8)/('Anchor Points'!$A$9-'Anchor Points'!$A$8)*('Anchor Points'!$E$9-'Anchor Points'!$E$8)))))))</x:f>
        <x:v>9.5</x:v>
      </x:c>
      <x:c r="H90" s="30" t="n">
        <x:f>ROUND(G90,0)</x:f>
        <x:v>10</x:v>
      </x:c>
      <x:c r="I90" s="28" t="n">
        <x:f>IF(A90&lt;=15,'Anchor Points'!$F$2+(A90-'Anchor Points'!$A$2)/('Anchor Points'!$A$3-'Anchor Points'!$A$2)*('Anchor Points'!$F$3-'Anchor Points'!$F$2),IF(A90&lt;=25,'Anchor Points'!$F$3+(A90-'Anchor Points'!$A$3)/('Anchor Points'!$A$4-'Anchor Points'!$A$3)*('Anchor Points'!$F$4-'Anchor Points'!$F$3),IF(A90&lt;=40,'Anchor Points'!$F$4+(A90-'Anchor Points'!$A$4)/('Anchor Points'!$A$5-'Anchor Points'!$A$4)*('Anchor Points'!$F$5-'Anchor Points'!$F$4),IF(A90&lt;=55,'Anchor Points'!$F$5+(A90-'Anchor Points'!$A$5)/('Anchor Points'!$A$6-'Anchor Points'!$A$5)*('Anchor Points'!$F$6-'Anchor Points'!$F$5),IF(A90&lt;=70,'Anchor Points'!$F$6+(A90-'Anchor Points'!$A$6)/('Anchor Points'!$A$7-'Anchor Points'!$A$6)*('Anchor Points'!$F$7-'Anchor Points'!$F$6),IF(A90&lt;=90,'Anchor Points'!$F$7+(A90-'Anchor Points'!$A$7)/('Anchor Points'!$A$8-'Anchor Points'!$A$7)*('Anchor Points'!$F$8-'Anchor Points'!$F$7),'Anchor Points'!$F$8+(A90-'Anchor Points'!$A$8)/('Anchor Points'!$A$9-'Anchor Points'!$A$8)*('Anchor Points'!$F$9-'Anchor Points'!$F$8)))))))</x:f>
        <x:v>47.5</x:v>
      </x:c>
      <x:c r="J90" s="28" t="n">
        <x:v>8</x:v>
      </x:c>
      <x:c r="K90" s="56" t="n">
        <x:v>9</x:v>
      </x:c>
      <x:c r="L90" s="52" t="n">
        <x:v>10</x:v>
      </x:c>
      <x:c r="M90" s="52" t="n">
        <x:v>55</x:v>
      </x:c>
      <x:c r="N90" s="56" t="n">
        <x:v>62</x:v>
      </x:c>
      <x:c r="O90" s="28" t="n">
        <x:v>70</x:v>
      </x:c>
      <x:c r="P90" s="28" t="n">
        <x:v>60</x:v>
      </x:c>
      <x:c r="Q90" s="55" t="n">
        <x:v>70</x:v>
      </x:c>
      <x:c r="R90" s="28" t="n">
        <x:v>80</x:v>
      </x:c>
      <x:c r="S90" s="28" t="n">
        <x:v>12</x:v>
      </x:c>
      <x:c r="T90" s="28" t="n">
        <x:v>15</x:v>
      </x:c>
      <x:c r="U90" s="55" t="n">
        <x:v>18</x:v>
      </x:c>
      <x:c r="V90" s="28" t="n">
        <x:v>961</x:v>
      </x:c>
      <x:c r="W90" s="55" t="n">
        <x:v>1225</x:v>
      </x:c>
      <x:c r="X90" s="28" t="n">
        <x:v>1474</x:v>
      </x:c>
    </x:row>
    <x:row r="91">
      <x:c r="A91" s="30" t="n">
        <x:v>89</x:v>
      </x:c>
      <x:c r="B91" s="11" t="str">
        <x:f>IF(A91&lt;=15,"Seedling",IF(A91&lt;=25,"Establishment",IF(A91&lt;=40,"Vegetative Growth",IF(A91&lt;=55,"Flowering &amp; Initial Fruit Set",IF(A91&lt;=80,"Fruit Enlargement",IF(A91&lt;=95,"Ripening","Harvesting"))))))</x:f>
        <x:v>Ripening</x:v>
      </x:c>
      <x:c r="C91" s="28" t="n">
        <x:f>IF(A91&lt;=15,'Anchor Points'!$B$2+(A91-'Anchor Points'!$A$2)/('Anchor Points'!$A$3-'Anchor Points'!$A$2)*('Anchor Points'!$B$3-'Anchor Points'!$B$2),IF(A91&lt;=25,'Anchor Points'!$B$3+(A91-'Anchor Points'!$A$3)/('Anchor Points'!$A$4-'Anchor Points'!$A$3)*('Anchor Points'!$B$4-'Anchor Points'!$B$3),IF(A91&lt;=40,'Anchor Points'!$B$4+(A91-'Anchor Points'!$A$4)/('Anchor Points'!$A$5-'Anchor Points'!$A$4)*('Anchor Points'!$B$5-'Anchor Points'!$B$4),IF(A91&lt;=55,'Anchor Points'!$B$5+(A91-'Anchor Points'!$A$5)/('Anchor Points'!$A$6-'Anchor Points'!$A$5)*('Anchor Points'!$B$6-'Anchor Points'!$B$5),IF(A91&lt;=70,'Anchor Points'!$B$6+(A91-'Anchor Points'!$A$6)/('Anchor Points'!$A$7-'Anchor Points'!$A$6)*('Anchor Points'!$B$7-'Anchor Points'!$B$6),IF(A91&lt;=90,'Anchor Points'!$B$7+(A91-'Anchor Points'!$A$7)/('Anchor Points'!$A$8-'Anchor Points'!$A$7)*('Anchor Points'!$B$8-'Anchor Points'!$B$7),'Anchor Points'!$B$8+(A91-'Anchor Points'!$A$8)/('Anchor Points'!$A$9-'Anchor Points'!$A$8)*('Anchor Points'!$B$9-'Anchor Points'!$B$8)))))))</x:f>
        <x:v>81.5</x:v>
      </x:c>
      <x:c r="D91" s="28" t="n">
        <x:f>IF(A91&lt;=15,'Anchor Points'!$C$2+(A91-'Anchor Points'!$A$2)/('Anchor Points'!$A$3-'Anchor Points'!$A$2)*('Anchor Points'!$C$3-'Anchor Points'!$C$2),IF(A91&lt;=25,'Anchor Points'!$C$3+(A91-'Anchor Points'!$A$3)/('Anchor Points'!$A$4-'Anchor Points'!$A$3)*('Anchor Points'!$C$4-'Anchor Points'!$C$3),IF(A91&lt;=40,'Anchor Points'!$C$4+(A91-'Anchor Points'!$A$4)/('Anchor Points'!$A$5-'Anchor Points'!$A$4)*('Anchor Points'!$C$5-'Anchor Points'!$C$4),IF(A91&lt;=55,'Anchor Points'!$C$5+(A91-'Anchor Points'!$A$5)/('Anchor Points'!$A$6-'Anchor Points'!$A$5)*('Anchor Points'!$C$6-'Anchor Points'!$C$5),IF(A91&lt;=70,'Anchor Points'!$C$6+(A91-'Anchor Points'!$A$6)/('Anchor Points'!$A$7-'Anchor Points'!$A$6)*('Anchor Points'!$C$7-'Anchor Points'!$C$6),IF(A91&lt;=90,'Anchor Points'!$C$7+(A91-'Anchor Points'!$A$7)/('Anchor Points'!$A$8-'Anchor Points'!$A$7)*('Anchor Points'!$C$8-'Anchor Points'!$C$7),'Anchor Points'!$C$8+(A91-'Anchor Points'!$A$8)/('Anchor Points'!$A$9-'Anchor Points'!$A$8)*('Anchor Points'!$C$9-'Anchor Points'!$C$8)))))))</x:f>
        <x:v>84</x:v>
      </x:c>
      <x:c r="E91" s="28" t="n">
        <x:f>IF(A91&lt;=15,'Anchor Points'!$D$2+(A91-'Anchor Points'!$A$2)/('Anchor Points'!$A$3-'Anchor Points'!$A$2)*('Anchor Points'!$D$3-'Anchor Points'!$D$2),IF(A91&lt;=25,'Anchor Points'!$D$3+(A91-'Anchor Points'!$A$3)/('Anchor Points'!$A$4-'Anchor Points'!$A$3)*('Anchor Points'!$D$4-'Anchor Points'!$D$3),IF(A91&lt;=40,'Anchor Points'!$D$4+(A91-'Anchor Points'!$A$4)/('Anchor Points'!$A$5-'Anchor Points'!$A$4)*('Anchor Points'!$D$5-'Anchor Points'!$D$4),IF(A91&lt;=55,'Anchor Points'!$D$5+(A91-'Anchor Points'!$A$5)/('Anchor Points'!$A$6-'Anchor Points'!$A$5)*('Anchor Points'!$D$6-'Anchor Points'!$D$5),IF(A91&lt;=70,'Anchor Points'!$D$6+(A91-'Anchor Points'!$A$6)/('Anchor Points'!$A$7-'Anchor Points'!$A$6)*('Anchor Points'!$D$7-'Anchor Points'!$D$6),IF(A91&lt;=90,'Anchor Points'!$D$7+(A91-'Anchor Points'!$A$7)/('Anchor Points'!$A$8-'Anchor Points'!$A$7)*('Anchor Points'!$D$8-'Anchor Points'!$D$7),'Anchor Points'!$D$8+(A91-'Anchor Points'!$A$8)/('Anchor Points'!$A$9-'Anchor Points'!$A$8)*('Anchor Points'!$D$9-'Anchor Points'!$D$8)))))))</x:f>
        <x:v>8.2</x:v>
      </x:c>
      <x:c r="F91" s="30" t="n">
        <x:f>ROUND(E91,0)</x:f>
        <x:v>8</x:v>
      </x:c>
      <x:c r="G91" s="28" t="n">
        <x:f>IF(A91&lt;=15,'Anchor Points'!$E$2+(A91-'Anchor Points'!$A$2)/('Anchor Points'!$A$3-'Anchor Points'!$A$2)*('Anchor Points'!$E$3-'Anchor Points'!$E$2),IF(A91&lt;=25,'Anchor Points'!$E$3+(A91-'Anchor Points'!$A$3)/('Anchor Points'!$A$4-'Anchor Points'!$A$3)*('Anchor Points'!$E$4-'Anchor Points'!$E$3),IF(A91&lt;=40,'Anchor Points'!$E$4+(A91-'Anchor Points'!$A$4)/('Anchor Points'!$A$5-'Anchor Points'!$A$4)*('Anchor Points'!$E$5-'Anchor Points'!$E$4),IF(A91&lt;=55,'Anchor Points'!$E$5+(A91-'Anchor Points'!$A$5)/('Anchor Points'!$A$6-'Anchor Points'!$A$5)*('Anchor Points'!$E$6-'Anchor Points'!$E$5),IF(A91&lt;=70,'Anchor Points'!$E$6+(A91-'Anchor Points'!$A$6)/('Anchor Points'!$A$7-'Anchor Points'!$A$6)*('Anchor Points'!$E$7-'Anchor Points'!$E$6),IF(A91&lt;=90,'Anchor Points'!$E$7+(A91-'Anchor Points'!$A$7)/('Anchor Points'!$A$8-'Anchor Points'!$A$7)*('Anchor Points'!$E$8-'Anchor Points'!$E$7),'Anchor Points'!$E$8+(A91-'Anchor Points'!$A$8)/('Anchor Points'!$A$9-'Anchor Points'!$A$8)*('Anchor Points'!$E$9-'Anchor Points'!$E$8)))))))</x:f>
        <x:v>9.75</x:v>
      </x:c>
      <x:c r="H91" s="30" t="n">
        <x:f>ROUND(G91,0)</x:f>
        <x:v>10</x:v>
      </x:c>
      <x:c r="I91" s="28" t="n">
        <x:f>IF(A91&lt;=15,'Anchor Points'!$F$2+(A91-'Anchor Points'!$A$2)/('Anchor Points'!$A$3-'Anchor Points'!$A$2)*('Anchor Points'!$F$3-'Anchor Points'!$F$2),IF(A91&lt;=25,'Anchor Points'!$F$3+(A91-'Anchor Points'!$A$3)/('Anchor Points'!$A$4-'Anchor Points'!$A$3)*('Anchor Points'!$F$4-'Anchor Points'!$F$3),IF(A91&lt;=40,'Anchor Points'!$F$4+(A91-'Anchor Points'!$A$4)/('Anchor Points'!$A$5-'Anchor Points'!$A$4)*('Anchor Points'!$F$5-'Anchor Points'!$F$4),IF(A91&lt;=55,'Anchor Points'!$F$5+(A91-'Anchor Points'!$A$5)/('Anchor Points'!$A$6-'Anchor Points'!$A$5)*('Anchor Points'!$F$6-'Anchor Points'!$F$5),IF(A91&lt;=70,'Anchor Points'!$F$6+(A91-'Anchor Points'!$A$6)/('Anchor Points'!$A$7-'Anchor Points'!$A$6)*('Anchor Points'!$F$7-'Anchor Points'!$F$6),IF(A91&lt;=90,'Anchor Points'!$F$7+(A91-'Anchor Points'!$A$7)/('Anchor Points'!$A$8-'Anchor Points'!$A$7)*('Anchor Points'!$F$8-'Anchor Points'!$F$7),'Anchor Points'!$F$8+(A91-'Anchor Points'!$A$8)/('Anchor Points'!$A$9-'Anchor Points'!$A$8)*('Anchor Points'!$F$9-'Anchor Points'!$F$8)))))))</x:f>
        <x:v>48.75</x:v>
      </x:c>
      <x:c r="J91" s="28" t="n">
        <x:v>8</x:v>
      </x:c>
      <x:c r="K91" s="56" t="n">
        <x:v>9</x:v>
      </x:c>
      <x:c r="L91" s="52" t="n">
        <x:v>10</x:v>
      </x:c>
      <x:c r="M91" s="52" t="n">
        <x:v>55</x:v>
      </x:c>
      <x:c r="N91" s="56" t="n">
        <x:v>62</x:v>
      </x:c>
      <x:c r="O91" s="28" t="n">
        <x:v>70</x:v>
      </x:c>
      <x:c r="P91" s="28" t="n">
        <x:v>60</x:v>
      </x:c>
      <x:c r="Q91" s="55" t="n">
        <x:v>70</x:v>
      </x:c>
      <x:c r="R91" s="28" t="n">
        <x:v>80</x:v>
      </x:c>
      <x:c r="S91" s="28" t="n">
        <x:v>12</x:v>
      </x:c>
      <x:c r="T91" s="28" t="n">
        <x:v>15</x:v>
      </x:c>
      <x:c r="U91" s="55" t="n">
        <x:v>18</x:v>
      </x:c>
      <x:c r="V91" s="28" t="n">
        <x:v>973</x:v>
      </x:c>
      <x:c r="W91" s="55" t="n">
        <x:v>1240</x:v>
      </x:c>
      <x:c r="X91" s="28" t="n">
        <x:v>1492</x:v>
      </x:c>
    </x:row>
    <x:row r="92">
      <x:c r="A92" s="30" t="n">
        <x:v>90</x:v>
      </x:c>
      <x:c r="B92" s="11" t="str">
        <x:f>IF(A92&lt;=15,"Seedling",IF(A92&lt;=25,"Establishment",IF(A92&lt;=40,"Vegetative Growth",IF(A92&lt;=55,"Flowering &amp; Initial Fruit Set",IF(A92&lt;=80,"Fruit Enlargement",IF(A92&lt;=95,"Ripening","Harvesting"))))))</x:f>
        <x:v>Ripening</x:v>
      </x:c>
      <x:c r="C92" s="28" t="n">
        <x:f>IF(A92&lt;=15,'Anchor Points'!$B$2+(A92-'Anchor Points'!$A$2)/('Anchor Points'!$A$3-'Anchor Points'!$A$2)*('Anchor Points'!$B$3-'Anchor Points'!$B$2),IF(A92&lt;=25,'Anchor Points'!$B$3+(A92-'Anchor Points'!$A$3)/('Anchor Points'!$A$4-'Anchor Points'!$A$3)*('Anchor Points'!$B$4-'Anchor Points'!$B$3),IF(A92&lt;=40,'Anchor Points'!$B$4+(A92-'Anchor Points'!$A$4)/('Anchor Points'!$A$5-'Anchor Points'!$A$4)*('Anchor Points'!$B$5-'Anchor Points'!$B$4),IF(A92&lt;=55,'Anchor Points'!$B$5+(A92-'Anchor Points'!$A$5)/('Anchor Points'!$A$6-'Anchor Points'!$A$5)*('Anchor Points'!$B$6-'Anchor Points'!$B$5),IF(A92&lt;=70,'Anchor Points'!$B$6+(A92-'Anchor Points'!$A$6)/('Anchor Points'!$A$7-'Anchor Points'!$A$6)*('Anchor Points'!$B$7-'Anchor Points'!$B$6),IF(A92&lt;=90,'Anchor Points'!$B$7+(A92-'Anchor Points'!$A$7)/('Anchor Points'!$A$8-'Anchor Points'!$A$7)*('Anchor Points'!$B$8-'Anchor Points'!$B$7),'Anchor Points'!$B$8+(A92-'Anchor Points'!$A$8)/('Anchor Points'!$A$9-'Anchor Points'!$A$8)*('Anchor Points'!$B$9-'Anchor Points'!$B$8)))))))</x:f>
        <x:v>82</x:v>
      </x:c>
      <x:c r="D92" s="28" t="n">
        <x:f>IF(A92&lt;=15,'Anchor Points'!$C$2+(A92-'Anchor Points'!$A$2)/('Anchor Points'!$A$3-'Anchor Points'!$A$2)*('Anchor Points'!$C$3-'Anchor Points'!$C$2),IF(A92&lt;=25,'Anchor Points'!$C$3+(A92-'Anchor Points'!$A$3)/('Anchor Points'!$A$4-'Anchor Points'!$A$3)*('Anchor Points'!$C$4-'Anchor Points'!$C$3),IF(A92&lt;=40,'Anchor Points'!$C$4+(A92-'Anchor Points'!$A$4)/('Anchor Points'!$A$5-'Anchor Points'!$A$4)*('Anchor Points'!$C$5-'Anchor Points'!$C$4),IF(A92&lt;=55,'Anchor Points'!$C$5+(A92-'Anchor Points'!$A$5)/('Anchor Points'!$A$6-'Anchor Points'!$A$5)*('Anchor Points'!$C$6-'Anchor Points'!$C$5),IF(A92&lt;=70,'Anchor Points'!$C$6+(A92-'Anchor Points'!$A$6)/('Anchor Points'!$A$7-'Anchor Points'!$A$6)*('Anchor Points'!$C$7-'Anchor Points'!$C$6),IF(A92&lt;=90,'Anchor Points'!$C$7+(A92-'Anchor Points'!$A$7)/('Anchor Points'!$A$8-'Anchor Points'!$A$7)*('Anchor Points'!$C$8-'Anchor Points'!$C$7),'Anchor Points'!$C$8+(A92-'Anchor Points'!$A$8)/('Anchor Points'!$A$9-'Anchor Points'!$A$8)*('Anchor Points'!$C$9-'Anchor Points'!$C$8)))))))</x:f>
        <x:v>85</x:v>
      </x:c>
      <x:c r="E92" s="28" t="n">
        <x:f>IF(A92&lt;=15,'Anchor Points'!$D$2+(A92-'Anchor Points'!$A$2)/('Anchor Points'!$A$3-'Anchor Points'!$A$2)*('Anchor Points'!$D$3-'Anchor Points'!$D$2),IF(A92&lt;=25,'Anchor Points'!$D$3+(A92-'Anchor Points'!$A$3)/('Anchor Points'!$A$4-'Anchor Points'!$A$3)*('Anchor Points'!$D$4-'Anchor Points'!$D$3),IF(A92&lt;=40,'Anchor Points'!$D$4+(A92-'Anchor Points'!$A$4)/('Anchor Points'!$A$5-'Anchor Points'!$A$4)*('Anchor Points'!$D$5-'Anchor Points'!$D$4),IF(A92&lt;=55,'Anchor Points'!$D$5+(A92-'Anchor Points'!$A$5)/('Anchor Points'!$A$6-'Anchor Points'!$A$5)*('Anchor Points'!$D$6-'Anchor Points'!$D$5),IF(A92&lt;=70,'Anchor Points'!$D$6+(A92-'Anchor Points'!$A$6)/('Anchor Points'!$A$7-'Anchor Points'!$A$6)*('Anchor Points'!$D$7-'Anchor Points'!$D$6),IF(A92&lt;=90,'Anchor Points'!$D$7+(A92-'Anchor Points'!$A$7)/('Anchor Points'!$A$8-'Anchor Points'!$A$7)*('Anchor Points'!$D$8-'Anchor Points'!$D$7),'Anchor Points'!$D$8+(A92-'Anchor Points'!$A$8)/('Anchor Points'!$A$9-'Anchor Points'!$A$8)*('Anchor Points'!$D$9-'Anchor Points'!$D$8)))))))</x:f>
        <x:v>8</x:v>
      </x:c>
      <x:c r="F92" s="30" t="n">
        <x:f>ROUND(E92,0)</x:f>
        <x:v>8</x:v>
      </x:c>
      <x:c r="G92" s="28" t="n">
        <x:f>IF(A92&lt;=15,'Anchor Points'!$E$2+(A92-'Anchor Points'!$A$2)/('Anchor Points'!$A$3-'Anchor Points'!$A$2)*('Anchor Points'!$E$3-'Anchor Points'!$E$2),IF(A92&lt;=25,'Anchor Points'!$E$3+(A92-'Anchor Points'!$A$3)/('Anchor Points'!$A$4-'Anchor Points'!$A$3)*('Anchor Points'!$E$4-'Anchor Points'!$E$3),IF(A92&lt;=40,'Anchor Points'!$E$4+(A92-'Anchor Points'!$A$4)/('Anchor Points'!$A$5-'Anchor Points'!$A$4)*('Anchor Points'!$E$5-'Anchor Points'!$E$4),IF(A92&lt;=55,'Anchor Points'!$E$5+(A92-'Anchor Points'!$A$5)/('Anchor Points'!$A$6-'Anchor Points'!$A$5)*('Anchor Points'!$E$6-'Anchor Points'!$E$5),IF(A92&lt;=70,'Anchor Points'!$E$6+(A92-'Anchor Points'!$A$6)/('Anchor Points'!$A$7-'Anchor Points'!$A$6)*('Anchor Points'!$E$7-'Anchor Points'!$E$6),IF(A92&lt;=90,'Anchor Points'!$E$7+(A92-'Anchor Points'!$A$7)/('Anchor Points'!$A$8-'Anchor Points'!$A$7)*('Anchor Points'!$E$8-'Anchor Points'!$E$7),'Anchor Points'!$E$8+(A92-'Anchor Points'!$A$8)/('Anchor Points'!$A$9-'Anchor Points'!$A$8)*('Anchor Points'!$E$9-'Anchor Points'!$E$8)))))))</x:f>
        <x:v>10</x:v>
      </x:c>
      <x:c r="H92" s="30" t="n">
        <x:f>ROUND(G92,0)</x:f>
        <x:v>10</x:v>
      </x:c>
      <x:c r="I92" s="28" t="n">
        <x:f>IF(A92&lt;=15,'Anchor Points'!$F$2+(A92-'Anchor Points'!$A$2)/('Anchor Points'!$A$3-'Anchor Points'!$A$2)*('Anchor Points'!$F$3-'Anchor Points'!$F$2),IF(A92&lt;=25,'Anchor Points'!$F$3+(A92-'Anchor Points'!$A$3)/('Anchor Points'!$A$4-'Anchor Points'!$A$3)*('Anchor Points'!$F$4-'Anchor Points'!$F$3),IF(A92&lt;=40,'Anchor Points'!$F$4+(A92-'Anchor Points'!$A$4)/('Anchor Points'!$A$5-'Anchor Points'!$A$4)*('Anchor Points'!$F$5-'Anchor Points'!$F$4),IF(A92&lt;=55,'Anchor Points'!$F$5+(A92-'Anchor Points'!$A$5)/('Anchor Points'!$A$6-'Anchor Points'!$A$5)*('Anchor Points'!$F$6-'Anchor Points'!$F$5),IF(A92&lt;=70,'Anchor Points'!$F$6+(A92-'Anchor Points'!$A$6)/('Anchor Points'!$A$7-'Anchor Points'!$A$6)*('Anchor Points'!$F$7-'Anchor Points'!$F$6),IF(A92&lt;=90,'Anchor Points'!$F$7+(A92-'Anchor Points'!$A$7)/('Anchor Points'!$A$8-'Anchor Points'!$A$7)*('Anchor Points'!$F$8-'Anchor Points'!$F$7),'Anchor Points'!$F$8+(A92-'Anchor Points'!$A$8)/('Anchor Points'!$A$9-'Anchor Points'!$A$8)*('Anchor Points'!$F$9-'Anchor Points'!$F$8)))))))</x:f>
        <x:v>50</x:v>
      </x:c>
      <x:c r="J92" s="28" t="n">
        <x:v>8</x:v>
      </x:c>
      <x:c r="K92" s="56" t="n">
        <x:v>9</x:v>
      </x:c>
      <x:c r="L92" s="52" t="n">
        <x:v>10</x:v>
      </x:c>
      <x:c r="M92" s="52" t="n">
        <x:v>55</x:v>
      </x:c>
      <x:c r="N92" s="56" t="n">
        <x:v>62</x:v>
      </x:c>
      <x:c r="O92" s="28" t="n">
        <x:v>70</x:v>
      </x:c>
      <x:c r="P92" s="28" t="n">
        <x:v>60</x:v>
      </x:c>
      <x:c r="Q92" s="55" t="n">
        <x:v>70</x:v>
      </x:c>
      <x:c r="R92" s="28" t="n">
        <x:v>80</x:v>
      </x:c>
      <x:c r="S92" s="28" t="n">
        <x:v>12</x:v>
      </x:c>
      <x:c r="T92" s="28" t="n">
        <x:v>15</x:v>
      </x:c>
      <x:c r="U92" s="55" t="n">
        <x:v>18</x:v>
      </x:c>
      <x:c r="V92" s="28" t="n">
        <x:v>985</x:v>
      </x:c>
      <x:c r="W92" s="55" t="n">
        <x:v>1255</x:v>
      </x:c>
      <x:c r="X92" s="28" t="n">
        <x:v>1510</x:v>
      </x:c>
    </x:row>
    <x:row r="93">
      <x:c r="A93" s="30" t="n">
        <x:v>91</x:v>
      </x:c>
      <x:c r="B93" s="11" t="str">
        <x:f>IF(A93&lt;=15,"Seedling",IF(A93&lt;=25,"Establishment",IF(A93&lt;=40,"Vegetative Growth",IF(A93&lt;=55,"Flowering &amp; Initial Fruit Set",IF(A93&lt;=80,"Fruit Enlargement",IF(A93&lt;=95,"Ripening","Harvesting"))))))</x:f>
        <x:v>Ripening</x:v>
      </x:c>
      <x:c r="C93" s="28" t="n">
        <x:f>IF(A93&lt;=15,'Anchor Points'!$B$2+(A93-'Anchor Points'!$A$2)/('Anchor Points'!$A$3-'Anchor Points'!$A$2)*('Anchor Points'!$B$3-'Anchor Points'!$B$2),IF(A93&lt;=25,'Anchor Points'!$B$3+(A93-'Anchor Points'!$A$3)/('Anchor Points'!$A$4-'Anchor Points'!$A$3)*('Anchor Points'!$B$4-'Anchor Points'!$B$3),IF(A93&lt;=40,'Anchor Points'!$B$4+(A93-'Anchor Points'!$A$4)/('Anchor Points'!$A$5-'Anchor Points'!$A$4)*('Anchor Points'!$B$5-'Anchor Points'!$B$4),IF(A93&lt;=55,'Anchor Points'!$B$5+(A93-'Anchor Points'!$A$5)/('Anchor Points'!$A$6-'Anchor Points'!$A$5)*('Anchor Points'!$B$6-'Anchor Points'!$B$5),IF(A93&lt;=70,'Anchor Points'!$B$6+(A93-'Anchor Points'!$A$6)/('Anchor Points'!$A$7-'Anchor Points'!$A$6)*('Anchor Points'!$B$7-'Anchor Points'!$B$6),IF(A93&lt;=90,'Anchor Points'!$B$7+(A93-'Anchor Points'!$A$7)/('Anchor Points'!$A$8-'Anchor Points'!$A$7)*('Anchor Points'!$B$8-'Anchor Points'!$B$7),'Anchor Points'!$B$8+(A93-'Anchor Points'!$A$8)/('Anchor Points'!$A$9-'Anchor Points'!$A$8)*('Anchor Points'!$B$9-'Anchor Points'!$B$8)))))))</x:f>
        <x:v>82.26666666666667</x:v>
      </x:c>
      <x:c r="D93" s="28" t="n">
        <x:f>IF(A93&lt;=15,'Anchor Points'!$C$2+(A93-'Anchor Points'!$A$2)/('Anchor Points'!$A$3-'Anchor Points'!$A$2)*('Anchor Points'!$C$3-'Anchor Points'!$C$2),IF(A93&lt;=25,'Anchor Points'!$C$3+(A93-'Anchor Points'!$A$3)/('Anchor Points'!$A$4-'Anchor Points'!$A$3)*('Anchor Points'!$C$4-'Anchor Points'!$C$3),IF(A93&lt;=40,'Anchor Points'!$C$4+(A93-'Anchor Points'!$A$4)/('Anchor Points'!$A$5-'Anchor Points'!$A$4)*('Anchor Points'!$C$5-'Anchor Points'!$C$4),IF(A93&lt;=55,'Anchor Points'!$C$5+(A93-'Anchor Points'!$A$5)/('Anchor Points'!$A$6-'Anchor Points'!$A$5)*('Anchor Points'!$C$6-'Anchor Points'!$C$5),IF(A93&lt;=70,'Anchor Points'!$C$6+(A93-'Anchor Points'!$A$6)/('Anchor Points'!$A$7-'Anchor Points'!$A$6)*('Anchor Points'!$C$7-'Anchor Points'!$C$6),IF(A93&lt;=90,'Anchor Points'!$C$7+(A93-'Anchor Points'!$A$7)/('Anchor Points'!$A$8-'Anchor Points'!$A$7)*('Anchor Points'!$C$8-'Anchor Points'!$C$7),'Anchor Points'!$C$8+(A93-'Anchor Points'!$A$8)/('Anchor Points'!$A$9-'Anchor Points'!$A$8)*('Anchor Points'!$C$9-'Anchor Points'!$C$8)))))))</x:f>
        <x:v>85.5</x:v>
      </x:c>
      <x:c r="E93" s="28" t="n">
        <x:f>IF(A93&lt;=15,'Anchor Points'!$D$2+(A93-'Anchor Points'!$A$2)/('Anchor Points'!$A$3-'Anchor Points'!$A$2)*('Anchor Points'!$D$3-'Anchor Points'!$D$2),IF(A93&lt;=25,'Anchor Points'!$D$3+(A93-'Anchor Points'!$A$3)/('Anchor Points'!$A$4-'Anchor Points'!$A$3)*('Anchor Points'!$D$4-'Anchor Points'!$D$3),IF(A93&lt;=40,'Anchor Points'!$D$4+(A93-'Anchor Points'!$A$4)/('Anchor Points'!$A$5-'Anchor Points'!$A$4)*('Anchor Points'!$D$5-'Anchor Points'!$D$4),IF(A93&lt;=55,'Anchor Points'!$D$5+(A93-'Anchor Points'!$A$5)/('Anchor Points'!$A$6-'Anchor Points'!$A$5)*('Anchor Points'!$D$6-'Anchor Points'!$D$5),IF(A93&lt;=70,'Anchor Points'!$D$6+(A93-'Anchor Points'!$A$6)/('Anchor Points'!$A$7-'Anchor Points'!$A$6)*('Anchor Points'!$D$7-'Anchor Points'!$D$6),IF(A93&lt;=90,'Anchor Points'!$D$7+(A93-'Anchor Points'!$A$7)/('Anchor Points'!$A$8-'Anchor Points'!$A$7)*('Anchor Points'!$D$8-'Anchor Points'!$D$7),'Anchor Points'!$D$8+(A93-'Anchor Points'!$A$8)/('Anchor Points'!$A$9-'Anchor Points'!$A$8)*('Anchor Points'!$D$9-'Anchor Points'!$D$8)))))))</x:f>
        <x:v>7.9</x:v>
      </x:c>
      <x:c r="F93" s="30" t="n">
        <x:f>ROUND(E93,0)</x:f>
        <x:v>8</x:v>
      </x:c>
      <x:c r="G93" s="28" t="n">
        <x:f>IF(A93&lt;=15,'Anchor Points'!$E$2+(A93-'Anchor Points'!$A$2)/('Anchor Points'!$A$3-'Anchor Points'!$A$2)*('Anchor Points'!$E$3-'Anchor Points'!$E$2),IF(A93&lt;=25,'Anchor Points'!$E$3+(A93-'Anchor Points'!$A$3)/('Anchor Points'!$A$4-'Anchor Points'!$A$3)*('Anchor Points'!$E$4-'Anchor Points'!$E$3),IF(A93&lt;=40,'Anchor Points'!$E$4+(A93-'Anchor Points'!$A$4)/('Anchor Points'!$A$5-'Anchor Points'!$A$4)*('Anchor Points'!$E$5-'Anchor Points'!$E$4),IF(A93&lt;=55,'Anchor Points'!$E$5+(A93-'Anchor Points'!$A$5)/('Anchor Points'!$A$6-'Anchor Points'!$A$5)*('Anchor Points'!$E$6-'Anchor Points'!$E$5),IF(A93&lt;=70,'Anchor Points'!$E$6+(A93-'Anchor Points'!$A$6)/('Anchor Points'!$A$7-'Anchor Points'!$A$6)*('Anchor Points'!$E$7-'Anchor Points'!$E$6),IF(A93&lt;=90,'Anchor Points'!$E$7+(A93-'Anchor Points'!$A$7)/('Anchor Points'!$A$8-'Anchor Points'!$A$7)*('Anchor Points'!$E$8-'Anchor Points'!$E$7),'Anchor Points'!$E$8+(A93-'Anchor Points'!$A$8)/('Anchor Points'!$A$9-'Anchor Points'!$A$8)*('Anchor Points'!$E$9-'Anchor Points'!$E$8)))))))</x:f>
        <x:v>10.066666666666666</x:v>
      </x:c>
      <x:c r="H93" s="30" t="n">
        <x:f>ROUND(G93,0)</x:f>
        <x:v>10</x:v>
      </x:c>
      <x:c r="I93" s="28" t="n">
        <x:f>IF(A93&lt;=15,'Anchor Points'!$F$2+(A93-'Anchor Points'!$A$2)/('Anchor Points'!$A$3-'Anchor Points'!$A$2)*('Anchor Points'!$F$3-'Anchor Points'!$F$2),IF(A93&lt;=25,'Anchor Points'!$F$3+(A93-'Anchor Points'!$A$3)/('Anchor Points'!$A$4-'Anchor Points'!$A$3)*('Anchor Points'!$F$4-'Anchor Points'!$F$3),IF(A93&lt;=40,'Anchor Points'!$F$4+(A93-'Anchor Points'!$A$4)/('Anchor Points'!$A$5-'Anchor Points'!$A$4)*('Anchor Points'!$F$5-'Anchor Points'!$F$4),IF(A93&lt;=55,'Anchor Points'!$F$5+(A93-'Anchor Points'!$A$5)/('Anchor Points'!$A$6-'Anchor Points'!$A$5)*('Anchor Points'!$F$6-'Anchor Points'!$F$5),IF(A93&lt;=70,'Anchor Points'!$F$6+(A93-'Anchor Points'!$A$6)/('Anchor Points'!$A$7-'Anchor Points'!$A$6)*('Anchor Points'!$F$7-'Anchor Points'!$F$6),IF(A93&lt;=90,'Anchor Points'!$F$7+(A93-'Anchor Points'!$A$7)/('Anchor Points'!$A$8-'Anchor Points'!$A$7)*('Anchor Points'!$F$8-'Anchor Points'!$F$7),'Anchor Points'!$F$8+(A93-'Anchor Points'!$A$8)/('Anchor Points'!$A$9-'Anchor Points'!$A$8)*('Anchor Points'!$F$9-'Anchor Points'!$F$8)))))))</x:f>
        <x:v>50.166666666666664</x:v>
      </x:c>
      <x:c r="J93" s="28" t="n">
        <x:v>8</x:v>
      </x:c>
      <x:c r="K93" s="56" t="n">
        <x:v>9</x:v>
      </x:c>
      <x:c r="L93" s="52" t="n">
        <x:v>10</x:v>
      </x:c>
      <x:c r="M93" s="52" t="n">
        <x:v>55</x:v>
      </x:c>
      <x:c r="N93" s="56" t="n">
        <x:v>62</x:v>
      </x:c>
      <x:c r="O93" s="28" t="n">
        <x:v>70</x:v>
      </x:c>
      <x:c r="P93" s="28" t="n">
        <x:v>60</x:v>
      </x:c>
      <x:c r="Q93" s="55" t="n">
        <x:v>70</x:v>
      </x:c>
      <x:c r="R93" s="28" t="n">
        <x:v>80</x:v>
      </x:c>
      <x:c r="S93" s="28" t="n">
        <x:v>12</x:v>
      </x:c>
      <x:c r="T93" s="28" t="n">
        <x:v>15</x:v>
      </x:c>
      <x:c r="U93" s="55" t="n">
        <x:v>18</x:v>
      </x:c>
      <x:c r="V93" s="28" t="n">
        <x:v>997</x:v>
      </x:c>
      <x:c r="W93" s="55" t="n">
        <x:v>1270</x:v>
      </x:c>
      <x:c r="X93" s="28" t="n">
        <x:v>1528</x:v>
      </x:c>
    </x:row>
    <x:row r="94">
      <x:c r="A94" s="30" t="n">
        <x:v>92</x:v>
      </x:c>
      <x:c r="B94" s="11" t="str">
        <x:f>IF(A94&lt;=15,"Seedling",IF(A94&lt;=25,"Establishment",IF(A94&lt;=40,"Vegetative Growth",IF(A94&lt;=55,"Flowering &amp; Initial Fruit Set",IF(A94&lt;=80,"Fruit Enlargement",IF(A94&lt;=95,"Ripening","Harvesting"))))))</x:f>
        <x:v>Ripening</x:v>
      </x:c>
      <x:c r="C94" s="28" t="n">
        <x:f>IF(A94&lt;=15,'Anchor Points'!$B$2+(A94-'Anchor Points'!$A$2)/('Anchor Points'!$A$3-'Anchor Points'!$A$2)*('Anchor Points'!$B$3-'Anchor Points'!$B$2),IF(A94&lt;=25,'Anchor Points'!$B$3+(A94-'Anchor Points'!$A$3)/('Anchor Points'!$A$4-'Anchor Points'!$A$3)*('Anchor Points'!$B$4-'Anchor Points'!$B$3),IF(A94&lt;=40,'Anchor Points'!$B$4+(A94-'Anchor Points'!$A$4)/('Anchor Points'!$A$5-'Anchor Points'!$A$4)*('Anchor Points'!$B$5-'Anchor Points'!$B$4),IF(A94&lt;=55,'Anchor Points'!$B$5+(A94-'Anchor Points'!$A$5)/('Anchor Points'!$A$6-'Anchor Points'!$A$5)*('Anchor Points'!$B$6-'Anchor Points'!$B$5),IF(A94&lt;=70,'Anchor Points'!$B$6+(A94-'Anchor Points'!$A$6)/('Anchor Points'!$A$7-'Anchor Points'!$A$6)*('Anchor Points'!$B$7-'Anchor Points'!$B$6),IF(A94&lt;=90,'Anchor Points'!$B$7+(A94-'Anchor Points'!$A$7)/('Anchor Points'!$A$8-'Anchor Points'!$A$7)*('Anchor Points'!$B$8-'Anchor Points'!$B$7),'Anchor Points'!$B$8+(A94-'Anchor Points'!$A$8)/('Anchor Points'!$A$9-'Anchor Points'!$A$8)*('Anchor Points'!$B$9-'Anchor Points'!$B$8)))))))</x:f>
        <x:v>82.53333333333333</x:v>
      </x:c>
      <x:c r="D94" s="28" t="n">
        <x:f>IF(A94&lt;=15,'Anchor Points'!$C$2+(A94-'Anchor Points'!$A$2)/('Anchor Points'!$A$3-'Anchor Points'!$A$2)*('Anchor Points'!$C$3-'Anchor Points'!$C$2),IF(A94&lt;=25,'Anchor Points'!$C$3+(A94-'Anchor Points'!$A$3)/('Anchor Points'!$A$4-'Anchor Points'!$A$3)*('Anchor Points'!$C$4-'Anchor Points'!$C$3),IF(A94&lt;=40,'Anchor Points'!$C$4+(A94-'Anchor Points'!$A$4)/('Anchor Points'!$A$5-'Anchor Points'!$A$4)*('Anchor Points'!$C$5-'Anchor Points'!$C$4),IF(A94&lt;=55,'Anchor Points'!$C$5+(A94-'Anchor Points'!$A$5)/('Anchor Points'!$A$6-'Anchor Points'!$A$5)*('Anchor Points'!$C$6-'Anchor Points'!$C$5),IF(A94&lt;=70,'Anchor Points'!$C$6+(A94-'Anchor Points'!$A$6)/('Anchor Points'!$A$7-'Anchor Points'!$A$6)*('Anchor Points'!$C$7-'Anchor Points'!$C$6),IF(A94&lt;=90,'Anchor Points'!$C$7+(A94-'Anchor Points'!$A$7)/('Anchor Points'!$A$8-'Anchor Points'!$A$7)*('Anchor Points'!$C$8-'Anchor Points'!$C$7),'Anchor Points'!$C$8+(A94-'Anchor Points'!$A$8)/('Anchor Points'!$A$9-'Anchor Points'!$A$8)*('Anchor Points'!$C$9-'Anchor Points'!$C$8)))))))</x:f>
        <x:v>86</x:v>
      </x:c>
      <x:c r="E94" s="28" t="n">
        <x:f>IF(A94&lt;=15,'Anchor Points'!$D$2+(A94-'Anchor Points'!$A$2)/('Anchor Points'!$A$3-'Anchor Points'!$A$2)*('Anchor Points'!$D$3-'Anchor Points'!$D$2),IF(A94&lt;=25,'Anchor Points'!$D$3+(A94-'Anchor Points'!$A$3)/('Anchor Points'!$A$4-'Anchor Points'!$A$3)*('Anchor Points'!$D$4-'Anchor Points'!$D$3),IF(A94&lt;=40,'Anchor Points'!$D$4+(A94-'Anchor Points'!$A$4)/('Anchor Points'!$A$5-'Anchor Points'!$A$4)*('Anchor Points'!$D$5-'Anchor Points'!$D$4),IF(A94&lt;=55,'Anchor Points'!$D$5+(A94-'Anchor Points'!$A$5)/('Anchor Points'!$A$6-'Anchor Points'!$A$5)*('Anchor Points'!$D$6-'Anchor Points'!$D$5),IF(A94&lt;=70,'Anchor Points'!$D$6+(A94-'Anchor Points'!$A$6)/('Anchor Points'!$A$7-'Anchor Points'!$A$6)*('Anchor Points'!$D$7-'Anchor Points'!$D$6),IF(A94&lt;=90,'Anchor Points'!$D$7+(A94-'Anchor Points'!$A$7)/('Anchor Points'!$A$8-'Anchor Points'!$A$7)*('Anchor Points'!$D$8-'Anchor Points'!$D$7),'Anchor Points'!$D$8+(A94-'Anchor Points'!$A$8)/('Anchor Points'!$A$9-'Anchor Points'!$A$8)*('Anchor Points'!$D$9-'Anchor Points'!$D$8)))))))</x:f>
        <x:v>7.8</x:v>
      </x:c>
      <x:c r="F94" s="30" t="n">
        <x:f>ROUND(E94,0)</x:f>
        <x:v>8</x:v>
      </x:c>
      <x:c r="G94" s="28" t="n">
        <x:f>IF(A94&lt;=15,'Anchor Points'!$E$2+(A94-'Anchor Points'!$A$2)/('Anchor Points'!$A$3-'Anchor Points'!$A$2)*('Anchor Points'!$E$3-'Anchor Points'!$E$2),IF(A94&lt;=25,'Anchor Points'!$E$3+(A94-'Anchor Points'!$A$3)/('Anchor Points'!$A$4-'Anchor Points'!$A$3)*('Anchor Points'!$E$4-'Anchor Points'!$E$3),IF(A94&lt;=40,'Anchor Points'!$E$4+(A94-'Anchor Points'!$A$4)/('Anchor Points'!$A$5-'Anchor Points'!$A$4)*('Anchor Points'!$E$5-'Anchor Points'!$E$4),IF(A94&lt;=55,'Anchor Points'!$E$5+(A94-'Anchor Points'!$A$5)/('Anchor Points'!$A$6-'Anchor Points'!$A$5)*('Anchor Points'!$E$6-'Anchor Points'!$E$5),IF(A94&lt;=70,'Anchor Points'!$E$6+(A94-'Anchor Points'!$A$6)/('Anchor Points'!$A$7-'Anchor Points'!$A$6)*('Anchor Points'!$E$7-'Anchor Points'!$E$6),IF(A94&lt;=90,'Anchor Points'!$E$7+(A94-'Anchor Points'!$A$7)/('Anchor Points'!$A$8-'Anchor Points'!$A$7)*('Anchor Points'!$E$8-'Anchor Points'!$E$7),'Anchor Points'!$E$8+(A94-'Anchor Points'!$A$8)/('Anchor Points'!$A$9-'Anchor Points'!$A$8)*('Anchor Points'!$E$9-'Anchor Points'!$E$8)))))))</x:f>
        <x:v>10.133333333333333</x:v>
      </x:c>
      <x:c r="H94" s="30" t="n">
        <x:f>ROUND(G94,0)</x:f>
        <x:v>10</x:v>
      </x:c>
      <x:c r="I94" s="28" t="n">
        <x:f>IF(A94&lt;=15,'Anchor Points'!$F$2+(A94-'Anchor Points'!$A$2)/('Anchor Points'!$A$3-'Anchor Points'!$A$2)*('Anchor Points'!$F$3-'Anchor Points'!$F$2),IF(A94&lt;=25,'Anchor Points'!$F$3+(A94-'Anchor Points'!$A$3)/('Anchor Points'!$A$4-'Anchor Points'!$A$3)*('Anchor Points'!$F$4-'Anchor Points'!$F$3),IF(A94&lt;=40,'Anchor Points'!$F$4+(A94-'Anchor Points'!$A$4)/('Anchor Points'!$A$5-'Anchor Points'!$A$4)*('Anchor Points'!$F$5-'Anchor Points'!$F$4),IF(A94&lt;=55,'Anchor Points'!$F$5+(A94-'Anchor Points'!$A$5)/('Anchor Points'!$A$6-'Anchor Points'!$A$5)*('Anchor Points'!$F$6-'Anchor Points'!$F$5),IF(A94&lt;=70,'Anchor Points'!$F$6+(A94-'Anchor Points'!$A$6)/('Anchor Points'!$A$7-'Anchor Points'!$A$6)*('Anchor Points'!$F$7-'Anchor Points'!$F$6),IF(A94&lt;=90,'Anchor Points'!$F$7+(A94-'Anchor Points'!$A$7)/('Anchor Points'!$A$8-'Anchor Points'!$A$7)*('Anchor Points'!$F$8-'Anchor Points'!$F$7),'Anchor Points'!$F$8+(A94-'Anchor Points'!$A$8)/('Anchor Points'!$A$9-'Anchor Points'!$A$8)*('Anchor Points'!$F$9-'Anchor Points'!$F$8)))))))</x:f>
        <x:v>50.333333333333336</x:v>
      </x:c>
      <x:c r="J94" s="28" t="n">
        <x:v>8</x:v>
      </x:c>
      <x:c r="K94" s="56" t="n">
        <x:v>9</x:v>
      </x:c>
      <x:c r="L94" s="52" t="n">
        <x:v>10</x:v>
      </x:c>
      <x:c r="M94" s="52" t="n">
        <x:v>55</x:v>
      </x:c>
      <x:c r="N94" s="56" t="n">
        <x:v>62</x:v>
      </x:c>
      <x:c r="O94" s="28" t="n">
        <x:v>70</x:v>
      </x:c>
      <x:c r="P94" s="28" t="n">
        <x:v>60</x:v>
      </x:c>
      <x:c r="Q94" s="55" t="n">
        <x:v>70</x:v>
      </x:c>
      <x:c r="R94" s="28" t="n">
        <x:v>80</x:v>
      </x:c>
      <x:c r="S94" s="28" t="n">
        <x:v>12</x:v>
      </x:c>
      <x:c r="T94" s="28" t="n">
        <x:v>15</x:v>
      </x:c>
      <x:c r="U94" s="55" t="n">
        <x:v>18</x:v>
      </x:c>
      <x:c r="V94" s="28" t="n">
        <x:v>1009</x:v>
      </x:c>
      <x:c r="W94" s="55" t="n">
        <x:v>1285</x:v>
      </x:c>
      <x:c r="X94" s="28" t="n">
        <x:v>1546</x:v>
      </x:c>
    </x:row>
    <x:row r="95">
      <x:c r="A95" s="30" t="n">
        <x:v>93</x:v>
      </x:c>
      <x:c r="B95" s="11" t="str">
        <x:f>IF(A95&lt;=15,"Seedling",IF(A95&lt;=25,"Establishment",IF(A95&lt;=40,"Vegetative Growth",IF(A95&lt;=55,"Flowering &amp; Initial Fruit Set",IF(A95&lt;=80,"Fruit Enlargement",IF(A95&lt;=95,"Ripening","Harvesting"))))))</x:f>
        <x:v>Ripening</x:v>
      </x:c>
      <x:c r="C95" s="28" t="n">
        <x:f>IF(A95&lt;=15,'Anchor Points'!$B$2+(A95-'Anchor Points'!$A$2)/('Anchor Points'!$A$3-'Anchor Points'!$A$2)*('Anchor Points'!$B$3-'Anchor Points'!$B$2),IF(A95&lt;=25,'Anchor Points'!$B$3+(A95-'Anchor Points'!$A$3)/('Anchor Points'!$A$4-'Anchor Points'!$A$3)*('Anchor Points'!$B$4-'Anchor Points'!$B$3),IF(A95&lt;=40,'Anchor Points'!$B$4+(A95-'Anchor Points'!$A$4)/('Anchor Points'!$A$5-'Anchor Points'!$A$4)*('Anchor Points'!$B$5-'Anchor Points'!$B$4),IF(A95&lt;=55,'Anchor Points'!$B$5+(A95-'Anchor Points'!$A$5)/('Anchor Points'!$A$6-'Anchor Points'!$A$5)*('Anchor Points'!$B$6-'Anchor Points'!$B$5),IF(A95&lt;=70,'Anchor Points'!$B$6+(A95-'Anchor Points'!$A$6)/('Anchor Points'!$A$7-'Anchor Points'!$A$6)*('Anchor Points'!$B$7-'Anchor Points'!$B$6),IF(A95&lt;=90,'Anchor Points'!$B$7+(A95-'Anchor Points'!$A$7)/('Anchor Points'!$A$8-'Anchor Points'!$A$7)*('Anchor Points'!$B$8-'Anchor Points'!$B$7),'Anchor Points'!$B$8+(A95-'Anchor Points'!$A$8)/('Anchor Points'!$A$9-'Anchor Points'!$A$8)*('Anchor Points'!$B$9-'Anchor Points'!$B$8)))))))</x:f>
        <x:v>82.8</x:v>
      </x:c>
      <x:c r="D95" s="28" t="n">
        <x:f>IF(A95&lt;=15,'Anchor Points'!$C$2+(A95-'Anchor Points'!$A$2)/('Anchor Points'!$A$3-'Anchor Points'!$A$2)*('Anchor Points'!$C$3-'Anchor Points'!$C$2),IF(A95&lt;=25,'Anchor Points'!$C$3+(A95-'Anchor Points'!$A$3)/('Anchor Points'!$A$4-'Anchor Points'!$A$3)*('Anchor Points'!$C$4-'Anchor Points'!$C$3),IF(A95&lt;=40,'Anchor Points'!$C$4+(A95-'Anchor Points'!$A$4)/('Anchor Points'!$A$5-'Anchor Points'!$A$4)*('Anchor Points'!$C$5-'Anchor Points'!$C$4),IF(A95&lt;=55,'Anchor Points'!$C$5+(A95-'Anchor Points'!$A$5)/('Anchor Points'!$A$6-'Anchor Points'!$A$5)*('Anchor Points'!$C$6-'Anchor Points'!$C$5),IF(A95&lt;=70,'Anchor Points'!$C$6+(A95-'Anchor Points'!$A$6)/('Anchor Points'!$A$7-'Anchor Points'!$A$6)*('Anchor Points'!$C$7-'Anchor Points'!$C$6),IF(A95&lt;=90,'Anchor Points'!$C$7+(A95-'Anchor Points'!$A$7)/('Anchor Points'!$A$8-'Anchor Points'!$A$7)*('Anchor Points'!$C$8-'Anchor Points'!$C$7),'Anchor Points'!$C$8+(A95-'Anchor Points'!$A$8)/('Anchor Points'!$A$9-'Anchor Points'!$A$8)*('Anchor Points'!$C$9-'Anchor Points'!$C$8)))))))</x:f>
        <x:v>86.5</x:v>
      </x:c>
      <x:c r="E95" s="28" t="n">
        <x:f>IF(A95&lt;=15,'Anchor Points'!$D$2+(A95-'Anchor Points'!$A$2)/('Anchor Points'!$A$3-'Anchor Points'!$A$2)*('Anchor Points'!$D$3-'Anchor Points'!$D$2),IF(A95&lt;=25,'Anchor Points'!$D$3+(A95-'Anchor Points'!$A$3)/('Anchor Points'!$A$4-'Anchor Points'!$A$3)*('Anchor Points'!$D$4-'Anchor Points'!$D$3),IF(A95&lt;=40,'Anchor Points'!$D$4+(A95-'Anchor Points'!$A$4)/('Anchor Points'!$A$5-'Anchor Points'!$A$4)*('Anchor Points'!$D$5-'Anchor Points'!$D$4),IF(A95&lt;=55,'Anchor Points'!$D$5+(A95-'Anchor Points'!$A$5)/('Anchor Points'!$A$6-'Anchor Points'!$A$5)*('Anchor Points'!$D$6-'Anchor Points'!$D$5),IF(A95&lt;=70,'Anchor Points'!$D$6+(A95-'Anchor Points'!$A$6)/('Anchor Points'!$A$7-'Anchor Points'!$A$6)*('Anchor Points'!$D$7-'Anchor Points'!$D$6),IF(A95&lt;=90,'Anchor Points'!$D$7+(A95-'Anchor Points'!$A$7)/('Anchor Points'!$A$8-'Anchor Points'!$A$7)*('Anchor Points'!$D$8-'Anchor Points'!$D$7),'Anchor Points'!$D$8+(A95-'Anchor Points'!$A$8)/('Anchor Points'!$A$9-'Anchor Points'!$A$8)*('Anchor Points'!$D$9-'Anchor Points'!$D$8)))))))</x:f>
        <x:v>7.7</x:v>
      </x:c>
      <x:c r="F95" s="30" t="n">
        <x:f>ROUND(E95,0)</x:f>
        <x:v>8</x:v>
      </x:c>
      <x:c r="G95" s="28" t="n">
        <x:f>IF(A95&lt;=15,'Anchor Points'!$E$2+(A95-'Anchor Points'!$A$2)/('Anchor Points'!$A$3-'Anchor Points'!$A$2)*('Anchor Points'!$E$3-'Anchor Points'!$E$2),IF(A95&lt;=25,'Anchor Points'!$E$3+(A95-'Anchor Points'!$A$3)/('Anchor Points'!$A$4-'Anchor Points'!$A$3)*('Anchor Points'!$E$4-'Anchor Points'!$E$3),IF(A95&lt;=40,'Anchor Points'!$E$4+(A95-'Anchor Points'!$A$4)/('Anchor Points'!$A$5-'Anchor Points'!$A$4)*('Anchor Points'!$E$5-'Anchor Points'!$E$4),IF(A95&lt;=55,'Anchor Points'!$E$5+(A95-'Anchor Points'!$A$5)/('Anchor Points'!$A$6-'Anchor Points'!$A$5)*('Anchor Points'!$E$6-'Anchor Points'!$E$5),IF(A95&lt;=70,'Anchor Points'!$E$6+(A95-'Anchor Points'!$A$6)/('Anchor Points'!$A$7-'Anchor Points'!$A$6)*('Anchor Points'!$E$7-'Anchor Points'!$E$6),IF(A95&lt;=90,'Anchor Points'!$E$7+(A95-'Anchor Points'!$A$7)/('Anchor Points'!$A$8-'Anchor Points'!$A$7)*('Anchor Points'!$E$8-'Anchor Points'!$E$7),'Anchor Points'!$E$8+(A95-'Anchor Points'!$A$8)/('Anchor Points'!$A$9-'Anchor Points'!$A$8)*('Anchor Points'!$E$9-'Anchor Points'!$E$8)))))))</x:f>
        <x:v>10.2</x:v>
      </x:c>
      <x:c r="H95" s="30" t="n">
        <x:f>ROUND(G95,0)</x:f>
        <x:v>10</x:v>
      </x:c>
      <x:c r="I95" s="28" t="n">
        <x:f>IF(A95&lt;=15,'Anchor Points'!$F$2+(A95-'Anchor Points'!$A$2)/('Anchor Points'!$A$3-'Anchor Points'!$A$2)*('Anchor Points'!$F$3-'Anchor Points'!$F$2),IF(A95&lt;=25,'Anchor Points'!$F$3+(A95-'Anchor Points'!$A$3)/('Anchor Points'!$A$4-'Anchor Points'!$A$3)*('Anchor Points'!$F$4-'Anchor Points'!$F$3),IF(A95&lt;=40,'Anchor Points'!$F$4+(A95-'Anchor Points'!$A$4)/('Anchor Points'!$A$5-'Anchor Points'!$A$4)*('Anchor Points'!$F$5-'Anchor Points'!$F$4),IF(A95&lt;=55,'Anchor Points'!$F$5+(A95-'Anchor Points'!$A$5)/('Anchor Points'!$A$6-'Anchor Points'!$A$5)*('Anchor Points'!$F$6-'Anchor Points'!$F$5),IF(A95&lt;=70,'Anchor Points'!$F$6+(A95-'Anchor Points'!$A$6)/('Anchor Points'!$A$7-'Anchor Points'!$A$6)*('Anchor Points'!$F$7-'Anchor Points'!$F$6),IF(A95&lt;=90,'Anchor Points'!$F$7+(A95-'Anchor Points'!$A$7)/('Anchor Points'!$A$8-'Anchor Points'!$A$7)*('Anchor Points'!$F$8-'Anchor Points'!$F$7),'Anchor Points'!$F$8+(A95-'Anchor Points'!$A$8)/('Anchor Points'!$A$9-'Anchor Points'!$A$8)*('Anchor Points'!$F$9-'Anchor Points'!$F$8)))))))</x:f>
        <x:v>50.5</x:v>
      </x:c>
      <x:c r="J95" s="28" t="n">
        <x:v>8</x:v>
      </x:c>
      <x:c r="K95" s="56" t="n">
        <x:v>9</x:v>
      </x:c>
      <x:c r="L95" s="52" t="n">
        <x:v>10</x:v>
      </x:c>
      <x:c r="M95" s="52" t="n">
        <x:v>55</x:v>
      </x:c>
      <x:c r="N95" s="56" t="n">
        <x:v>62</x:v>
      </x:c>
      <x:c r="O95" s="28" t="n">
        <x:v>70</x:v>
      </x:c>
      <x:c r="P95" s="28" t="n">
        <x:v>60</x:v>
      </x:c>
      <x:c r="Q95" s="55" t="n">
        <x:v>70</x:v>
      </x:c>
      <x:c r="R95" s="28" t="n">
        <x:v>80</x:v>
      </x:c>
      <x:c r="S95" s="28" t="n">
        <x:v>12</x:v>
      </x:c>
      <x:c r="T95" s="28" t="n">
        <x:v>15</x:v>
      </x:c>
      <x:c r="U95" s="55" t="n">
        <x:v>18</x:v>
      </x:c>
      <x:c r="V95" s="28" t="n">
        <x:v>1021</x:v>
      </x:c>
      <x:c r="W95" s="55" t="n">
        <x:v>1300</x:v>
      </x:c>
      <x:c r="X95" s="28" t="n">
        <x:v>1564</x:v>
      </x:c>
    </x:row>
    <x:row r="96">
      <x:c r="A96" s="30" t="n">
        <x:v>94</x:v>
      </x:c>
      <x:c r="B96" s="11" t="str">
        <x:f>IF(A96&lt;=15,"Seedling",IF(A96&lt;=25,"Establishment",IF(A96&lt;=40,"Vegetative Growth",IF(A96&lt;=55,"Flowering &amp; Initial Fruit Set",IF(A96&lt;=80,"Fruit Enlargement",IF(A96&lt;=95,"Ripening","Harvesting"))))))</x:f>
        <x:v>Ripening</x:v>
      </x:c>
      <x:c r="C96" s="28" t="n">
        <x:f>IF(A96&lt;=15,'Anchor Points'!$B$2+(A96-'Anchor Points'!$A$2)/('Anchor Points'!$A$3-'Anchor Points'!$A$2)*('Anchor Points'!$B$3-'Anchor Points'!$B$2),IF(A96&lt;=25,'Anchor Points'!$B$3+(A96-'Anchor Points'!$A$3)/('Anchor Points'!$A$4-'Anchor Points'!$A$3)*('Anchor Points'!$B$4-'Anchor Points'!$B$3),IF(A96&lt;=40,'Anchor Points'!$B$4+(A96-'Anchor Points'!$A$4)/('Anchor Points'!$A$5-'Anchor Points'!$A$4)*('Anchor Points'!$B$5-'Anchor Points'!$B$4),IF(A96&lt;=55,'Anchor Points'!$B$5+(A96-'Anchor Points'!$A$5)/('Anchor Points'!$A$6-'Anchor Points'!$A$5)*('Anchor Points'!$B$6-'Anchor Points'!$B$5),IF(A96&lt;=70,'Anchor Points'!$B$6+(A96-'Anchor Points'!$A$6)/('Anchor Points'!$A$7-'Anchor Points'!$A$6)*('Anchor Points'!$B$7-'Anchor Points'!$B$6),IF(A96&lt;=90,'Anchor Points'!$B$7+(A96-'Anchor Points'!$A$7)/('Anchor Points'!$A$8-'Anchor Points'!$A$7)*('Anchor Points'!$B$8-'Anchor Points'!$B$7),'Anchor Points'!$B$8+(A96-'Anchor Points'!$A$8)/('Anchor Points'!$A$9-'Anchor Points'!$A$8)*('Anchor Points'!$B$9-'Anchor Points'!$B$8)))))))</x:f>
        <x:v>83.06666666666666</x:v>
      </x:c>
      <x:c r="D96" s="28" t="n">
        <x:f>IF(A96&lt;=15,'Anchor Points'!$C$2+(A96-'Anchor Points'!$A$2)/('Anchor Points'!$A$3-'Anchor Points'!$A$2)*('Anchor Points'!$C$3-'Anchor Points'!$C$2),IF(A96&lt;=25,'Anchor Points'!$C$3+(A96-'Anchor Points'!$A$3)/('Anchor Points'!$A$4-'Anchor Points'!$A$3)*('Anchor Points'!$C$4-'Anchor Points'!$C$3),IF(A96&lt;=40,'Anchor Points'!$C$4+(A96-'Anchor Points'!$A$4)/('Anchor Points'!$A$5-'Anchor Points'!$A$4)*('Anchor Points'!$C$5-'Anchor Points'!$C$4),IF(A96&lt;=55,'Anchor Points'!$C$5+(A96-'Anchor Points'!$A$5)/('Anchor Points'!$A$6-'Anchor Points'!$A$5)*('Anchor Points'!$C$6-'Anchor Points'!$C$5),IF(A96&lt;=70,'Anchor Points'!$C$6+(A96-'Anchor Points'!$A$6)/('Anchor Points'!$A$7-'Anchor Points'!$A$6)*('Anchor Points'!$C$7-'Anchor Points'!$C$6),IF(A96&lt;=90,'Anchor Points'!$C$7+(A96-'Anchor Points'!$A$7)/('Anchor Points'!$A$8-'Anchor Points'!$A$7)*('Anchor Points'!$C$8-'Anchor Points'!$C$7),'Anchor Points'!$C$8+(A96-'Anchor Points'!$A$8)/('Anchor Points'!$A$9-'Anchor Points'!$A$8)*('Anchor Points'!$C$9-'Anchor Points'!$C$8)))))))</x:f>
        <x:v>87</x:v>
      </x:c>
      <x:c r="E96" s="28" t="n">
        <x:f>IF(A96&lt;=15,'Anchor Points'!$D$2+(A96-'Anchor Points'!$A$2)/('Anchor Points'!$A$3-'Anchor Points'!$A$2)*('Anchor Points'!$D$3-'Anchor Points'!$D$2),IF(A96&lt;=25,'Anchor Points'!$D$3+(A96-'Anchor Points'!$A$3)/('Anchor Points'!$A$4-'Anchor Points'!$A$3)*('Anchor Points'!$D$4-'Anchor Points'!$D$3),IF(A96&lt;=40,'Anchor Points'!$D$4+(A96-'Anchor Points'!$A$4)/('Anchor Points'!$A$5-'Anchor Points'!$A$4)*('Anchor Points'!$D$5-'Anchor Points'!$D$4),IF(A96&lt;=55,'Anchor Points'!$D$5+(A96-'Anchor Points'!$A$5)/('Anchor Points'!$A$6-'Anchor Points'!$A$5)*('Anchor Points'!$D$6-'Anchor Points'!$D$5),IF(A96&lt;=70,'Anchor Points'!$D$6+(A96-'Anchor Points'!$A$6)/('Anchor Points'!$A$7-'Anchor Points'!$A$6)*('Anchor Points'!$D$7-'Anchor Points'!$D$6),IF(A96&lt;=90,'Anchor Points'!$D$7+(A96-'Anchor Points'!$A$7)/('Anchor Points'!$A$8-'Anchor Points'!$A$7)*('Anchor Points'!$D$8-'Anchor Points'!$D$7),'Anchor Points'!$D$8+(A96-'Anchor Points'!$A$8)/('Anchor Points'!$A$9-'Anchor Points'!$A$8)*('Anchor Points'!$D$9-'Anchor Points'!$D$8)))))))</x:f>
        <x:v>7.6</x:v>
      </x:c>
      <x:c r="F96" s="30" t="n">
        <x:f>ROUND(E96,0)</x:f>
        <x:v>8</x:v>
      </x:c>
      <x:c r="G96" s="28" t="n">
        <x:f>IF(A96&lt;=15,'Anchor Points'!$E$2+(A96-'Anchor Points'!$A$2)/('Anchor Points'!$A$3-'Anchor Points'!$A$2)*('Anchor Points'!$E$3-'Anchor Points'!$E$2),IF(A96&lt;=25,'Anchor Points'!$E$3+(A96-'Anchor Points'!$A$3)/('Anchor Points'!$A$4-'Anchor Points'!$A$3)*('Anchor Points'!$E$4-'Anchor Points'!$E$3),IF(A96&lt;=40,'Anchor Points'!$E$4+(A96-'Anchor Points'!$A$4)/('Anchor Points'!$A$5-'Anchor Points'!$A$4)*('Anchor Points'!$E$5-'Anchor Points'!$E$4),IF(A96&lt;=55,'Anchor Points'!$E$5+(A96-'Anchor Points'!$A$5)/('Anchor Points'!$A$6-'Anchor Points'!$A$5)*('Anchor Points'!$E$6-'Anchor Points'!$E$5),IF(A96&lt;=70,'Anchor Points'!$E$6+(A96-'Anchor Points'!$A$6)/('Anchor Points'!$A$7-'Anchor Points'!$A$6)*('Anchor Points'!$E$7-'Anchor Points'!$E$6),IF(A96&lt;=90,'Anchor Points'!$E$7+(A96-'Anchor Points'!$A$7)/('Anchor Points'!$A$8-'Anchor Points'!$A$7)*('Anchor Points'!$E$8-'Anchor Points'!$E$7),'Anchor Points'!$E$8+(A96-'Anchor Points'!$A$8)/('Anchor Points'!$A$9-'Anchor Points'!$A$8)*('Anchor Points'!$E$9-'Anchor Points'!$E$8)))))))</x:f>
        <x:v>10.266666666666667</x:v>
      </x:c>
      <x:c r="H96" s="30" t="n">
        <x:f>ROUND(G96,0)</x:f>
        <x:v>10</x:v>
      </x:c>
      <x:c r="I96" s="28" t="n">
        <x:f>IF(A96&lt;=15,'Anchor Points'!$F$2+(A96-'Anchor Points'!$A$2)/('Anchor Points'!$A$3-'Anchor Points'!$A$2)*('Anchor Points'!$F$3-'Anchor Points'!$F$2),IF(A96&lt;=25,'Anchor Points'!$F$3+(A96-'Anchor Points'!$A$3)/('Anchor Points'!$A$4-'Anchor Points'!$A$3)*('Anchor Points'!$F$4-'Anchor Points'!$F$3),IF(A96&lt;=40,'Anchor Points'!$F$4+(A96-'Anchor Points'!$A$4)/('Anchor Points'!$A$5-'Anchor Points'!$A$4)*('Anchor Points'!$F$5-'Anchor Points'!$F$4),IF(A96&lt;=55,'Anchor Points'!$F$5+(A96-'Anchor Points'!$A$5)/('Anchor Points'!$A$6-'Anchor Points'!$A$5)*('Anchor Points'!$F$6-'Anchor Points'!$F$5),IF(A96&lt;=70,'Anchor Points'!$F$6+(A96-'Anchor Points'!$A$6)/('Anchor Points'!$A$7-'Anchor Points'!$A$6)*('Anchor Points'!$F$7-'Anchor Points'!$F$6),IF(A96&lt;=90,'Anchor Points'!$F$7+(A96-'Anchor Points'!$A$7)/('Anchor Points'!$A$8-'Anchor Points'!$A$7)*('Anchor Points'!$F$8-'Anchor Points'!$F$7),'Anchor Points'!$F$8+(A96-'Anchor Points'!$A$8)/('Anchor Points'!$A$9-'Anchor Points'!$A$8)*('Anchor Points'!$F$9-'Anchor Points'!$F$8)))))))</x:f>
        <x:v>50.666666666666664</x:v>
      </x:c>
      <x:c r="J96" s="28" t="n">
        <x:v>8</x:v>
      </x:c>
      <x:c r="K96" s="56" t="n">
        <x:v>9</x:v>
      </x:c>
      <x:c r="L96" s="52" t="n">
        <x:v>10</x:v>
      </x:c>
      <x:c r="M96" s="52" t="n">
        <x:v>55</x:v>
      </x:c>
      <x:c r="N96" s="56" t="n">
        <x:v>62</x:v>
      </x:c>
      <x:c r="O96" s="28" t="n">
        <x:v>70</x:v>
      </x:c>
      <x:c r="P96" s="28" t="n">
        <x:v>60</x:v>
      </x:c>
      <x:c r="Q96" s="55" t="n">
        <x:v>70</x:v>
      </x:c>
      <x:c r="R96" s="28" t="n">
        <x:v>80</x:v>
      </x:c>
      <x:c r="S96" s="28" t="n">
        <x:v>12</x:v>
      </x:c>
      <x:c r="T96" s="28" t="n">
        <x:v>15</x:v>
      </x:c>
      <x:c r="U96" s="55" t="n">
        <x:v>18</x:v>
      </x:c>
      <x:c r="V96" s="28" t="n">
        <x:v>1033</x:v>
      </x:c>
      <x:c r="W96" s="55" t="n">
        <x:v>1315</x:v>
      </x:c>
      <x:c r="X96" s="28" t="n">
        <x:v>1582</x:v>
      </x:c>
    </x:row>
    <x:row r="97">
      <x:c r="A97" s="30" t="n">
        <x:v>95</x:v>
      </x:c>
      <x:c r="B97" s="11" t="str">
        <x:f>IF(A97&lt;=15,"Seedling",IF(A97&lt;=25,"Establishment",IF(A97&lt;=40,"Vegetative Growth",IF(A97&lt;=55,"Flowering &amp; Initial Fruit Set",IF(A97&lt;=80,"Fruit Enlargement",IF(A97&lt;=95,"Ripening","Harvesting"))))))</x:f>
        <x:v>Ripening</x:v>
      </x:c>
      <x:c r="C97" s="28" t="n">
        <x:f>IF(A97&lt;=15,'Anchor Points'!$B$2+(A97-'Anchor Points'!$A$2)/('Anchor Points'!$A$3-'Anchor Points'!$A$2)*('Anchor Points'!$B$3-'Anchor Points'!$B$2),IF(A97&lt;=25,'Anchor Points'!$B$3+(A97-'Anchor Points'!$A$3)/('Anchor Points'!$A$4-'Anchor Points'!$A$3)*('Anchor Points'!$B$4-'Anchor Points'!$B$3),IF(A97&lt;=40,'Anchor Points'!$B$4+(A97-'Anchor Points'!$A$4)/('Anchor Points'!$A$5-'Anchor Points'!$A$4)*('Anchor Points'!$B$5-'Anchor Points'!$B$4),IF(A97&lt;=55,'Anchor Points'!$B$5+(A97-'Anchor Points'!$A$5)/('Anchor Points'!$A$6-'Anchor Points'!$A$5)*('Anchor Points'!$B$6-'Anchor Points'!$B$5),IF(A97&lt;=70,'Anchor Points'!$B$6+(A97-'Anchor Points'!$A$6)/('Anchor Points'!$A$7-'Anchor Points'!$A$6)*('Anchor Points'!$B$7-'Anchor Points'!$B$6),IF(A97&lt;=90,'Anchor Points'!$B$7+(A97-'Anchor Points'!$A$7)/('Anchor Points'!$A$8-'Anchor Points'!$A$7)*('Anchor Points'!$B$8-'Anchor Points'!$B$7),'Anchor Points'!$B$8+(A97-'Anchor Points'!$A$8)/('Anchor Points'!$A$9-'Anchor Points'!$A$8)*('Anchor Points'!$B$9-'Anchor Points'!$B$8)))))))</x:f>
        <x:v>83.33333333333333</x:v>
      </x:c>
      <x:c r="D97" s="28" t="n">
        <x:f>IF(A97&lt;=15,'Anchor Points'!$C$2+(A97-'Anchor Points'!$A$2)/('Anchor Points'!$A$3-'Anchor Points'!$A$2)*('Anchor Points'!$C$3-'Anchor Points'!$C$2),IF(A97&lt;=25,'Anchor Points'!$C$3+(A97-'Anchor Points'!$A$3)/('Anchor Points'!$A$4-'Anchor Points'!$A$3)*('Anchor Points'!$C$4-'Anchor Points'!$C$3),IF(A97&lt;=40,'Anchor Points'!$C$4+(A97-'Anchor Points'!$A$4)/('Anchor Points'!$A$5-'Anchor Points'!$A$4)*('Anchor Points'!$C$5-'Anchor Points'!$C$4),IF(A97&lt;=55,'Anchor Points'!$C$5+(A97-'Anchor Points'!$A$5)/('Anchor Points'!$A$6-'Anchor Points'!$A$5)*('Anchor Points'!$C$6-'Anchor Points'!$C$5),IF(A97&lt;=70,'Anchor Points'!$C$6+(A97-'Anchor Points'!$A$6)/('Anchor Points'!$A$7-'Anchor Points'!$A$6)*('Anchor Points'!$C$7-'Anchor Points'!$C$6),IF(A97&lt;=90,'Anchor Points'!$C$7+(A97-'Anchor Points'!$A$7)/('Anchor Points'!$A$8-'Anchor Points'!$A$7)*('Anchor Points'!$C$8-'Anchor Points'!$C$7),'Anchor Points'!$C$8+(A97-'Anchor Points'!$A$8)/('Anchor Points'!$A$9-'Anchor Points'!$A$8)*('Anchor Points'!$C$9-'Anchor Points'!$C$8)))))))</x:f>
        <x:v>87.5</x:v>
      </x:c>
      <x:c r="E97" s="28" t="n">
        <x:f>IF(A97&lt;=15,'Anchor Points'!$D$2+(A97-'Anchor Points'!$A$2)/('Anchor Points'!$A$3-'Anchor Points'!$A$2)*('Anchor Points'!$D$3-'Anchor Points'!$D$2),IF(A97&lt;=25,'Anchor Points'!$D$3+(A97-'Anchor Points'!$A$3)/('Anchor Points'!$A$4-'Anchor Points'!$A$3)*('Anchor Points'!$D$4-'Anchor Points'!$D$3),IF(A97&lt;=40,'Anchor Points'!$D$4+(A97-'Anchor Points'!$A$4)/('Anchor Points'!$A$5-'Anchor Points'!$A$4)*('Anchor Points'!$D$5-'Anchor Points'!$D$4),IF(A97&lt;=55,'Anchor Points'!$D$5+(A97-'Anchor Points'!$A$5)/('Anchor Points'!$A$6-'Anchor Points'!$A$5)*('Anchor Points'!$D$6-'Anchor Points'!$D$5),IF(A97&lt;=70,'Anchor Points'!$D$6+(A97-'Anchor Points'!$A$6)/('Anchor Points'!$A$7-'Anchor Points'!$A$6)*('Anchor Points'!$D$7-'Anchor Points'!$D$6),IF(A97&lt;=90,'Anchor Points'!$D$7+(A97-'Anchor Points'!$A$7)/('Anchor Points'!$A$8-'Anchor Points'!$A$7)*('Anchor Points'!$D$8-'Anchor Points'!$D$7),'Anchor Points'!$D$8+(A97-'Anchor Points'!$A$8)/('Anchor Points'!$A$9-'Anchor Points'!$A$8)*('Anchor Points'!$D$9-'Anchor Points'!$D$8)))))))</x:f>
        <x:v>7.5</x:v>
      </x:c>
      <x:c r="F97" s="30" t="n">
        <x:f>ROUND(E97,0)</x:f>
        <x:v>8</x:v>
      </x:c>
      <x:c r="G97" s="28" t="n">
        <x:f>IF(A97&lt;=15,'Anchor Points'!$E$2+(A97-'Anchor Points'!$A$2)/('Anchor Points'!$A$3-'Anchor Points'!$A$2)*('Anchor Points'!$E$3-'Anchor Points'!$E$2),IF(A97&lt;=25,'Anchor Points'!$E$3+(A97-'Anchor Points'!$A$3)/('Anchor Points'!$A$4-'Anchor Points'!$A$3)*('Anchor Points'!$E$4-'Anchor Points'!$E$3),IF(A97&lt;=40,'Anchor Points'!$E$4+(A97-'Anchor Points'!$A$4)/('Anchor Points'!$A$5-'Anchor Points'!$A$4)*('Anchor Points'!$E$5-'Anchor Points'!$E$4),IF(A97&lt;=55,'Anchor Points'!$E$5+(A97-'Anchor Points'!$A$5)/('Anchor Points'!$A$6-'Anchor Points'!$A$5)*('Anchor Points'!$E$6-'Anchor Points'!$E$5),IF(A97&lt;=70,'Anchor Points'!$E$6+(A97-'Anchor Points'!$A$6)/('Anchor Points'!$A$7-'Anchor Points'!$A$6)*('Anchor Points'!$E$7-'Anchor Points'!$E$6),IF(A97&lt;=90,'Anchor Points'!$E$7+(A97-'Anchor Points'!$A$7)/('Anchor Points'!$A$8-'Anchor Points'!$A$7)*('Anchor Points'!$E$8-'Anchor Points'!$E$7),'Anchor Points'!$E$8+(A97-'Anchor Points'!$A$8)/('Anchor Points'!$A$9-'Anchor Points'!$A$8)*('Anchor Points'!$E$9-'Anchor Points'!$E$8)))))))</x:f>
        <x:v>10.333333333333334</x:v>
      </x:c>
      <x:c r="H97" s="30" t="n">
        <x:f>ROUND(G97,0)</x:f>
        <x:v>10</x:v>
      </x:c>
      <x:c r="I97" s="28" t="n">
        <x:f>IF(A97&lt;=15,'Anchor Points'!$F$2+(A97-'Anchor Points'!$A$2)/('Anchor Points'!$A$3-'Anchor Points'!$A$2)*('Anchor Points'!$F$3-'Anchor Points'!$F$2),IF(A97&lt;=25,'Anchor Points'!$F$3+(A97-'Anchor Points'!$A$3)/('Anchor Points'!$A$4-'Anchor Points'!$A$3)*('Anchor Points'!$F$4-'Anchor Points'!$F$3),IF(A97&lt;=40,'Anchor Points'!$F$4+(A97-'Anchor Points'!$A$4)/('Anchor Points'!$A$5-'Anchor Points'!$A$4)*('Anchor Points'!$F$5-'Anchor Points'!$F$4),IF(A97&lt;=55,'Anchor Points'!$F$5+(A97-'Anchor Points'!$A$5)/('Anchor Points'!$A$6-'Anchor Points'!$A$5)*('Anchor Points'!$F$6-'Anchor Points'!$F$5),IF(A97&lt;=70,'Anchor Points'!$F$6+(A97-'Anchor Points'!$A$6)/('Anchor Points'!$A$7-'Anchor Points'!$A$6)*('Anchor Points'!$F$7-'Anchor Points'!$F$6),IF(A97&lt;=90,'Anchor Points'!$F$7+(A97-'Anchor Points'!$A$7)/('Anchor Points'!$A$8-'Anchor Points'!$A$7)*('Anchor Points'!$F$8-'Anchor Points'!$F$7),'Anchor Points'!$F$8+(A97-'Anchor Points'!$A$8)/('Anchor Points'!$A$9-'Anchor Points'!$A$8)*('Anchor Points'!$F$9-'Anchor Points'!$F$8)))))))</x:f>
        <x:v>50.833333333333336</x:v>
      </x:c>
      <x:c r="J97" s="28" t="n">
        <x:v>8</x:v>
      </x:c>
      <x:c r="K97" s="56" t="n">
        <x:v>9</x:v>
      </x:c>
      <x:c r="L97" s="52" t="n">
        <x:v>10</x:v>
      </x:c>
      <x:c r="M97" s="52" t="n">
        <x:v>55</x:v>
      </x:c>
      <x:c r="N97" s="56" t="n">
        <x:v>62</x:v>
      </x:c>
      <x:c r="O97" s="28" t="n">
        <x:v>70</x:v>
      </x:c>
      <x:c r="P97" s="28" t="n">
        <x:v>60</x:v>
      </x:c>
      <x:c r="Q97" s="55" t="n">
        <x:v>70</x:v>
      </x:c>
      <x:c r="R97" s="28" t="n">
        <x:v>80</x:v>
      </x:c>
      <x:c r="S97" s="28" t="n">
        <x:v>12</x:v>
      </x:c>
      <x:c r="T97" s="28" t="n">
        <x:v>15</x:v>
      </x:c>
      <x:c r="U97" s="55" t="n">
        <x:v>18</x:v>
      </x:c>
      <x:c r="V97" s="28" t="n">
        <x:v>1045</x:v>
      </x:c>
      <x:c r="W97" s="55" t="n">
        <x:v>1330</x:v>
      </x:c>
      <x:c r="X97" s="28" t="n">
        <x:v>1600</x:v>
      </x:c>
    </x:row>
    <x:row r="98">
      <x:c r="A98" s="30" t="n">
        <x:v>96</x:v>
      </x:c>
      <x:c r="B98" s="11" t="str">
        <x:f>IF(A98&lt;=15,"Seedling",IF(A98&lt;=25,"Establishment",IF(A98&lt;=40,"Vegetative Growth",IF(A98&lt;=55,"Flowering &amp; Initial Fruit Set",IF(A98&lt;=80,"Fruit Enlargement",IF(A98&lt;=95,"Ripening","Harvesting"))))))</x:f>
        <x:v>Harvesting</x:v>
      </x:c>
      <x:c r="C98" s="28" t="n">
        <x:f>IF(A98&lt;=15,'Anchor Points'!$B$2+(A98-'Anchor Points'!$A$2)/('Anchor Points'!$A$3-'Anchor Points'!$A$2)*('Anchor Points'!$B$3-'Anchor Points'!$B$2),IF(A98&lt;=25,'Anchor Points'!$B$3+(A98-'Anchor Points'!$A$3)/('Anchor Points'!$A$4-'Anchor Points'!$A$3)*('Anchor Points'!$B$4-'Anchor Points'!$B$3),IF(A98&lt;=40,'Anchor Points'!$B$4+(A98-'Anchor Points'!$A$4)/('Anchor Points'!$A$5-'Anchor Points'!$A$4)*('Anchor Points'!$B$5-'Anchor Points'!$B$4),IF(A98&lt;=55,'Anchor Points'!$B$5+(A98-'Anchor Points'!$A$5)/('Anchor Points'!$A$6-'Anchor Points'!$A$5)*('Anchor Points'!$B$6-'Anchor Points'!$B$5),IF(A98&lt;=70,'Anchor Points'!$B$6+(A98-'Anchor Points'!$A$6)/('Anchor Points'!$A$7-'Anchor Points'!$A$6)*('Anchor Points'!$B$7-'Anchor Points'!$B$6),IF(A98&lt;=90,'Anchor Points'!$B$7+(A98-'Anchor Points'!$A$7)/('Anchor Points'!$A$8-'Anchor Points'!$A$7)*('Anchor Points'!$B$8-'Anchor Points'!$B$7),'Anchor Points'!$B$8+(A98-'Anchor Points'!$A$8)/('Anchor Points'!$A$9-'Anchor Points'!$A$8)*('Anchor Points'!$B$9-'Anchor Points'!$B$8)))))))</x:f>
        <x:v>83.6</x:v>
      </x:c>
      <x:c r="D98" s="28" t="n">
        <x:f>IF(A98&lt;=15,'Anchor Points'!$C$2+(A98-'Anchor Points'!$A$2)/('Anchor Points'!$A$3-'Anchor Points'!$A$2)*('Anchor Points'!$C$3-'Anchor Points'!$C$2),IF(A98&lt;=25,'Anchor Points'!$C$3+(A98-'Anchor Points'!$A$3)/('Anchor Points'!$A$4-'Anchor Points'!$A$3)*('Anchor Points'!$C$4-'Anchor Points'!$C$3),IF(A98&lt;=40,'Anchor Points'!$C$4+(A98-'Anchor Points'!$A$4)/('Anchor Points'!$A$5-'Anchor Points'!$A$4)*('Anchor Points'!$C$5-'Anchor Points'!$C$4),IF(A98&lt;=55,'Anchor Points'!$C$5+(A98-'Anchor Points'!$A$5)/('Anchor Points'!$A$6-'Anchor Points'!$A$5)*('Anchor Points'!$C$6-'Anchor Points'!$C$5),IF(A98&lt;=70,'Anchor Points'!$C$6+(A98-'Anchor Points'!$A$6)/('Anchor Points'!$A$7-'Anchor Points'!$A$6)*('Anchor Points'!$C$7-'Anchor Points'!$C$6),IF(A98&lt;=90,'Anchor Points'!$C$7+(A98-'Anchor Points'!$A$7)/('Anchor Points'!$A$8-'Anchor Points'!$A$7)*('Anchor Points'!$C$8-'Anchor Points'!$C$7),'Anchor Points'!$C$8+(A98-'Anchor Points'!$A$8)/('Anchor Points'!$A$9-'Anchor Points'!$A$8)*('Anchor Points'!$C$9-'Anchor Points'!$C$8)))))))</x:f>
        <x:v>88</x:v>
      </x:c>
      <x:c r="E98" s="28" t="n">
        <x:f>IF(A98&lt;=15,'Anchor Points'!$D$2+(A98-'Anchor Points'!$A$2)/('Anchor Points'!$A$3-'Anchor Points'!$A$2)*('Anchor Points'!$D$3-'Anchor Points'!$D$2),IF(A98&lt;=25,'Anchor Points'!$D$3+(A98-'Anchor Points'!$A$3)/('Anchor Points'!$A$4-'Anchor Points'!$A$3)*('Anchor Points'!$D$4-'Anchor Points'!$D$3),IF(A98&lt;=40,'Anchor Points'!$D$4+(A98-'Anchor Points'!$A$4)/('Anchor Points'!$A$5-'Anchor Points'!$A$4)*('Anchor Points'!$D$5-'Anchor Points'!$D$4),IF(A98&lt;=55,'Anchor Points'!$D$5+(A98-'Anchor Points'!$A$5)/('Anchor Points'!$A$6-'Anchor Points'!$A$5)*('Anchor Points'!$D$6-'Anchor Points'!$D$5),IF(A98&lt;=70,'Anchor Points'!$D$6+(A98-'Anchor Points'!$A$6)/('Anchor Points'!$A$7-'Anchor Points'!$A$6)*('Anchor Points'!$D$7-'Anchor Points'!$D$6),IF(A98&lt;=90,'Anchor Points'!$D$7+(A98-'Anchor Points'!$A$7)/('Anchor Points'!$A$8-'Anchor Points'!$A$7)*('Anchor Points'!$D$8-'Anchor Points'!$D$7),'Anchor Points'!$D$8+(A98-'Anchor Points'!$A$8)/('Anchor Points'!$A$9-'Anchor Points'!$A$8)*('Anchor Points'!$D$9-'Anchor Points'!$D$8)))))))</x:f>
        <x:v>7.4</x:v>
      </x:c>
      <x:c r="F98" s="30" t="n">
        <x:f>ROUND(E98,0)</x:f>
        <x:v>7</x:v>
      </x:c>
      <x:c r="G98" s="28" t="n">
        <x:f>IF(A98&lt;=15,'Anchor Points'!$E$2+(A98-'Anchor Points'!$A$2)/('Anchor Points'!$A$3-'Anchor Points'!$A$2)*('Anchor Points'!$E$3-'Anchor Points'!$E$2),IF(A98&lt;=25,'Anchor Points'!$E$3+(A98-'Anchor Points'!$A$3)/('Anchor Points'!$A$4-'Anchor Points'!$A$3)*('Anchor Points'!$E$4-'Anchor Points'!$E$3),IF(A98&lt;=40,'Anchor Points'!$E$4+(A98-'Anchor Points'!$A$4)/('Anchor Points'!$A$5-'Anchor Points'!$A$4)*('Anchor Points'!$E$5-'Anchor Points'!$E$4),IF(A98&lt;=55,'Anchor Points'!$E$5+(A98-'Anchor Points'!$A$5)/('Anchor Points'!$A$6-'Anchor Points'!$A$5)*('Anchor Points'!$E$6-'Anchor Points'!$E$5),IF(A98&lt;=70,'Anchor Points'!$E$6+(A98-'Anchor Points'!$A$6)/('Anchor Points'!$A$7-'Anchor Points'!$A$6)*('Anchor Points'!$E$7-'Anchor Points'!$E$6),IF(A98&lt;=90,'Anchor Points'!$E$7+(A98-'Anchor Points'!$A$7)/('Anchor Points'!$A$8-'Anchor Points'!$A$7)*('Anchor Points'!$E$8-'Anchor Points'!$E$7),'Anchor Points'!$E$8+(A98-'Anchor Points'!$A$8)/('Anchor Points'!$A$9-'Anchor Points'!$A$8)*('Anchor Points'!$E$9-'Anchor Points'!$E$8)))))))</x:f>
        <x:v>10.4</x:v>
      </x:c>
      <x:c r="H98" s="30" t="n">
        <x:f>ROUND(G98,0)</x:f>
        <x:v>10</x:v>
      </x:c>
      <x:c r="I98" s="28" t="n">
        <x:f>IF(A98&lt;=15,'Anchor Points'!$F$2+(A98-'Anchor Points'!$A$2)/('Anchor Points'!$A$3-'Anchor Points'!$A$2)*('Anchor Points'!$F$3-'Anchor Points'!$F$2),IF(A98&lt;=25,'Anchor Points'!$F$3+(A98-'Anchor Points'!$A$3)/('Anchor Points'!$A$4-'Anchor Points'!$A$3)*('Anchor Points'!$F$4-'Anchor Points'!$F$3),IF(A98&lt;=40,'Anchor Points'!$F$4+(A98-'Anchor Points'!$A$4)/('Anchor Points'!$A$5-'Anchor Points'!$A$4)*('Anchor Points'!$F$5-'Anchor Points'!$F$4),IF(A98&lt;=55,'Anchor Points'!$F$5+(A98-'Anchor Points'!$A$5)/('Anchor Points'!$A$6-'Anchor Points'!$A$5)*('Anchor Points'!$F$6-'Anchor Points'!$F$5),IF(A98&lt;=70,'Anchor Points'!$F$6+(A98-'Anchor Points'!$A$6)/('Anchor Points'!$A$7-'Anchor Points'!$A$6)*('Anchor Points'!$F$7-'Anchor Points'!$F$6),IF(A98&lt;=90,'Anchor Points'!$F$7+(A98-'Anchor Points'!$A$7)/('Anchor Points'!$A$8-'Anchor Points'!$A$7)*('Anchor Points'!$F$8-'Anchor Points'!$F$7),'Anchor Points'!$F$8+(A98-'Anchor Points'!$A$8)/('Anchor Points'!$A$9-'Anchor Points'!$A$8)*('Anchor Points'!$F$9-'Anchor Points'!$F$8)))))))</x:f>
        <x:v>51</x:v>
      </x:c>
      <x:c r="J98" s="28" t="n">
        <x:v>8</x:v>
      </x:c>
      <x:c r="K98" s="56" t="n">
        <x:v>9</x:v>
      </x:c>
      <x:c r="L98" s="52" t="n">
        <x:v>10</x:v>
      </x:c>
      <x:c r="M98" s="52" t="n">
        <x:v>55</x:v>
      </x:c>
      <x:c r="N98" s="56" t="n">
        <x:v>62</x:v>
      </x:c>
      <x:c r="O98" s="28" t="n">
        <x:v>70</x:v>
      </x:c>
      <x:c r="P98" s="28" t="n">
        <x:v>60</x:v>
      </x:c>
      <x:c r="Q98" s="55" t="n">
        <x:v>70</x:v>
      </x:c>
      <x:c r="R98" s="28" t="n">
        <x:v>80</x:v>
      </x:c>
      <x:c r="S98" s="28" t="n">
        <x:v>12</x:v>
      </x:c>
      <x:c r="T98" s="28" t="n">
        <x:v>15</x:v>
      </x:c>
      <x:c r="U98" s="55" t="n">
        <x:v>18</x:v>
      </x:c>
      <x:c r="V98" s="28" t="n">
        <x:v>1057</x:v>
      </x:c>
      <x:c r="W98" s="55" t="n">
        <x:v>1345</x:v>
      </x:c>
      <x:c r="X98" s="28" t="n">
        <x:v>1618</x:v>
      </x:c>
    </x:row>
    <x:row r="99">
      <x:c r="A99" s="30" t="n">
        <x:v>97</x:v>
      </x:c>
      <x:c r="B99" s="11" t="str">
        <x:f>IF(A99&lt;=15,"Seedling",IF(A99&lt;=25,"Establishment",IF(A99&lt;=40,"Vegetative Growth",IF(A99&lt;=55,"Flowering &amp; Initial Fruit Set",IF(A99&lt;=80,"Fruit Enlargement",IF(A99&lt;=95,"Ripening","Harvesting"))))))</x:f>
        <x:v>Harvesting</x:v>
      </x:c>
      <x:c r="C99" s="28" t="n">
        <x:f>IF(A99&lt;=15,'Anchor Points'!$B$2+(A99-'Anchor Points'!$A$2)/('Anchor Points'!$A$3-'Anchor Points'!$A$2)*('Anchor Points'!$B$3-'Anchor Points'!$B$2),IF(A99&lt;=25,'Anchor Points'!$B$3+(A99-'Anchor Points'!$A$3)/('Anchor Points'!$A$4-'Anchor Points'!$A$3)*('Anchor Points'!$B$4-'Anchor Points'!$B$3),IF(A99&lt;=40,'Anchor Points'!$B$4+(A99-'Anchor Points'!$A$4)/('Anchor Points'!$A$5-'Anchor Points'!$A$4)*('Anchor Points'!$B$5-'Anchor Points'!$B$4),IF(A99&lt;=55,'Anchor Points'!$B$5+(A99-'Anchor Points'!$A$5)/('Anchor Points'!$A$6-'Anchor Points'!$A$5)*('Anchor Points'!$B$6-'Anchor Points'!$B$5),IF(A99&lt;=70,'Anchor Points'!$B$6+(A99-'Anchor Points'!$A$6)/('Anchor Points'!$A$7-'Anchor Points'!$A$6)*('Anchor Points'!$B$7-'Anchor Points'!$B$6),IF(A99&lt;=90,'Anchor Points'!$B$7+(A99-'Anchor Points'!$A$7)/('Anchor Points'!$A$8-'Anchor Points'!$A$7)*('Anchor Points'!$B$8-'Anchor Points'!$B$7),'Anchor Points'!$B$8+(A99-'Anchor Points'!$A$8)/('Anchor Points'!$A$9-'Anchor Points'!$A$8)*('Anchor Points'!$B$9-'Anchor Points'!$B$8)))))))</x:f>
        <x:v>83.86666666666666</x:v>
      </x:c>
      <x:c r="D99" s="28" t="n">
        <x:f>IF(A99&lt;=15,'Anchor Points'!$C$2+(A99-'Anchor Points'!$A$2)/('Anchor Points'!$A$3-'Anchor Points'!$A$2)*('Anchor Points'!$C$3-'Anchor Points'!$C$2),IF(A99&lt;=25,'Anchor Points'!$C$3+(A99-'Anchor Points'!$A$3)/('Anchor Points'!$A$4-'Anchor Points'!$A$3)*('Anchor Points'!$C$4-'Anchor Points'!$C$3),IF(A99&lt;=40,'Anchor Points'!$C$4+(A99-'Anchor Points'!$A$4)/('Anchor Points'!$A$5-'Anchor Points'!$A$4)*('Anchor Points'!$C$5-'Anchor Points'!$C$4),IF(A99&lt;=55,'Anchor Points'!$C$5+(A99-'Anchor Points'!$A$5)/('Anchor Points'!$A$6-'Anchor Points'!$A$5)*('Anchor Points'!$C$6-'Anchor Points'!$C$5),IF(A99&lt;=70,'Anchor Points'!$C$6+(A99-'Anchor Points'!$A$6)/('Anchor Points'!$A$7-'Anchor Points'!$A$6)*('Anchor Points'!$C$7-'Anchor Points'!$C$6),IF(A99&lt;=90,'Anchor Points'!$C$7+(A99-'Anchor Points'!$A$7)/('Anchor Points'!$A$8-'Anchor Points'!$A$7)*('Anchor Points'!$C$8-'Anchor Points'!$C$7),'Anchor Points'!$C$8+(A99-'Anchor Points'!$A$8)/('Anchor Points'!$A$9-'Anchor Points'!$A$8)*('Anchor Points'!$C$9-'Anchor Points'!$C$8)))))))</x:f>
        <x:v>88.5</x:v>
      </x:c>
      <x:c r="E99" s="28" t="n">
        <x:f>IF(A99&lt;=15,'Anchor Points'!$D$2+(A99-'Anchor Points'!$A$2)/('Anchor Points'!$A$3-'Anchor Points'!$A$2)*('Anchor Points'!$D$3-'Anchor Points'!$D$2),IF(A99&lt;=25,'Anchor Points'!$D$3+(A99-'Anchor Points'!$A$3)/('Anchor Points'!$A$4-'Anchor Points'!$A$3)*('Anchor Points'!$D$4-'Anchor Points'!$D$3),IF(A99&lt;=40,'Anchor Points'!$D$4+(A99-'Anchor Points'!$A$4)/('Anchor Points'!$A$5-'Anchor Points'!$A$4)*('Anchor Points'!$D$5-'Anchor Points'!$D$4),IF(A99&lt;=55,'Anchor Points'!$D$5+(A99-'Anchor Points'!$A$5)/('Anchor Points'!$A$6-'Anchor Points'!$A$5)*('Anchor Points'!$D$6-'Anchor Points'!$D$5),IF(A99&lt;=70,'Anchor Points'!$D$6+(A99-'Anchor Points'!$A$6)/('Anchor Points'!$A$7-'Anchor Points'!$A$6)*('Anchor Points'!$D$7-'Anchor Points'!$D$6),IF(A99&lt;=90,'Anchor Points'!$D$7+(A99-'Anchor Points'!$A$7)/('Anchor Points'!$A$8-'Anchor Points'!$A$7)*('Anchor Points'!$D$8-'Anchor Points'!$D$7),'Anchor Points'!$D$8+(A99-'Anchor Points'!$A$8)/('Anchor Points'!$A$9-'Anchor Points'!$A$8)*('Anchor Points'!$D$9-'Anchor Points'!$D$8)))))))</x:f>
        <x:v>7.3</x:v>
      </x:c>
      <x:c r="F99" s="30" t="n">
        <x:f>ROUND(E99,0)</x:f>
        <x:v>7</x:v>
      </x:c>
      <x:c r="G99" s="28" t="n">
        <x:f>IF(A99&lt;=15,'Anchor Points'!$E$2+(A99-'Anchor Points'!$A$2)/('Anchor Points'!$A$3-'Anchor Points'!$A$2)*('Anchor Points'!$E$3-'Anchor Points'!$E$2),IF(A99&lt;=25,'Anchor Points'!$E$3+(A99-'Anchor Points'!$A$3)/('Anchor Points'!$A$4-'Anchor Points'!$A$3)*('Anchor Points'!$E$4-'Anchor Points'!$E$3),IF(A99&lt;=40,'Anchor Points'!$E$4+(A99-'Anchor Points'!$A$4)/('Anchor Points'!$A$5-'Anchor Points'!$A$4)*('Anchor Points'!$E$5-'Anchor Points'!$E$4),IF(A99&lt;=55,'Anchor Points'!$E$5+(A99-'Anchor Points'!$A$5)/('Anchor Points'!$A$6-'Anchor Points'!$A$5)*('Anchor Points'!$E$6-'Anchor Points'!$E$5),IF(A99&lt;=70,'Anchor Points'!$E$6+(A99-'Anchor Points'!$A$6)/('Anchor Points'!$A$7-'Anchor Points'!$A$6)*('Anchor Points'!$E$7-'Anchor Points'!$E$6),IF(A99&lt;=90,'Anchor Points'!$E$7+(A99-'Anchor Points'!$A$7)/('Anchor Points'!$A$8-'Anchor Points'!$A$7)*('Anchor Points'!$E$8-'Anchor Points'!$E$7),'Anchor Points'!$E$8+(A99-'Anchor Points'!$A$8)/('Anchor Points'!$A$9-'Anchor Points'!$A$8)*('Anchor Points'!$E$9-'Anchor Points'!$E$8)))))))</x:f>
        <x:v>10.466666666666667</x:v>
      </x:c>
      <x:c r="H99" s="30" t="n">
        <x:f>ROUND(G99,0)</x:f>
        <x:v>10</x:v>
      </x:c>
      <x:c r="I99" s="28" t="n">
        <x:f>IF(A99&lt;=15,'Anchor Points'!$F$2+(A99-'Anchor Points'!$A$2)/('Anchor Points'!$A$3-'Anchor Points'!$A$2)*('Anchor Points'!$F$3-'Anchor Points'!$F$2),IF(A99&lt;=25,'Anchor Points'!$F$3+(A99-'Anchor Points'!$A$3)/('Anchor Points'!$A$4-'Anchor Points'!$A$3)*('Anchor Points'!$F$4-'Anchor Points'!$F$3),IF(A99&lt;=40,'Anchor Points'!$F$4+(A99-'Anchor Points'!$A$4)/('Anchor Points'!$A$5-'Anchor Points'!$A$4)*('Anchor Points'!$F$5-'Anchor Points'!$F$4),IF(A99&lt;=55,'Anchor Points'!$F$5+(A99-'Anchor Points'!$A$5)/('Anchor Points'!$A$6-'Anchor Points'!$A$5)*('Anchor Points'!$F$6-'Anchor Points'!$F$5),IF(A99&lt;=70,'Anchor Points'!$F$6+(A99-'Anchor Points'!$A$6)/('Anchor Points'!$A$7-'Anchor Points'!$A$6)*('Anchor Points'!$F$7-'Anchor Points'!$F$6),IF(A99&lt;=90,'Anchor Points'!$F$7+(A99-'Anchor Points'!$A$7)/('Anchor Points'!$A$8-'Anchor Points'!$A$7)*('Anchor Points'!$F$8-'Anchor Points'!$F$7),'Anchor Points'!$F$8+(A99-'Anchor Points'!$A$8)/('Anchor Points'!$A$9-'Anchor Points'!$A$8)*('Anchor Points'!$F$9-'Anchor Points'!$F$8)))))))</x:f>
        <x:v>51.166666666666664</x:v>
      </x:c>
      <x:c r="J99" s="28" t="n">
        <x:v>8</x:v>
      </x:c>
      <x:c r="K99" s="56" t="n">
        <x:v>9</x:v>
      </x:c>
      <x:c r="L99" s="52" t="n">
        <x:v>10</x:v>
      </x:c>
      <x:c r="M99" s="52" t="n">
        <x:v>55</x:v>
      </x:c>
      <x:c r="N99" s="56" t="n">
        <x:v>62</x:v>
      </x:c>
      <x:c r="O99" s="28" t="n">
        <x:v>70</x:v>
      </x:c>
      <x:c r="P99" s="28" t="n">
        <x:v>60</x:v>
      </x:c>
      <x:c r="Q99" s="55" t="n">
        <x:v>70</x:v>
      </x:c>
      <x:c r="R99" s="28" t="n">
        <x:v>80</x:v>
      </x:c>
      <x:c r="S99" s="28" t="n">
        <x:v>12</x:v>
      </x:c>
      <x:c r="T99" s="28" t="n">
        <x:v>15</x:v>
      </x:c>
      <x:c r="U99" s="55" t="n">
        <x:v>18</x:v>
      </x:c>
      <x:c r="V99" s="28" t="n">
        <x:v>1069</x:v>
      </x:c>
      <x:c r="W99" s="55" t="n">
        <x:v>1360</x:v>
      </x:c>
      <x:c r="X99" s="28" t="n">
        <x:v>1636</x:v>
      </x:c>
    </x:row>
    <x:row r="100">
      <x:c r="A100" s="30" t="n">
        <x:v>98</x:v>
      </x:c>
      <x:c r="B100" s="11" t="str">
        <x:f>IF(A100&lt;=15,"Seedling",IF(A100&lt;=25,"Establishment",IF(A100&lt;=40,"Vegetative Growth",IF(A100&lt;=55,"Flowering &amp; Initial Fruit Set",IF(A100&lt;=80,"Fruit Enlargement",IF(A100&lt;=95,"Ripening","Harvesting"))))))</x:f>
        <x:v>Harvesting</x:v>
      </x:c>
      <x:c r="C100" s="28" t="n">
        <x:f>IF(A100&lt;=15,'Anchor Points'!$B$2+(A100-'Anchor Points'!$A$2)/('Anchor Points'!$A$3-'Anchor Points'!$A$2)*('Anchor Points'!$B$3-'Anchor Points'!$B$2),IF(A100&lt;=25,'Anchor Points'!$B$3+(A100-'Anchor Points'!$A$3)/('Anchor Points'!$A$4-'Anchor Points'!$A$3)*('Anchor Points'!$B$4-'Anchor Points'!$B$3),IF(A100&lt;=40,'Anchor Points'!$B$4+(A100-'Anchor Points'!$A$4)/('Anchor Points'!$A$5-'Anchor Points'!$A$4)*('Anchor Points'!$B$5-'Anchor Points'!$B$4),IF(A100&lt;=55,'Anchor Points'!$B$5+(A100-'Anchor Points'!$A$5)/('Anchor Points'!$A$6-'Anchor Points'!$A$5)*('Anchor Points'!$B$6-'Anchor Points'!$B$5),IF(A100&lt;=70,'Anchor Points'!$B$6+(A100-'Anchor Points'!$A$6)/('Anchor Points'!$A$7-'Anchor Points'!$A$6)*('Anchor Points'!$B$7-'Anchor Points'!$B$6),IF(A100&lt;=90,'Anchor Points'!$B$7+(A100-'Anchor Points'!$A$7)/('Anchor Points'!$A$8-'Anchor Points'!$A$7)*('Anchor Points'!$B$8-'Anchor Points'!$B$7),'Anchor Points'!$B$8+(A100-'Anchor Points'!$A$8)/('Anchor Points'!$A$9-'Anchor Points'!$A$8)*('Anchor Points'!$B$9-'Anchor Points'!$B$8)))))))</x:f>
        <x:v>84.13333333333334</x:v>
      </x:c>
      <x:c r="D100" s="28" t="n">
        <x:f>IF(A100&lt;=15,'Anchor Points'!$C$2+(A100-'Anchor Points'!$A$2)/('Anchor Points'!$A$3-'Anchor Points'!$A$2)*('Anchor Points'!$C$3-'Anchor Points'!$C$2),IF(A100&lt;=25,'Anchor Points'!$C$3+(A100-'Anchor Points'!$A$3)/('Anchor Points'!$A$4-'Anchor Points'!$A$3)*('Anchor Points'!$C$4-'Anchor Points'!$C$3),IF(A100&lt;=40,'Anchor Points'!$C$4+(A100-'Anchor Points'!$A$4)/('Anchor Points'!$A$5-'Anchor Points'!$A$4)*('Anchor Points'!$C$5-'Anchor Points'!$C$4),IF(A100&lt;=55,'Anchor Points'!$C$5+(A100-'Anchor Points'!$A$5)/('Anchor Points'!$A$6-'Anchor Points'!$A$5)*('Anchor Points'!$C$6-'Anchor Points'!$C$5),IF(A100&lt;=70,'Anchor Points'!$C$6+(A100-'Anchor Points'!$A$6)/('Anchor Points'!$A$7-'Anchor Points'!$A$6)*('Anchor Points'!$C$7-'Anchor Points'!$C$6),IF(A100&lt;=90,'Anchor Points'!$C$7+(A100-'Anchor Points'!$A$7)/('Anchor Points'!$A$8-'Anchor Points'!$A$7)*('Anchor Points'!$C$8-'Anchor Points'!$C$7),'Anchor Points'!$C$8+(A100-'Anchor Points'!$A$8)/('Anchor Points'!$A$9-'Anchor Points'!$A$8)*('Anchor Points'!$C$9-'Anchor Points'!$C$8)))))))</x:f>
        <x:v>89</x:v>
      </x:c>
      <x:c r="E100" s="28" t="n">
        <x:f>IF(A100&lt;=15,'Anchor Points'!$D$2+(A100-'Anchor Points'!$A$2)/('Anchor Points'!$A$3-'Anchor Points'!$A$2)*('Anchor Points'!$D$3-'Anchor Points'!$D$2),IF(A100&lt;=25,'Anchor Points'!$D$3+(A100-'Anchor Points'!$A$3)/('Anchor Points'!$A$4-'Anchor Points'!$A$3)*('Anchor Points'!$D$4-'Anchor Points'!$D$3),IF(A100&lt;=40,'Anchor Points'!$D$4+(A100-'Anchor Points'!$A$4)/('Anchor Points'!$A$5-'Anchor Points'!$A$4)*('Anchor Points'!$D$5-'Anchor Points'!$D$4),IF(A100&lt;=55,'Anchor Points'!$D$5+(A100-'Anchor Points'!$A$5)/('Anchor Points'!$A$6-'Anchor Points'!$A$5)*('Anchor Points'!$D$6-'Anchor Points'!$D$5),IF(A100&lt;=70,'Anchor Points'!$D$6+(A100-'Anchor Points'!$A$6)/('Anchor Points'!$A$7-'Anchor Points'!$A$6)*('Anchor Points'!$D$7-'Anchor Points'!$D$6),IF(A100&lt;=90,'Anchor Points'!$D$7+(A100-'Anchor Points'!$A$7)/('Anchor Points'!$A$8-'Anchor Points'!$A$7)*('Anchor Points'!$D$8-'Anchor Points'!$D$7),'Anchor Points'!$D$8+(A100-'Anchor Points'!$A$8)/('Anchor Points'!$A$9-'Anchor Points'!$A$8)*('Anchor Points'!$D$9-'Anchor Points'!$D$8)))))))</x:f>
        <x:v>7.2</x:v>
      </x:c>
      <x:c r="F100" s="30" t="n">
        <x:f>ROUND(E100,0)</x:f>
        <x:v>7</x:v>
      </x:c>
      <x:c r="G100" s="28" t="n">
        <x:f>IF(A100&lt;=15,'Anchor Points'!$E$2+(A100-'Anchor Points'!$A$2)/('Anchor Points'!$A$3-'Anchor Points'!$A$2)*('Anchor Points'!$E$3-'Anchor Points'!$E$2),IF(A100&lt;=25,'Anchor Points'!$E$3+(A100-'Anchor Points'!$A$3)/('Anchor Points'!$A$4-'Anchor Points'!$A$3)*('Anchor Points'!$E$4-'Anchor Points'!$E$3),IF(A100&lt;=40,'Anchor Points'!$E$4+(A100-'Anchor Points'!$A$4)/('Anchor Points'!$A$5-'Anchor Points'!$A$4)*('Anchor Points'!$E$5-'Anchor Points'!$E$4),IF(A100&lt;=55,'Anchor Points'!$E$5+(A100-'Anchor Points'!$A$5)/('Anchor Points'!$A$6-'Anchor Points'!$A$5)*('Anchor Points'!$E$6-'Anchor Points'!$E$5),IF(A100&lt;=70,'Anchor Points'!$E$6+(A100-'Anchor Points'!$A$6)/('Anchor Points'!$A$7-'Anchor Points'!$A$6)*('Anchor Points'!$E$7-'Anchor Points'!$E$6),IF(A100&lt;=90,'Anchor Points'!$E$7+(A100-'Anchor Points'!$A$7)/('Anchor Points'!$A$8-'Anchor Points'!$A$7)*('Anchor Points'!$E$8-'Anchor Points'!$E$7),'Anchor Points'!$E$8+(A100-'Anchor Points'!$A$8)/('Anchor Points'!$A$9-'Anchor Points'!$A$8)*('Anchor Points'!$E$9-'Anchor Points'!$E$8)))))))</x:f>
        <x:v>10.533333333333333</x:v>
      </x:c>
      <x:c r="H100" s="30" t="n">
        <x:f>ROUND(G100,0)</x:f>
        <x:v>11</x:v>
      </x:c>
      <x:c r="I100" s="28" t="n">
        <x:f>IF(A100&lt;=15,'Anchor Points'!$F$2+(A100-'Anchor Points'!$A$2)/('Anchor Points'!$A$3-'Anchor Points'!$A$2)*('Anchor Points'!$F$3-'Anchor Points'!$F$2),IF(A100&lt;=25,'Anchor Points'!$F$3+(A100-'Anchor Points'!$A$3)/('Anchor Points'!$A$4-'Anchor Points'!$A$3)*('Anchor Points'!$F$4-'Anchor Points'!$F$3),IF(A100&lt;=40,'Anchor Points'!$F$4+(A100-'Anchor Points'!$A$4)/('Anchor Points'!$A$5-'Anchor Points'!$A$4)*('Anchor Points'!$F$5-'Anchor Points'!$F$4),IF(A100&lt;=55,'Anchor Points'!$F$5+(A100-'Anchor Points'!$A$5)/('Anchor Points'!$A$6-'Anchor Points'!$A$5)*('Anchor Points'!$F$6-'Anchor Points'!$F$5),IF(A100&lt;=70,'Anchor Points'!$F$6+(A100-'Anchor Points'!$A$6)/('Anchor Points'!$A$7-'Anchor Points'!$A$6)*('Anchor Points'!$F$7-'Anchor Points'!$F$6),IF(A100&lt;=90,'Anchor Points'!$F$7+(A100-'Anchor Points'!$A$7)/('Anchor Points'!$A$8-'Anchor Points'!$A$7)*('Anchor Points'!$F$8-'Anchor Points'!$F$7),'Anchor Points'!$F$8+(A100-'Anchor Points'!$A$8)/('Anchor Points'!$A$9-'Anchor Points'!$A$8)*('Anchor Points'!$F$9-'Anchor Points'!$F$8)))))))</x:f>
        <x:v>51.333333333333336</x:v>
      </x:c>
      <x:c r="J100" s="28" t="n">
        <x:v>8</x:v>
      </x:c>
      <x:c r="K100" s="56" t="n">
        <x:v>9</x:v>
      </x:c>
      <x:c r="L100" s="52" t="n">
        <x:v>10</x:v>
      </x:c>
      <x:c r="M100" s="52" t="n">
        <x:v>55</x:v>
      </x:c>
      <x:c r="N100" s="56" t="n">
        <x:v>62</x:v>
      </x:c>
      <x:c r="O100" s="28" t="n">
        <x:v>70</x:v>
      </x:c>
      <x:c r="P100" s="28" t="n">
        <x:v>60</x:v>
      </x:c>
      <x:c r="Q100" s="55" t="n">
        <x:v>70</x:v>
      </x:c>
      <x:c r="R100" s="28" t="n">
        <x:v>80</x:v>
      </x:c>
      <x:c r="S100" s="28" t="n">
        <x:v>12</x:v>
      </x:c>
      <x:c r="T100" s="28" t="n">
        <x:v>15</x:v>
      </x:c>
      <x:c r="U100" s="55" t="n">
        <x:v>18</x:v>
      </x:c>
      <x:c r="V100" s="28" t="n">
        <x:v>1081</x:v>
      </x:c>
      <x:c r="W100" s="55" t="n">
        <x:v>1375</x:v>
      </x:c>
      <x:c r="X100" s="28" t="n">
        <x:v>1654</x:v>
      </x:c>
    </x:row>
    <x:row r="101">
      <x:c r="A101" s="30" t="n">
        <x:v>99</x:v>
      </x:c>
      <x:c r="B101" s="11" t="str">
        <x:f>IF(A101&lt;=15,"Seedling",IF(A101&lt;=25,"Establishment",IF(A101&lt;=40,"Vegetative Growth",IF(A101&lt;=55,"Flowering &amp; Initial Fruit Set",IF(A101&lt;=80,"Fruit Enlargement",IF(A101&lt;=95,"Ripening","Harvesting"))))))</x:f>
        <x:v>Harvesting</x:v>
      </x:c>
      <x:c r="C101" s="28" t="n">
        <x:f>IF(A101&lt;=15,'Anchor Points'!$B$2+(A101-'Anchor Points'!$A$2)/('Anchor Points'!$A$3-'Anchor Points'!$A$2)*('Anchor Points'!$B$3-'Anchor Points'!$B$2),IF(A101&lt;=25,'Anchor Points'!$B$3+(A101-'Anchor Points'!$A$3)/('Anchor Points'!$A$4-'Anchor Points'!$A$3)*('Anchor Points'!$B$4-'Anchor Points'!$B$3),IF(A101&lt;=40,'Anchor Points'!$B$4+(A101-'Anchor Points'!$A$4)/('Anchor Points'!$A$5-'Anchor Points'!$A$4)*('Anchor Points'!$B$5-'Anchor Points'!$B$4),IF(A101&lt;=55,'Anchor Points'!$B$5+(A101-'Anchor Points'!$A$5)/('Anchor Points'!$A$6-'Anchor Points'!$A$5)*('Anchor Points'!$B$6-'Anchor Points'!$B$5),IF(A101&lt;=70,'Anchor Points'!$B$6+(A101-'Anchor Points'!$A$6)/('Anchor Points'!$A$7-'Anchor Points'!$A$6)*('Anchor Points'!$B$7-'Anchor Points'!$B$6),IF(A101&lt;=90,'Anchor Points'!$B$7+(A101-'Anchor Points'!$A$7)/('Anchor Points'!$A$8-'Anchor Points'!$A$7)*('Anchor Points'!$B$8-'Anchor Points'!$B$7),'Anchor Points'!$B$8+(A101-'Anchor Points'!$A$8)/('Anchor Points'!$A$9-'Anchor Points'!$A$8)*('Anchor Points'!$B$9-'Anchor Points'!$B$8)))))))</x:f>
        <x:v>84.4</x:v>
      </x:c>
      <x:c r="D101" s="28" t="n">
        <x:f>IF(A101&lt;=15,'Anchor Points'!$C$2+(A101-'Anchor Points'!$A$2)/('Anchor Points'!$A$3-'Anchor Points'!$A$2)*('Anchor Points'!$C$3-'Anchor Points'!$C$2),IF(A101&lt;=25,'Anchor Points'!$C$3+(A101-'Anchor Points'!$A$3)/('Anchor Points'!$A$4-'Anchor Points'!$A$3)*('Anchor Points'!$C$4-'Anchor Points'!$C$3),IF(A101&lt;=40,'Anchor Points'!$C$4+(A101-'Anchor Points'!$A$4)/('Anchor Points'!$A$5-'Anchor Points'!$A$4)*('Anchor Points'!$C$5-'Anchor Points'!$C$4),IF(A101&lt;=55,'Anchor Points'!$C$5+(A101-'Anchor Points'!$A$5)/('Anchor Points'!$A$6-'Anchor Points'!$A$5)*('Anchor Points'!$C$6-'Anchor Points'!$C$5),IF(A101&lt;=70,'Anchor Points'!$C$6+(A101-'Anchor Points'!$A$6)/('Anchor Points'!$A$7-'Anchor Points'!$A$6)*('Anchor Points'!$C$7-'Anchor Points'!$C$6),IF(A101&lt;=90,'Anchor Points'!$C$7+(A101-'Anchor Points'!$A$7)/('Anchor Points'!$A$8-'Anchor Points'!$A$7)*('Anchor Points'!$C$8-'Anchor Points'!$C$7),'Anchor Points'!$C$8+(A101-'Anchor Points'!$A$8)/('Anchor Points'!$A$9-'Anchor Points'!$A$8)*('Anchor Points'!$C$9-'Anchor Points'!$C$8)))))))</x:f>
        <x:v>89.5</x:v>
      </x:c>
      <x:c r="E101" s="28" t="n">
        <x:f>IF(A101&lt;=15,'Anchor Points'!$D$2+(A101-'Anchor Points'!$A$2)/('Anchor Points'!$A$3-'Anchor Points'!$A$2)*('Anchor Points'!$D$3-'Anchor Points'!$D$2),IF(A101&lt;=25,'Anchor Points'!$D$3+(A101-'Anchor Points'!$A$3)/('Anchor Points'!$A$4-'Anchor Points'!$A$3)*('Anchor Points'!$D$4-'Anchor Points'!$D$3),IF(A101&lt;=40,'Anchor Points'!$D$4+(A101-'Anchor Points'!$A$4)/('Anchor Points'!$A$5-'Anchor Points'!$A$4)*('Anchor Points'!$D$5-'Anchor Points'!$D$4),IF(A101&lt;=55,'Anchor Points'!$D$5+(A101-'Anchor Points'!$A$5)/('Anchor Points'!$A$6-'Anchor Points'!$A$5)*('Anchor Points'!$D$6-'Anchor Points'!$D$5),IF(A101&lt;=70,'Anchor Points'!$D$6+(A101-'Anchor Points'!$A$6)/('Anchor Points'!$A$7-'Anchor Points'!$A$6)*('Anchor Points'!$D$7-'Anchor Points'!$D$6),IF(A101&lt;=90,'Anchor Points'!$D$7+(A101-'Anchor Points'!$A$7)/('Anchor Points'!$A$8-'Anchor Points'!$A$7)*('Anchor Points'!$D$8-'Anchor Points'!$D$7),'Anchor Points'!$D$8+(A101-'Anchor Points'!$A$8)/('Anchor Points'!$A$9-'Anchor Points'!$A$8)*('Anchor Points'!$D$9-'Anchor Points'!$D$8)))))))</x:f>
        <x:v>7.1</x:v>
      </x:c>
      <x:c r="F101" s="30" t="n">
        <x:f>ROUND(E101,0)</x:f>
        <x:v>7</x:v>
      </x:c>
      <x:c r="G101" s="28" t="n">
        <x:f>IF(A101&lt;=15,'Anchor Points'!$E$2+(A101-'Anchor Points'!$A$2)/('Anchor Points'!$A$3-'Anchor Points'!$A$2)*('Anchor Points'!$E$3-'Anchor Points'!$E$2),IF(A101&lt;=25,'Anchor Points'!$E$3+(A101-'Anchor Points'!$A$3)/('Anchor Points'!$A$4-'Anchor Points'!$A$3)*('Anchor Points'!$E$4-'Anchor Points'!$E$3),IF(A101&lt;=40,'Anchor Points'!$E$4+(A101-'Anchor Points'!$A$4)/('Anchor Points'!$A$5-'Anchor Points'!$A$4)*('Anchor Points'!$E$5-'Anchor Points'!$E$4),IF(A101&lt;=55,'Anchor Points'!$E$5+(A101-'Anchor Points'!$A$5)/('Anchor Points'!$A$6-'Anchor Points'!$A$5)*('Anchor Points'!$E$6-'Anchor Points'!$E$5),IF(A101&lt;=70,'Anchor Points'!$E$6+(A101-'Anchor Points'!$A$6)/('Anchor Points'!$A$7-'Anchor Points'!$A$6)*('Anchor Points'!$E$7-'Anchor Points'!$E$6),IF(A101&lt;=90,'Anchor Points'!$E$7+(A101-'Anchor Points'!$A$7)/('Anchor Points'!$A$8-'Anchor Points'!$A$7)*('Anchor Points'!$E$8-'Anchor Points'!$E$7),'Anchor Points'!$E$8+(A101-'Anchor Points'!$A$8)/('Anchor Points'!$A$9-'Anchor Points'!$A$8)*('Anchor Points'!$E$9-'Anchor Points'!$E$8)))))))</x:f>
        <x:v>10.6</x:v>
      </x:c>
      <x:c r="H101" s="30" t="n">
        <x:f>ROUND(G101,0)</x:f>
        <x:v>11</x:v>
      </x:c>
      <x:c r="I101" s="28" t="n">
        <x:f>IF(A101&lt;=15,'Anchor Points'!$F$2+(A101-'Anchor Points'!$A$2)/('Anchor Points'!$A$3-'Anchor Points'!$A$2)*('Anchor Points'!$F$3-'Anchor Points'!$F$2),IF(A101&lt;=25,'Anchor Points'!$F$3+(A101-'Anchor Points'!$A$3)/('Anchor Points'!$A$4-'Anchor Points'!$A$3)*('Anchor Points'!$F$4-'Anchor Points'!$F$3),IF(A101&lt;=40,'Anchor Points'!$F$4+(A101-'Anchor Points'!$A$4)/('Anchor Points'!$A$5-'Anchor Points'!$A$4)*('Anchor Points'!$F$5-'Anchor Points'!$F$4),IF(A101&lt;=55,'Anchor Points'!$F$5+(A101-'Anchor Points'!$A$5)/('Anchor Points'!$A$6-'Anchor Points'!$A$5)*('Anchor Points'!$F$6-'Anchor Points'!$F$5),IF(A101&lt;=70,'Anchor Points'!$F$6+(A101-'Anchor Points'!$A$6)/('Anchor Points'!$A$7-'Anchor Points'!$A$6)*('Anchor Points'!$F$7-'Anchor Points'!$F$6),IF(A101&lt;=90,'Anchor Points'!$F$7+(A101-'Anchor Points'!$A$7)/('Anchor Points'!$A$8-'Anchor Points'!$A$7)*('Anchor Points'!$F$8-'Anchor Points'!$F$7),'Anchor Points'!$F$8+(A101-'Anchor Points'!$A$8)/('Anchor Points'!$A$9-'Anchor Points'!$A$8)*('Anchor Points'!$F$9-'Anchor Points'!$F$8)))))))</x:f>
        <x:v>51.5</x:v>
      </x:c>
      <x:c r="J101" s="28" t="n">
        <x:v>8</x:v>
      </x:c>
      <x:c r="K101" s="56" t="n">
        <x:v>9</x:v>
      </x:c>
      <x:c r="L101" s="52" t="n">
        <x:v>10</x:v>
      </x:c>
      <x:c r="M101" s="52" t="n">
        <x:v>55</x:v>
      </x:c>
      <x:c r="N101" s="56" t="n">
        <x:v>62</x:v>
      </x:c>
      <x:c r="O101" s="28" t="n">
        <x:v>70</x:v>
      </x:c>
      <x:c r="P101" s="28" t="n">
        <x:v>60</x:v>
      </x:c>
      <x:c r="Q101" s="55" t="n">
        <x:v>70</x:v>
      </x:c>
      <x:c r="R101" s="28" t="n">
        <x:v>80</x:v>
      </x:c>
      <x:c r="S101" s="28" t="n">
        <x:v>12</x:v>
      </x:c>
      <x:c r="T101" s="28" t="n">
        <x:v>15</x:v>
      </x:c>
      <x:c r="U101" s="55" t="n">
        <x:v>18</x:v>
      </x:c>
      <x:c r="V101" s="28" t="n">
        <x:v>1093</x:v>
      </x:c>
      <x:c r="W101" s="55" t="n">
        <x:v>1390</x:v>
      </x:c>
      <x:c r="X101" s="28" t="n">
        <x:v>1672</x:v>
      </x:c>
    </x:row>
    <x:row r="102">
      <x:c r="A102" s="30" t="n">
        <x:v>100</x:v>
      </x:c>
      <x:c r="B102" s="11" t="str">
        <x:f>IF(A102&lt;=15,"Seedling",IF(A102&lt;=25,"Establishment",IF(A102&lt;=40,"Vegetative Growth",IF(A102&lt;=55,"Flowering &amp; Initial Fruit Set",IF(A102&lt;=80,"Fruit Enlargement",IF(A102&lt;=95,"Ripening","Harvesting"))))))</x:f>
        <x:v>Harvesting</x:v>
      </x:c>
      <x:c r="C102" s="28" t="n">
        <x:f>IF(A102&lt;=15,'Anchor Points'!$B$2+(A102-'Anchor Points'!$A$2)/('Anchor Points'!$A$3-'Anchor Points'!$A$2)*('Anchor Points'!$B$3-'Anchor Points'!$B$2),IF(A102&lt;=25,'Anchor Points'!$B$3+(A102-'Anchor Points'!$A$3)/('Anchor Points'!$A$4-'Anchor Points'!$A$3)*('Anchor Points'!$B$4-'Anchor Points'!$B$3),IF(A102&lt;=40,'Anchor Points'!$B$4+(A102-'Anchor Points'!$A$4)/('Anchor Points'!$A$5-'Anchor Points'!$A$4)*('Anchor Points'!$B$5-'Anchor Points'!$B$4),IF(A102&lt;=55,'Anchor Points'!$B$5+(A102-'Anchor Points'!$A$5)/('Anchor Points'!$A$6-'Anchor Points'!$A$5)*('Anchor Points'!$B$6-'Anchor Points'!$B$5),IF(A102&lt;=70,'Anchor Points'!$B$6+(A102-'Anchor Points'!$A$6)/('Anchor Points'!$A$7-'Anchor Points'!$A$6)*('Anchor Points'!$B$7-'Anchor Points'!$B$6),IF(A102&lt;=90,'Anchor Points'!$B$7+(A102-'Anchor Points'!$A$7)/('Anchor Points'!$A$8-'Anchor Points'!$A$7)*('Anchor Points'!$B$8-'Anchor Points'!$B$7),'Anchor Points'!$B$8+(A102-'Anchor Points'!$A$8)/('Anchor Points'!$A$9-'Anchor Points'!$A$8)*('Anchor Points'!$B$9-'Anchor Points'!$B$8)))))))</x:f>
        <x:v>84.66666666666667</x:v>
      </x:c>
      <x:c r="D102" s="28" t="n">
        <x:f>IF(A102&lt;=15,'Anchor Points'!$C$2+(A102-'Anchor Points'!$A$2)/('Anchor Points'!$A$3-'Anchor Points'!$A$2)*('Anchor Points'!$C$3-'Anchor Points'!$C$2),IF(A102&lt;=25,'Anchor Points'!$C$3+(A102-'Anchor Points'!$A$3)/('Anchor Points'!$A$4-'Anchor Points'!$A$3)*('Anchor Points'!$C$4-'Anchor Points'!$C$3),IF(A102&lt;=40,'Anchor Points'!$C$4+(A102-'Anchor Points'!$A$4)/('Anchor Points'!$A$5-'Anchor Points'!$A$4)*('Anchor Points'!$C$5-'Anchor Points'!$C$4),IF(A102&lt;=55,'Anchor Points'!$C$5+(A102-'Anchor Points'!$A$5)/('Anchor Points'!$A$6-'Anchor Points'!$A$5)*('Anchor Points'!$C$6-'Anchor Points'!$C$5),IF(A102&lt;=70,'Anchor Points'!$C$6+(A102-'Anchor Points'!$A$6)/('Anchor Points'!$A$7-'Anchor Points'!$A$6)*('Anchor Points'!$C$7-'Anchor Points'!$C$6),IF(A102&lt;=90,'Anchor Points'!$C$7+(A102-'Anchor Points'!$A$7)/('Anchor Points'!$A$8-'Anchor Points'!$A$7)*('Anchor Points'!$C$8-'Anchor Points'!$C$7),'Anchor Points'!$C$8+(A102-'Anchor Points'!$A$8)/('Anchor Points'!$A$9-'Anchor Points'!$A$8)*('Anchor Points'!$C$9-'Anchor Points'!$C$8)))))))</x:f>
        <x:v>90</x:v>
      </x:c>
      <x:c r="E102" s="28" t="n">
        <x:f>IF(A102&lt;=15,'Anchor Points'!$D$2+(A102-'Anchor Points'!$A$2)/('Anchor Points'!$A$3-'Anchor Points'!$A$2)*('Anchor Points'!$D$3-'Anchor Points'!$D$2),IF(A102&lt;=25,'Anchor Points'!$D$3+(A102-'Anchor Points'!$A$3)/('Anchor Points'!$A$4-'Anchor Points'!$A$3)*('Anchor Points'!$D$4-'Anchor Points'!$D$3),IF(A102&lt;=40,'Anchor Points'!$D$4+(A102-'Anchor Points'!$A$4)/('Anchor Points'!$A$5-'Anchor Points'!$A$4)*('Anchor Points'!$D$5-'Anchor Points'!$D$4),IF(A102&lt;=55,'Anchor Points'!$D$5+(A102-'Anchor Points'!$A$5)/('Anchor Points'!$A$6-'Anchor Points'!$A$5)*('Anchor Points'!$D$6-'Anchor Points'!$D$5),IF(A102&lt;=70,'Anchor Points'!$D$6+(A102-'Anchor Points'!$A$6)/('Anchor Points'!$A$7-'Anchor Points'!$A$6)*('Anchor Points'!$D$7-'Anchor Points'!$D$6),IF(A102&lt;=90,'Anchor Points'!$D$7+(A102-'Anchor Points'!$A$7)/('Anchor Points'!$A$8-'Anchor Points'!$A$7)*('Anchor Points'!$D$8-'Anchor Points'!$D$7),'Anchor Points'!$D$8+(A102-'Anchor Points'!$A$8)/('Anchor Points'!$A$9-'Anchor Points'!$A$8)*('Anchor Points'!$D$9-'Anchor Points'!$D$8)))))))</x:f>
        <x:v>7</x:v>
      </x:c>
      <x:c r="F102" s="30" t="n">
        <x:f>ROUND(E102,0)</x:f>
        <x:v>7</x:v>
      </x:c>
      <x:c r="G102" s="28" t="n">
        <x:f>IF(A102&lt;=15,'Anchor Points'!$E$2+(A102-'Anchor Points'!$A$2)/('Anchor Points'!$A$3-'Anchor Points'!$A$2)*('Anchor Points'!$E$3-'Anchor Points'!$E$2),IF(A102&lt;=25,'Anchor Points'!$E$3+(A102-'Anchor Points'!$A$3)/('Anchor Points'!$A$4-'Anchor Points'!$A$3)*('Anchor Points'!$E$4-'Anchor Points'!$E$3),IF(A102&lt;=40,'Anchor Points'!$E$4+(A102-'Anchor Points'!$A$4)/('Anchor Points'!$A$5-'Anchor Points'!$A$4)*('Anchor Points'!$E$5-'Anchor Points'!$E$4),IF(A102&lt;=55,'Anchor Points'!$E$5+(A102-'Anchor Points'!$A$5)/('Anchor Points'!$A$6-'Anchor Points'!$A$5)*('Anchor Points'!$E$6-'Anchor Points'!$E$5),IF(A102&lt;=70,'Anchor Points'!$E$6+(A102-'Anchor Points'!$A$6)/('Anchor Points'!$A$7-'Anchor Points'!$A$6)*('Anchor Points'!$E$7-'Anchor Points'!$E$6),IF(A102&lt;=90,'Anchor Points'!$E$7+(A102-'Anchor Points'!$A$7)/('Anchor Points'!$A$8-'Anchor Points'!$A$7)*('Anchor Points'!$E$8-'Anchor Points'!$E$7),'Anchor Points'!$E$8+(A102-'Anchor Points'!$A$8)/('Anchor Points'!$A$9-'Anchor Points'!$A$8)*('Anchor Points'!$E$9-'Anchor Points'!$E$8)))))))</x:f>
        <x:v>10.666666666666666</x:v>
      </x:c>
      <x:c r="H102" s="30" t="n">
        <x:f>ROUND(G102,0)</x:f>
        <x:v>11</x:v>
      </x:c>
      <x:c r="I102" s="28" t="n">
        <x:f>IF(A102&lt;=15,'Anchor Points'!$F$2+(A102-'Anchor Points'!$A$2)/('Anchor Points'!$A$3-'Anchor Points'!$A$2)*('Anchor Points'!$F$3-'Anchor Points'!$F$2),IF(A102&lt;=25,'Anchor Points'!$F$3+(A102-'Anchor Points'!$A$3)/('Anchor Points'!$A$4-'Anchor Points'!$A$3)*('Anchor Points'!$F$4-'Anchor Points'!$F$3),IF(A102&lt;=40,'Anchor Points'!$F$4+(A102-'Anchor Points'!$A$4)/('Anchor Points'!$A$5-'Anchor Points'!$A$4)*('Anchor Points'!$F$5-'Anchor Points'!$F$4),IF(A102&lt;=55,'Anchor Points'!$F$5+(A102-'Anchor Points'!$A$5)/('Anchor Points'!$A$6-'Anchor Points'!$A$5)*('Anchor Points'!$F$6-'Anchor Points'!$F$5),IF(A102&lt;=70,'Anchor Points'!$F$6+(A102-'Anchor Points'!$A$6)/('Anchor Points'!$A$7-'Anchor Points'!$A$6)*('Anchor Points'!$F$7-'Anchor Points'!$F$6),IF(A102&lt;=90,'Anchor Points'!$F$7+(A102-'Anchor Points'!$A$7)/('Anchor Points'!$A$8-'Anchor Points'!$A$7)*('Anchor Points'!$F$8-'Anchor Points'!$F$7),'Anchor Points'!$F$8+(A102-'Anchor Points'!$A$8)/('Anchor Points'!$A$9-'Anchor Points'!$A$8)*('Anchor Points'!$F$9-'Anchor Points'!$F$8)))))))</x:f>
        <x:v>51.666666666666664</x:v>
      </x:c>
      <x:c r="J102" s="28" t="n">
        <x:v>8</x:v>
      </x:c>
      <x:c r="K102" s="56" t="n">
        <x:v>9</x:v>
      </x:c>
      <x:c r="L102" s="52" t="n">
        <x:v>10</x:v>
      </x:c>
      <x:c r="M102" s="52" t="n">
        <x:v>55</x:v>
      </x:c>
      <x:c r="N102" s="56" t="n">
        <x:v>62</x:v>
      </x:c>
      <x:c r="O102" s="28" t="n">
        <x:v>70</x:v>
      </x:c>
      <x:c r="P102" s="28" t="n">
        <x:v>60</x:v>
      </x:c>
      <x:c r="Q102" s="55" t="n">
        <x:v>70</x:v>
      </x:c>
      <x:c r="R102" s="28" t="n">
        <x:v>80</x:v>
      </x:c>
      <x:c r="S102" s="28" t="n">
        <x:v>12</x:v>
      </x:c>
      <x:c r="T102" s="28" t="n">
        <x:v>15</x:v>
      </x:c>
      <x:c r="U102" s="55" t="n">
        <x:v>18</x:v>
      </x:c>
      <x:c r="V102" s="28" t="n">
        <x:v>1105</x:v>
      </x:c>
      <x:c r="W102" s="55" t="n">
        <x:v>1405</x:v>
      </x:c>
      <x:c r="X102" s="28" t="n">
        <x:v>1690</x:v>
      </x:c>
    </x:row>
    <x:row r="103">
      <x:c r="A103" s="30" t="n">
        <x:v>101</x:v>
      </x:c>
      <x:c r="B103" s="11" t="str">
        <x:f>IF(A103&lt;=15,"Seedling",IF(A103&lt;=25,"Establishment",IF(A103&lt;=40,"Vegetative Growth",IF(A103&lt;=55,"Flowering &amp; Initial Fruit Set",IF(A103&lt;=80,"Fruit Enlargement",IF(A103&lt;=95,"Ripening","Harvesting"))))))</x:f>
        <x:v>Harvesting</x:v>
      </x:c>
      <x:c r="C103" s="28" t="n">
        <x:f>IF(A103&lt;=15,'Anchor Points'!$B$2+(A103-'Anchor Points'!$A$2)/('Anchor Points'!$A$3-'Anchor Points'!$A$2)*('Anchor Points'!$B$3-'Anchor Points'!$B$2),IF(A103&lt;=25,'Anchor Points'!$B$3+(A103-'Anchor Points'!$A$3)/('Anchor Points'!$A$4-'Anchor Points'!$A$3)*('Anchor Points'!$B$4-'Anchor Points'!$B$3),IF(A103&lt;=40,'Anchor Points'!$B$4+(A103-'Anchor Points'!$A$4)/('Anchor Points'!$A$5-'Anchor Points'!$A$4)*('Anchor Points'!$B$5-'Anchor Points'!$B$4),IF(A103&lt;=55,'Anchor Points'!$B$5+(A103-'Anchor Points'!$A$5)/('Anchor Points'!$A$6-'Anchor Points'!$A$5)*('Anchor Points'!$B$6-'Anchor Points'!$B$5),IF(A103&lt;=70,'Anchor Points'!$B$6+(A103-'Anchor Points'!$A$6)/('Anchor Points'!$A$7-'Anchor Points'!$A$6)*('Anchor Points'!$B$7-'Anchor Points'!$B$6),IF(A103&lt;=90,'Anchor Points'!$B$7+(A103-'Anchor Points'!$A$7)/('Anchor Points'!$A$8-'Anchor Points'!$A$7)*('Anchor Points'!$B$8-'Anchor Points'!$B$7),'Anchor Points'!$B$8+(A103-'Anchor Points'!$A$8)/('Anchor Points'!$A$9-'Anchor Points'!$A$8)*('Anchor Points'!$B$9-'Anchor Points'!$B$8)))))))</x:f>
        <x:v>84.93333333333334</x:v>
      </x:c>
      <x:c r="D103" s="28" t="n">
        <x:f>IF(A103&lt;=15,'Anchor Points'!$C$2+(A103-'Anchor Points'!$A$2)/('Anchor Points'!$A$3-'Anchor Points'!$A$2)*('Anchor Points'!$C$3-'Anchor Points'!$C$2),IF(A103&lt;=25,'Anchor Points'!$C$3+(A103-'Anchor Points'!$A$3)/('Anchor Points'!$A$4-'Anchor Points'!$A$3)*('Anchor Points'!$C$4-'Anchor Points'!$C$3),IF(A103&lt;=40,'Anchor Points'!$C$4+(A103-'Anchor Points'!$A$4)/('Anchor Points'!$A$5-'Anchor Points'!$A$4)*('Anchor Points'!$C$5-'Anchor Points'!$C$4),IF(A103&lt;=55,'Anchor Points'!$C$5+(A103-'Anchor Points'!$A$5)/('Anchor Points'!$A$6-'Anchor Points'!$A$5)*('Anchor Points'!$C$6-'Anchor Points'!$C$5),IF(A103&lt;=70,'Anchor Points'!$C$6+(A103-'Anchor Points'!$A$6)/('Anchor Points'!$A$7-'Anchor Points'!$A$6)*('Anchor Points'!$C$7-'Anchor Points'!$C$6),IF(A103&lt;=90,'Anchor Points'!$C$7+(A103-'Anchor Points'!$A$7)/('Anchor Points'!$A$8-'Anchor Points'!$A$7)*('Anchor Points'!$C$8-'Anchor Points'!$C$7),'Anchor Points'!$C$8+(A103-'Anchor Points'!$A$8)/('Anchor Points'!$A$9-'Anchor Points'!$A$8)*('Anchor Points'!$C$9-'Anchor Points'!$C$8)))))))</x:f>
        <x:v>90.5</x:v>
      </x:c>
      <x:c r="E103" s="28" t="n">
        <x:f>IF(A103&lt;=15,'Anchor Points'!$D$2+(A103-'Anchor Points'!$A$2)/('Anchor Points'!$A$3-'Anchor Points'!$A$2)*('Anchor Points'!$D$3-'Anchor Points'!$D$2),IF(A103&lt;=25,'Anchor Points'!$D$3+(A103-'Anchor Points'!$A$3)/('Anchor Points'!$A$4-'Anchor Points'!$A$3)*('Anchor Points'!$D$4-'Anchor Points'!$D$3),IF(A103&lt;=40,'Anchor Points'!$D$4+(A103-'Anchor Points'!$A$4)/('Anchor Points'!$A$5-'Anchor Points'!$A$4)*('Anchor Points'!$D$5-'Anchor Points'!$D$4),IF(A103&lt;=55,'Anchor Points'!$D$5+(A103-'Anchor Points'!$A$5)/('Anchor Points'!$A$6-'Anchor Points'!$A$5)*('Anchor Points'!$D$6-'Anchor Points'!$D$5),IF(A103&lt;=70,'Anchor Points'!$D$6+(A103-'Anchor Points'!$A$6)/('Anchor Points'!$A$7-'Anchor Points'!$A$6)*('Anchor Points'!$D$7-'Anchor Points'!$D$6),IF(A103&lt;=90,'Anchor Points'!$D$7+(A103-'Anchor Points'!$A$7)/('Anchor Points'!$A$8-'Anchor Points'!$A$7)*('Anchor Points'!$D$8-'Anchor Points'!$D$7),'Anchor Points'!$D$8+(A103-'Anchor Points'!$A$8)/('Anchor Points'!$A$9-'Anchor Points'!$A$8)*('Anchor Points'!$D$9-'Anchor Points'!$D$8)))))))</x:f>
        <x:v>6.9</x:v>
      </x:c>
      <x:c r="F103" s="30" t="n">
        <x:f>ROUND(E103,0)</x:f>
        <x:v>7</x:v>
      </x:c>
      <x:c r="G103" s="28" t="n">
        <x:f>IF(A103&lt;=15,'Anchor Points'!$E$2+(A103-'Anchor Points'!$A$2)/('Anchor Points'!$A$3-'Anchor Points'!$A$2)*('Anchor Points'!$E$3-'Anchor Points'!$E$2),IF(A103&lt;=25,'Anchor Points'!$E$3+(A103-'Anchor Points'!$A$3)/('Anchor Points'!$A$4-'Anchor Points'!$A$3)*('Anchor Points'!$E$4-'Anchor Points'!$E$3),IF(A103&lt;=40,'Anchor Points'!$E$4+(A103-'Anchor Points'!$A$4)/('Anchor Points'!$A$5-'Anchor Points'!$A$4)*('Anchor Points'!$E$5-'Anchor Points'!$E$4),IF(A103&lt;=55,'Anchor Points'!$E$5+(A103-'Anchor Points'!$A$5)/('Anchor Points'!$A$6-'Anchor Points'!$A$5)*('Anchor Points'!$E$6-'Anchor Points'!$E$5),IF(A103&lt;=70,'Anchor Points'!$E$6+(A103-'Anchor Points'!$A$6)/('Anchor Points'!$A$7-'Anchor Points'!$A$6)*('Anchor Points'!$E$7-'Anchor Points'!$E$6),IF(A103&lt;=90,'Anchor Points'!$E$7+(A103-'Anchor Points'!$A$7)/('Anchor Points'!$A$8-'Anchor Points'!$A$7)*('Anchor Points'!$E$8-'Anchor Points'!$E$7),'Anchor Points'!$E$8+(A103-'Anchor Points'!$A$8)/('Anchor Points'!$A$9-'Anchor Points'!$A$8)*('Anchor Points'!$E$9-'Anchor Points'!$E$8)))))))</x:f>
        <x:v>10.733333333333333</x:v>
      </x:c>
      <x:c r="H103" s="30" t="n">
        <x:f>ROUND(G103,0)</x:f>
        <x:v>11</x:v>
      </x:c>
      <x:c r="I103" s="28" t="n">
        <x:f>IF(A103&lt;=15,'Anchor Points'!$F$2+(A103-'Anchor Points'!$A$2)/('Anchor Points'!$A$3-'Anchor Points'!$A$2)*('Anchor Points'!$F$3-'Anchor Points'!$F$2),IF(A103&lt;=25,'Anchor Points'!$F$3+(A103-'Anchor Points'!$A$3)/('Anchor Points'!$A$4-'Anchor Points'!$A$3)*('Anchor Points'!$F$4-'Anchor Points'!$F$3),IF(A103&lt;=40,'Anchor Points'!$F$4+(A103-'Anchor Points'!$A$4)/('Anchor Points'!$A$5-'Anchor Points'!$A$4)*('Anchor Points'!$F$5-'Anchor Points'!$F$4),IF(A103&lt;=55,'Anchor Points'!$F$5+(A103-'Anchor Points'!$A$5)/('Anchor Points'!$A$6-'Anchor Points'!$A$5)*('Anchor Points'!$F$6-'Anchor Points'!$F$5),IF(A103&lt;=70,'Anchor Points'!$F$6+(A103-'Anchor Points'!$A$6)/('Anchor Points'!$A$7-'Anchor Points'!$A$6)*('Anchor Points'!$F$7-'Anchor Points'!$F$6),IF(A103&lt;=90,'Anchor Points'!$F$7+(A103-'Anchor Points'!$A$7)/('Anchor Points'!$A$8-'Anchor Points'!$A$7)*('Anchor Points'!$F$8-'Anchor Points'!$F$7),'Anchor Points'!$F$8+(A103-'Anchor Points'!$A$8)/('Anchor Points'!$A$9-'Anchor Points'!$A$8)*('Anchor Points'!$F$9-'Anchor Points'!$F$8)))))))</x:f>
        <x:v>51.833333333333336</x:v>
      </x:c>
      <x:c r="J103" s="28" t="n">
        <x:v>8</x:v>
      </x:c>
      <x:c r="K103" s="56" t="n">
        <x:v>9</x:v>
      </x:c>
      <x:c r="L103" s="52" t="n">
        <x:v>10</x:v>
      </x:c>
      <x:c r="M103" s="52" t="n">
        <x:v>55</x:v>
      </x:c>
      <x:c r="N103" s="56" t="n">
        <x:v>62</x:v>
      </x:c>
      <x:c r="O103" s="28" t="n">
        <x:v>70</x:v>
      </x:c>
      <x:c r="P103" s="28" t="n">
        <x:v>60</x:v>
      </x:c>
      <x:c r="Q103" s="55" t="n">
        <x:v>70</x:v>
      </x:c>
      <x:c r="R103" s="28" t="n">
        <x:v>80</x:v>
      </x:c>
      <x:c r="S103" s="28" t="n">
        <x:v>12</x:v>
      </x:c>
      <x:c r="T103" s="28" t="n">
        <x:v>15</x:v>
      </x:c>
      <x:c r="U103" s="55" t="n">
        <x:v>18</x:v>
      </x:c>
      <x:c r="V103" s="28" t="n">
        <x:v>1117</x:v>
      </x:c>
      <x:c r="W103" s="55" t="n">
        <x:v>1420</x:v>
      </x:c>
      <x:c r="X103" s="28" t="n">
        <x:v>1708</x:v>
      </x:c>
    </x:row>
    <x:row r="104">
      <x:c r="A104" s="30" t="n">
        <x:v>102</x:v>
      </x:c>
      <x:c r="B104" s="11" t="str">
        <x:f>IF(A104&lt;=15,"Seedling",IF(A104&lt;=25,"Establishment",IF(A104&lt;=40,"Vegetative Growth",IF(A104&lt;=55,"Flowering &amp; Initial Fruit Set",IF(A104&lt;=80,"Fruit Enlargement",IF(A104&lt;=95,"Ripening","Harvesting"))))))</x:f>
        <x:v>Harvesting</x:v>
      </x:c>
      <x:c r="C104" s="28" t="n">
        <x:f>IF(A104&lt;=15,'Anchor Points'!$B$2+(A104-'Anchor Points'!$A$2)/('Anchor Points'!$A$3-'Anchor Points'!$A$2)*('Anchor Points'!$B$3-'Anchor Points'!$B$2),IF(A104&lt;=25,'Anchor Points'!$B$3+(A104-'Anchor Points'!$A$3)/('Anchor Points'!$A$4-'Anchor Points'!$A$3)*('Anchor Points'!$B$4-'Anchor Points'!$B$3),IF(A104&lt;=40,'Anchor Points'!$B$4+(A104-'Anchor Points'!$A$4)/('Anchor Points'!$A$5-'Anchor Points'!$A$4)*('Anchor Points'!$B$5-'Anchor Points'!$B$4),IF(A104&lt;=55,'Anchor Points'!$B$5+(A104-'Anchor Points'!$A$5)/('Anchor Points'!$A$6-'Anchor Points'!$A$5)*('Anchor Points'!$B$6-'Anchor Points'!$B$5),IF(A104&lt;=70,'Anchor Points'!$B$6+(A104-'Anchor Points'!$A$6)/('Anchor Points'!$A$7-'Anchor Points'!$A$6)*('Anchor Points'!$B$7-'Anchor Points'!$B$6),IF(A104&lt;=90,'Anchor Points'!$B$7+(A104-'Anchor Points'!$A$7)/('Anchor Points'!$A$8-'Anchor Points'!$A$7)*('Anchor Points'!$B$8-'Anchor Points'!$B$7),'Anchor Points'!$B$8+(A104-'Anchor Points'!$A$8)/('Anchor Points'!$A$9-'Anchor Points'!$A$8)*('Anchor Points'!$B$9-'Anchor Points'!$B$8)))))))</x:f>
        <x:v>85.2</x:v>
      </x:c>
      <x:c r="D104" s="28" t="n">
        <x:f>IF(A104&lt;=15,'Anchor Points'!$C$2+(A104-'Anchor Points'!$A$2)/('Anchor Points'!$A$3-'Anchor Points'!$A$2)*('Anchor Points'!$C$3-'Anchor Points'!$C$2),IF(A104&lt;=25,'Anchor Points'!$C$3+(A104-'Anchor Points'!$A$3)/('Anchor Points'!$A$4-'Anchor Points'!$A$3)*('Anchor Points'!$C$4-'Anchor Points'!$C$3),IF(A104&lt;=40,'Anchor Points'!$C$4+(A104-'Anchor Points'!$A$4)/('Anchor Points'!$A$5-'Anchor Points'!$A$4)*('Anchor Points'!$C$5-'Anchor Points'!$C$4),IF(A104&lt;=55,'Anchor Points'!$C$5+(A104-'Anchor Points'!$A$5)/('Anchor Points'!$A$6-'Anchor Points'!$A$5)*('Anchor Points'!$C$6-'Anchor Points'!$C$5),IF(A104&lt;=70,'Anchor Points'!$C$6+(A104-'Anchor Points'!$A$6)/('Anchor Points'!$A$7-'Anchor Points'!$A$6)*('Anchor Points'!$C$7-'Anchor Points'!$C$6),IF(A104&lt;=90,'Anchor Points'!$C$7+(A104-'Anchor Points'!$A$7)/('Anchor Points'!$A$8-'Anchor Points'!$A$7)*('Anchor Points'!$C$8-'Anchor Points'!$C$7),'Anchor Points'!$C$8+(A104-'Anchor Points'!$A$8)/('Anchor Points'!$A$9-'Anchor Points'!$A$8)*('Anchor Points'!$C$9-'Anchor Points'!$C$8)))))))</x:f>
        <x:v>91</x:v>
      </x:c>
      <x:c r="E104" s="28" t="n">
        <x:f>IF(A104&lt;=15,'Anchor Points'!$D$2+(A104-'Anchor Points'!$A$2)/('Anchor Points'!$A$3-'Anchor Points'!$A$2)*('Anchor Points'!$D$3-'Anchor Points'!$D$2),IF(A104&lt;=25,'Anchor Points'!$D$3+(A104-'Anchor Points'!$A$3)/('Anchor Points'!$A$4-'Anchor Points'!$A$3)*('Anchor Points'!$D$4-'Anchor Points'!$D$3),IF(A104&lt;=40,'Anchor Points'!$D$4+(A104-'Anchor Points'!$A$4)/('Anchor Points'!$A$5-'Anchor Points'!$A$4)*('Anchor Points'!$D$5-'Anchor Points'!$D$4),IF(A104&lt;=55,'Anchor Points'!$D$5+(A104-'Anchor Points'!$A$5)/('Anchor Points'!$A$6-'Anchor Points'!$A$5)*('Anchor Points'!$D$6-'Anchor Points'!$D$5),IF(A104&lt;=70,'Anchor Points'!$D$6+(A104-'Anchor Points'!$A$6)/('Anchor Points'!$A$7-'Anchor Points'!$A$6)*('Anchor Points'!$D$7-'Anchor Points'!$D$6),IF(A104&lt;=90,'Anchor Points'!$D$7+(A104-'Anchor Points'!$A$7)/('Anchor Points'!$A$8-'Anchor Points'!$A$7)*('Anchor Points'!$D$8-'Anchor Points'!$D$7),'Anchor Points'!$D$8+(A104-'Anchor Points'!$A$8)/('Anchor Points'!$A$9-'Anchor Points'!$A$8)*('Anchor Points'!$D$9-'Anchor Points'!$D$8)))))))</x:f>
        <x:v>6.8</x:v>
      </x:c>
      <x:c r="F104" s="30" t="n">
        <x:f>ROUND(E104,0)</x:f>
        <x:v>7</x:v>
      </x:c>
      <x:c r="G104" s="28" t="n">
        <x:f>IF(A104&lt;=15,'Anchor Points'!$E$2+(A104-'Anchor Points'!$A$2)/('Anchor Points'!$A$3-'Anchor Points'!$A$2)*('Anchor Points'!$E$3-'Anchor Points'!$E$2),IF(A104&lt;=25,'Anchor Points'!$E$3+(A104-'Anchor Points'!$A$3)/('Anchor Points'!$A$4-'Anchor Points'!$A$3)*('Anchor Points'!$E$4-'Anchor Points'!$E$3),IF(A104&lt;=40,'Anchor Points'!$E$4+(A104-'Anchor Points'!$A$4)/('Anchor Points'!$A$5-'Anchor Points'!$A$4)*('Anchor Points'!$E$5-'Anchor Points'!$E$4),IF(A104&lt;=55,'Anchor Points'!$E$5+(A104-'Anchor Points'!$A$5)/('Anchor Points'!$A$6-'Anchor Points'!$A$5)*('Anchor Points'!$E$6-'Anchor Points'!$E$5),IF(A104&lt;=70,'Anchor Points'!$E$6+(A104-'Anchor Points'!$A$6)/('Anchor Points'!$A$7-'Anchor Points'!$A$6)*('Anchor Points'!$E$7-'Anchor Points'!$E$6),IF(A104&lt;=90,'Anchor Points'!$E$7+(A104-'Anchor Points'!$A$7)/('Anchor Points'!$A$8-'Anchor Points'!$A$7)*('Anchor Points'!$E$8-'Anchor Points'!$E$7),'Anchor Points'!$E$8+(A104-'Anchor Points'!$A$8)/('Anchor Points'!$A$9-'Anchor Points'!$A$8)*('Anchor Points'!$E$9-'Anchor Points'!$E$8)))))))</x:f>
        <x:v>10.8</x:v>
      </x:c>
      <x:c r="H104" s="30" t="n">
        <x:f>ROUND(G104,0)</x:f>
        <x:v>11</x:v>
      </x:c>
      <x:c r="I104" s="28" t="n">
        <x:f>IF(A104&lt;=15,'Anchor Points'!$F$2+(A104-'Anchor Points'!$A$2)/('Anchor Points'!$A$3-'Anchor Points'!$A$2)*('Anchor Points'!$F$3-'Anchor Points'!$F$2),IF(A104&lt;=25,'Anchor Points'!$F$3+(A104-'Anchor Points'!$A$3)/('Anchor Points'!$A$4-'Anchor Points'!$A$3)*('Anchor Points'!$F$4-'Anchor Points'!$F$3),IF(A104&lt;=40,'Anchor Points'!$F$4+(A104-'Anchor Points'!$A$4)/('Anchor Points'!$A$5-'Anchor Points'!$A$4)*('Anchor Points'!$F$5-'Anchor Points'!$F$4),IF(A104&lt;=55,'Anchor Points'!$F$5+(A104-'Anchor Points'!$A$5)/('Anchor Points'!$A$6-'Anchor Points'!$A$5)*('Anchor Points'!$F$6-'Anchor Points'!$F$5),IF(A104&lt;=70,'Anchor Points'!$F$6+(A104-'Anchor Points'!$A$6)/('Anchor Points'!$A$7-'Anchor Points'!$A$6)*('Anchor Points'!$F$7-'Anchor Points'!$F$6),IF(A104&lt;=90,'Anchor Points'!$F$7+(A104-'Anchor Points'!$A$7)/('Anchor Points'!$A$8-'Anchor Points'!$A$7)*('Anchor Points'!$F$8-'Anchor Points'!$F$7),'Anchor Points'!$F$8+(A104-'Anchor Points'!$A$8)/('Anchor Points'!$A$9-'Anchor Points'!$A$8)*('Anchor Points'!$F$9-'Anchor Points'!$F$8)))))))</x:f>
        <x:v>52</x:v>
      </x:c>
      <x:c r="J104" s="28" t="n">
        <x:v>8</x:v>
      </x:c>
      <x:c r="K104" s="56" t="n">
        <x:v>9</x:v>
      </x:c>
      <x:c r="L104" s="52" t="n">
        <x:v>10</x:v>
      </x:c>
      <x:c r="M104" s="52" t="n">
        <x:v>55</x:v>
      </x:c>
      <x:c r="N104" s="56" t="n">
        <x:v>62</x:v>
      </x:c>
      <x:c r="O104" s="28" t="n">
        <x:v>70</x:v>
      </x:c>
      <x:c r="P104" s="28" t="n">
        <x:v>60</x:v>
      </x:c>
      <x:c r="Q104" s="55" t="n">
        <x:v>70</x:v>
      </x:c>
      <x:c r="R104" s="28" t="n">
        <x:v>80</x:v>
      </x:c>
      <x:c r="S104" s="28" t="n">
        <x:v>12</x:v>
      </x:c>
      <x:c r="T104" s="28" t="n">
        <x:v>15</x:v>
      </x:c>
      <x:c r="U104" s="55" t="n">
        <x:v>18</x:v>
      </x:c>
      <x:c r="V104" s="28" t="n">
        <x:v>1129</x:v>
      </x:c>
      <x:c r="W104" s="55" t="n">
        <x:v>1435</x:v>
      </x:c>
      <x:c r="X104" s="28" t="n">
        <x:v>1726</x:v>
      </x:c>
    </x:row>
    <x:row r="105">
      <x:c r="A105" s="30" t="n">
        <x:v>103</x:v>
      </x:c>
      <x:c r="B105" s="11" t="str">
        <x:f>IF(A105&lt;=15,"Seedling",IF(A105&lt;=25,"Establishment",IF(A105&lt;=40,"Vegetative Growth",IF(A105&lt;=55,"Flowering &amp; Initial Fruit Set",IF(A105&lt;=80,"Fruit Enlargement",IF(A105&lt;=95,"Ripening","Harvesting"))))))</x:f>
        <x:v>Harvesting</x:v>
      </x:c>
      <x:c r="C105" s="28" t="n">
        <x:f>IF(A105&lt;=15,'Anchor Points'!$B$2+(A105-'Anchor Points'!$A$2)/('Anchor Points'!$A$3-'Anchor Points'!$A$2)*('Anchor Points'!$B$3-'Anchor Points'!$B$2),IF(A105&lt;=25,'Anchor Points'!$B$3+(A105-'Anchor Points'!$A$3)/('Anchor Points'!$A$4-'Anchor Points'!$A$3)*('Anchor Points'!$B$4-'Anchor Points'!$B$3),IF(A105&lt;=40,'Anchor Points'!$B$4+(A105-'Anchor Points'!$A$4)/('Anchor Points'!$A$5-'Anchor Points'!$A$4)*('Anchor Points'!$B$5-'Anchor Points'!$B$4),IF(A105&lt;=55,'Anchor Points'!$B$5+(A105-'Anchor Points'!$A$5)/('Anchor Points'!$A$6-'Anchor Points'!$A$5)*('Anchor Points'!$B$6-'Anchor Points'!$B$5),IF(A105&lt;=70,'Anchor Points'!$B$6+(A105-'Anchor Points'!$A$6)/('Anchor Points'!$A$7-'Anchor Points'!$A$6)*('Anchor Points'!$B$7-'Anchor Points'!$B$6),IF(A105&lt;=90,'Anchor Points'!$B$7+(A105-'Anchor Points'!$A$7)/('Anchor Points'!$A$8-'Anchor Points'!$A$7)*('Anchor Points'!$B$8-'Anchor Points'!$B$7),'Anchor Points'!$B$8+(A105-'Anchor Points'!$A$8)/('Anchor Points'!$A$9-'Anchor Points'!$A$8)*('Anchor Points'!$B$9-'Anchor Points'!$B$8)))))))</x:f>
        <x:v>85.46666666666667</x:v>
      </x:c>
      <x:c r="D105" s="28" t="n">
        <x:f>IF(A105&lt;=15,'Anchor Points'!$C$2+(A105-'Anchor Points'!$A$2)/('Anchor Points'!$A$3-'Anchor Points'!$A$2)*('Anchor Points'!$C$3-'Anchor Points'!$C$2),IF(A105&lt;=25,'Anchor Points'!$C$3+(A105-'Anchor Points'!$A$3)/('Anchor Points'!$A$4-'Anchor Points'!$A$3)*('Anchor Points'!$C$4-'Anchor Points'!$C$3),IF(A105&lt;=40,'Anchor Points'!$C$4+(A105-'Anchor Points'!$A$4)/('Anchor Points'!$A$5-'Anchor Points'!$A$4)*('Anchor Points'!$C$5-'Anchor Points'!$C$4),IF(A105&lt;=55,'Anchor Points'!$C$5+(A105-'Anchor Points'!$A$5)/('Anchor Points'!$A$6-'Anchor Points'!$A$5)*('Anchor Points'!$C$6-'Anchor Points'!$C$5),IF(A105&lt;=70,'Anchor Points'!$C$6+(A105-'Anchor Points'!$A$6)/('Anchor Points'!$A$7-'Anchor Points'!$A$6)*('Anchor Points'!$C$7-'Anchor Points'!$C$6),IF(A105&lt;=90,'Anchor Points'!$C$7+(A105-'Anchor Points'!$A$7)/('Anchor Points'!$A$8-'Anchor Points'!$A$7)*('Anchor Points'!$C$8-'Anchor Points'!$C$7),'Anchor Points'!$C$8+(A105-'Anchor Points'!$A$8)/('Anchor Points'!$A$9-'Anchor Points'!$A$8)*('Anchor Points'!$C$9-'Anchor Points'!$C$8)))))))</x:f>
        <x:v>91.5</x:v>
      </x:c>
      <x:c r="E105" s="28" t="n">
        <x:f>IF(A105&lt;=15,'Anchor Points'!$D$2+(A105-'Anchor Points'!$A$2)/('Anchor Points'!$A$3-'Anchor Points'!$A$2)*('Anchor Points'!$D$3-'Anchor Points'!$D$2),IF(A105&lt;=25,'Anchor Points'!$D$3+(A105-'Anchor Points'!$A$3)/('Anchor Points'!$A$4-'Anchor Points'!$A$3)*('Anchor Points'!$D$4-'Anchor Points'!$D$3),IF(A105&lt;=40,'Anchor Points'!$D$4+(A105-'Anchor Points'!$A$4)/('Anchor Points'!$A$5-'Anchor Points'!$A$4)*('Anchor Points'!$D$5-'Anchor Points'!$D$4),IF(A105&lt;=55,'Anchor Points'!$D$5+(A105-'Anchor Points'!$A$5)/('Anchor Points'!$A$6-'Anchor Points'!$A$5)*('Anchor Points'!$D$6-'Anchor Points'!$D$5),IF(A105&lt;=70,'Anchor Points'!$D$6+(A105-'Anchor Points'!$A$6)/('Anchor Points'!$A$7-'Anchor Points'!$A$6)*('Anchor Points'!$D$7-'Anchor Points'!$D$6),IF(A105&lt;=90,'Anchor Points'!$D$7+(A105-'Anchor Points'!$A$7)/('Anchor Points'!$A$8-'Anchor Points'!$A$7)*('Anchor Points'!$D$8-'Anchor Points'!$D$7),'Anchor Points'!$D$8+(A105-'Anchor Points'!$A$8)/('Anchor Points'!$A$9-'Anchor Points'!$A$8)*('Anchor Points'!$D$9-'Anchor Points'!$D$8)))))))</x:f>
        <x:v>6.7</x:v>
      </x:c>
      <x:c r="F105" s="30" t="n">
        <x:f>ROUND(E105,0)</x:f>
        <x:v>7</x:v>
      </x:c>
      <x:c r="G105" s="28" t="n">
        <x:f>IF(A105&lt;=15,'Anchor Points'!$E$2+(A105-'Anchor Points'!$A$2)/('Anchor Points'!$A$3-'Anchor Points'!$A$2)*('Anchor Points'!$E$3-'Anchor Points'!$E$2),IF(A105&lt;=25,'Anchor Points'!$E$3+(A105-'Anchor Points'!$A$3)/('Anchor Points'!$A$4-'Anchor Points'!$A$3)*('Anchor Points'!$E$4-'Anchor Points'!$E$3),IF(A105&lt;=40,'Anchor Points'!$E$4+(A105-'Anchor Points'!$A$4)/('Anchor Points'!$A$5-'Anchor Points'!$A$4)*('Anchor Points'!$E$5-'Anchor Points'!$E$4),IF(A105&lt;=55,'Anchor Points'!$E$5+(A105-'Anchor Points'!$A$5)/('Anchor Points'!$A$6-'Anchor Points'!$A$5)*('Anchor Points'!$E$6-'Anchor Points'!$E$5),IF(A105&lt;=70,'Anchor Points'!$E$6+(A105-'Anchor Points'!$A$6)/('Anchor Points'!$A$7-'Anchor Points'!$A$6)*('Anchor Points'!$E$7-'Anchor Points'!$E$6),IF(A105&lt;=90,'Anchor Points'!$E$7+(A105-'Anchor Points'!$A$7)/('Anchor Points'!$A$8-'Anchor Points'!$A$7)*('Anchor Points'!$E$8-'Anchor Points'!$E$7),'Anchor Points'!$E$8+(A105-'Anchor Points'!$A$8)/('Anchor Points'!$A$9-'Anchor Points'!$A$8)*('Anchor Points'!$E$9-'Anchor Points'!$E$8)))))))</x:f>
        <x:v>10.866666666666667</x:v>
      </x:c>
      <x:c r="H105" s="30" t="n">
        <x:f>ROUND(G105,0)</x:f>
        <x:v>11</x:v>
      </x:c>
      <x:c r="I105" s="28" t="n">
        <x:f>IF(A105&lt;=15,'Anchor Points'!$F$2+(A105-'Anchor Points'!$A$2)/('Anchor Points'!$A$3-'Anchor Points'!$A$2)*('Anchor Points'!$F$3-'Anchor Points'!$F$2),IF(A105&lt;=25,'Anchor Points'!$F$3+(A105-'Anchor Points'!$A$3)/('Anchor Points'!$A$4-'Anchor Points'!$A$3)*('Anchor Points'!$F$4-'Anchor Points'!$F$3),IF(A105&lt;=40,'Anchor Points'!$F$4+(A105-'Anchor Points'!$A$4)/('Anchor Points'!$A$5-'Anchor Points'!$A$4)*('Anchor Points'!$F$5-'Anchor Points'!$F$4),IF(A105&lt;=55,'Anchor Points'!$F$5+(A105-'Anchor Points'!$A$5)/('Anchor Points'!$A$6-'Anchor Points'!$A$5)*('Anchor Points'!$F$6-'Anchor Points'!$F$5),IF(A105&lt;=70,'Anchor Points'!$F$6+(A105-'Anchor Points'!$A$6)/('Anchor Points'!$A$7-'Anchor Points'!$A$6)*('Anchor Points'!$F$7-'Anchor Points'!$F$6),IF(A105&lt;=90,'Anchor Points'!$F$7+(A105-'Anchor Points'!$A$7)/('Anchor Points'!$A$8-'Anchor Points'!$A$7)*('Anchor Points'!$F$8-'Anchor Points'!$F$7),'Anchor Points'!$F$8+(A105-'Anchor Points'!$A$8)/('Anchor Points'!$A$9-'Anchor Points'!$A$8)*('Anchor Points'!$F$9-'Anchor Points'!$F$8)))))))</x:f>
        <x:v>52.166666666666664</x:v>
      </x:c>
      <x:c r="J105" s="28" t="n">
        <x:v>8</x:v>
      </x:c>
      <x:c r="K105" s="56" t="n">
        <x:v>9</x:v>
      </x:c>
      <x:c r="L105" s="52" t="n">
        <x:v>10</x:v>
      </x:c>
      <x:c r="M105" s="52" t="n">
        <x:v>55</x:v>
      </x:c>
      <x:c r="N105" s="56" t="n">
        <x:v>62</x:v>
      </x:c>
      <x:c r="O105" s="28" t="n">
        <x:v>70</x:v>
      </x:c>
      <x:c r="P105" s="28" t="n">
        <x:v>60</x:v>
      </x:c>
      <x:c r="Q105" s="55" t="n">
        <x:v>70</x:v>
      </x:c>
      <x:c r="R105" s="28" t="n">
        <x:v>80</x:v>
      </x:c>
      <x:c r="S105" s="28" t="n">
        <x:v>12</x:v>
      </x:c>
      <x:c r="T105" s="28" t="n">
        <x:v>15</x:v>
      </x:c>
      <x:c r="U105" s="55" t="n">
        <x:v>18</x:v>
      </x:c>
      <x:c r="V105" s="28" t="n">
        <x:v>1141</x:v>
      </x:c>
      <x:c r="W105" s="55" t="n">
        <x:v>1450</x:v>
      </x:c>
      <x:c r="X105" s="28" t="n">
        <x:v>1744</x:v>
      </x:c>
    </x:row>
    <x:row r="106">
      <x:c r="A106" s="30" t="n">
        <x:v>104</x:v>
      </x:c>
      <x:c r="B106" s="11" t="str">
        <x:f>IF(A106&lt;=15,"Seedling",IF(A106&lt;=25,"Establishment",IF(A106&lt;=40,"Vegetative Growth",IF(A106&lt;=55,"Flowering &amp; Initial Fruit Set",IF(A106&lt;=80,"Fruit Enlargement",IF(A106&lt;=95,"Ripening","Harvesting"))))))</x:f>
        <x:v>Harvesting</x:v>
      </x:c>
      <x:c r="C106" s="28" t="n">
        <x:f>IF(A106&lt;=15,'Anchor Points'!$B$2+(A106-'Anchor Points'!$A$2)/('Anchor Points'!$A$3-'Anchor Points'!$A$2)*('Anchor Points'!$B$3-'Anchor Points'!$B$2),IF(A106&lt;=25,'Anchor Points'!$B$3+(A106-'Anchor Points'!$A$3)/('Anchor Points'!$A$4-'Anchor Points'!$A$3)*('Anchor Points'!$B$4-'Anchor Points'!$B$3),IF(A106&lt;=40,'Anchor Points'!$B$4+(A106-'Anchor Points'!$A$4)/('Anchor Points'!$A$5-'Anchor Points'!$A$4)*('Anchor Points'!$B$5-'Anchor Points'!$B$4),IF(A106&lt;=55,'Anchor Points'!$B$5+(A106-'Anchor Points'!$A$5)/('Anchor Points'!$A$6-'Anchor Points'!$A$5)*('Anchor Points'!$B$6-'Anchor Points'!$B$5),IF(A106&lt;=70,'Anchor Points'!$B$6+(A106-'Anchor Points'!$A$6)/('Anchor Points'!$A$7-'Anchor Points'!$A$6)*('Anchor Points'!$B$7-'Anchor Points'!$B$6),IF(A106&lt;=90,'Anchor Points'!$B$7+(A106-'Anchor Points'!$A$7)/('Anchor Points'!$A$8-'Anchor Points'!$A$7)*('Anchor Points'!$B$8-'Anchor Points'!$B$7),'Anchor Points'!$B$8+(A106-'Anchor Points'!$A$8)/('Anchor Points'!$A$9-'Anchor Points'!$A$8)*('Anchor Points'!$B$9-'Anchor Points'!$B$8)))))))</x:f>
        <x:v>85.73333333333333</x:v>
      </x:c>
      <x:c r="D106" s="28" t="n">
        <x:f>IF(A106&lt;=15,'Anchor Points'!$C$2+(A106-'Anchor Points'!$A$2)/('Anchor Points'!$A$3-'Anchor Points'!$A$2)*('Anchor Points'!$C$3-'Anchor Points'!$C$2),IF(A106&lt;=25,'Anchor Points'!$C$3+(A106-'Anchor Points'!$A$3)/('Anchor Points'!$A$4-'Anchor Points'!$A$3)*('Anchor Points'!$C$4-'Anchor Points'!$C$3),IF(A106&lt;=40,'Anchor Points'!$C$4+(A106-'Anchor Points'!$A$4)/('Anchor Points'!$A$5-'Anchor Points'!$A$4)*('Anchor Points'!$C$5-'Anchor Points'!$C$4),IF(A106&lt;=55,'Anchor Points'!$C$5+(A106-'Anchor Points'!$A$5)/('Anchor Points'!$A$6-'Anchor Points'!$A$5)*('Anchor Points'!$C$6-'Anchor Points'!$C$5),IF(A106&lt;=70,'Anchor Points'!$C$6+(A106-'Anchor Points'!$A$6)/('Anchor Points'!$A$7-'Anchor Points'!$A$6)*('Anchor Points'!$C$7-'Anchor Points'!$C$6),IF(A106&lt;=90,'Anchor Points'!$C$7+(A106-'Anchor Points'!$A$7)/('Anchor Points'!$A$8-'Anchor Points'!$A$7)*('Anchor Points'!$C$8-'Anchor Points'!$C$7),'Anchor Points'!$C$8+(A106-'Anchor Points'!$A$8)/('Anchor Points'!$A$9-'Anchor Points'!$A$8)*('Anchor Points'!$C$9-'Anchor Points'!$C$8)))))))</x:f>
        <x:v>92</x:v>
      </x:c>
      <x:c r="E106" s="28" t="n">
        <x:f>IF(A106&lt;=15,'Anchor Points'!$D$2+(A106-'Anchor Points'!$A$2)/('Anchor Points'!$A$3-'Anchor Points'!$A$2)*('Anchor Points'!$D$3-'Anchor Points'!$D$2),IF(A106&lt;=25,'Anchor Points'!$D$3+(A106-'Anchor Points'!$A$3)/('Anchor Points'!$A$4-'Anchor Points'!$A$3)*('Anchor Points'!$D$4-'Anchor Points'!$D$3),IF(A106&lt;=40,'Anchor Points'!$D$4+(A106-'Anchor Points'!$A$4)/('Anchor Points'!$A$5-'Anchor Points'!$A$4)*('Anchor Points'!$D$5-'Anchor Points'!$D$4),IF(A106&lt;=55,'Anchor Points'!$D$5+(A106-'Anchor Points'!$A$5)/('Anchor Points'!$A$6-'Anchor Points'!$A$5)*('Anchor Points'!$D$6-'Anchor Points'!$D$5),IF(A106&lt;=70,'Anchor Points'!$D$6+(A106-'Anchor Points'!$A$6)/('Anchor Points'!$A$7-'Anchor Points'!$A$6)*('Anchor Points'!$D$7-'Anchor Points'!$D$6),IF(A106&lt;=90,'Anchor Points'!$D$7+(A106-'Anchor Points'!$A$7)/('Anchor Points'!$A$8-'Anchor Points'!$A$7)*('Anchor Points'!$D$8-'Anchor Points'!$D$7),'Anchor Points'!$D$8+(A106-'Anchor Points'!$A$8)/('Anchor Points'!$A$9-'Anchor Points'!$A$8)*('Anchor Points'!$D$9-'Anchor Points'!$D$8)))))))</x:f>
        <x:v>6.6</x:v>
      </x:c>
      <x:c r="F106" s="30" t="n">
        <x:f>ROUND(E106,0)</x:f>
        <x:v>7</x:v>
      </x:c>
      <x:c r="G106" s="28" t="n">
        <x:f>IF(A106&lt;=15,'Anchor Points'!$E$2+(A106-'Anchor Points'!$A$2)/('Anchor Points'!$A$3-'Anchor Points'!$A$2)*('Anchor Points'!$E$3-'Anchor Points'!$E$2),IF(A106&lt;=25,'Anchor Points'!$E$3+(A106-'Anchor Points'!$A$3)/('Anchor Points'!$A$4-'Anchor Points'!$A$3)*('Anchor Points'!$E$4-'Anchor Points'!$E$3),IF(A106&lt;=40,'Anchor Points'!$E$4+(A106-'Anchor Points'!$A$4)/('Anchor Points'!$A$5-'Anchor Points'!$A$4)*('Anchor Points'!$E$5-'Anchor Points'!$E$4),IF(A106&lt;=55,'Anchor Points'!$E$5+(A106-'Anchor Points'!$A$5)/('Anchor Points'!$A$6-'Anchor Points'!$A$5)*('Anchor Points'!$E$6-'Anchor Points'!$E$5),IF(A106&lt;=70,'Anchor Points'!$E$6+(A106-'Anchor Points'!$A$6)/('Anchor Points'!$A$7-'Anchor Points'!$A$6)*('Anchor Points'!$E$7-'Anchor Points'!$E$6),IF(A106&lt;=90,'Anchor Points'!$E$7+(A106-'Anchor Points'!$A$7)/('Anchor Points'!$A$8-'Anchor Points'!$A$7)*('Anchor Points'!$E$8-'Anchor Points'!$E$7),'Anchor Points'!$E$8+(A106-'Anchor Points'!$A$8)/('Anchor Points'!$A$9-'Anchor Points'!$A$8)*('Anchor Points'!$E$9-'Anchor Points'!$E$8)))))))</x:f>
        <x:v>10.933333333333334</x:v>
      </x:c>
      <x:c r="H106" s="30" t="n">
        <x:f>ROUND(G106,0)</x:f>
        <x:v>11</x:v>
      </x:c>
      <x:c r="I106" s="28" t="n">
        <x:f>IF(A106&lt;=15,'Anchor Points'!$F$2+(A106-'Anchor Points'!$A$2)/('Anchor Points'!$A$3-'Anchor Points'!$A$2)*('Anchor Points'!$F$3-'Anchor Points'!$F$2),IF(A106&lt;=25,'Anchor Points'!$F$3+(A106-'Anchor Points'!$A$3)/('Anchor Points'!$A$4-'Anchor Points'!$A$3)*('Anchor Points'!$F$4-'Anchor Points'!$F$3),IF(A106&lt;=40,'Anchor Points'!$F$4+(A106-'Anchor Points'!$A$4)/('Anchor Points'!$A$5-'Anchor Points'!$A$4)*('Anchor Points'!$F$5-'Anchor Points'!$F$4),IF(A106&lt;=55,'Anchor Points'!$F$5+(A106-'Anchor Points'!$A$5)/('Anchor Points'!$A$6-'Anchor Points'!$A$5)*('Anchor Points'!$F$6-'Anchor Points'!$F$5),IF(A106&lt;=70,'Anchor Points'!$F$6+(A106-'Anchor Points'!$A$6)/('Anchor Points'!$A$7-'Anchor Points'!$A$6)*('Anchor Points'!$F$7-'Anchor Points'!$F$6),IF(A106&lt;=90,'Anchor Points'!$F$7+(A106-'Anchor Points'!$A$7)/('Anchor Points'!$A$8-'Anchor Points'!$A$7)*('Anchor Points'!$F$8-'Anchor Points'!$F$7),'Anchor Points'!$F$8+(A106-'Anchor Points'!$A$8)/('Anchor Points'!$A$9-'Anchor Points'!$A$8)*('Anchor Points'!$F$9-'Anchor Points'!$F$8)))))))</x:f>
        <x:v>52.333333333333336</x:v>
      </x:c>
      <x:c r="J106" s="28" t="n">
        <x:v>8</x:v>
      </x:c>
      <x:c r="K106" s="56" t="n">
        <x:v>9</x:v>
      </x:c>
      <x:c r="L106" s="52" t="n">
        <x:v>10</x:v>
      </x:c>
      <x:c r="M106" s="52" t="n">
        <x:v>55</x:v>
      </x:c>
      <x:c r="N106" s="56" t="n">
        <x:v>62</x:v>
      </x:c>
      <x:c r="O106" s="28" t="n">
        <x:v>70</x:v>
      </x:c>
      <x:c r="P106" s="28" t="n">
        <x:v>60</x:v>
      </x:c>
      <x:c r="Q106" s="55" t="n">
        <x:v>70</x:v>
      </x:c>
      <x:c r="R106" s="28" t="n">
        <x:v>80</x:v>
      </x:c>
      <x:c r="S106" s="28" t="n">
        <x:v>12</x:v>
      </x:c>
      <x:c r="T106" s="28" t="n">
        <x:v>15</x:v>
      </x:c>
      <x:c r="U106" s="55" t="n">
        <x:v>18</x:v>
      </x:c>
      <x:c r="V106" s="28" t="n">
        <x:v>1153</x:v>
      </x:c>
      <x:c r="W106" s="55" t="n">
        <x:v>1465</x:v>
      </x:c>
      <x:c r="X106" s="28" t="n">
        <x:v>1762</x:v>
      </x:c>
    </x:row>
    <x:row r="107">
      <x:c r="A107" s="30" t="n">
        <x:v>105</x:v>
      </x:c>
      <x:c r="B107" s="11" t="str">
        <x:f>IF(A107&lt;=15,"Seedling",IF(A107&lt;=25,"Establishment",IF(A107&lt;=40,"Vegetative Growth",IF(A107&lt;=55,"Flowering &amp; Initial Fruit Set",IF(A107&lt;=80,"Fruit Enlargement",IF(A107&lt;=95,"Ripening","Harvesting"))))))</x:f>
        <x:v>Harvesting</x:v>
      </x:c>
      <x:c r="C107" s="28" t="n">
        <x:f>IF(A107&lt;=15,'Anchor Points'!$B$2+(A107-'Anchor Points'!$A$2)/('Anchor Points'!$A$3-'Anchor Points'!$A$2)*('Anchor Points'!$B$3-'Anchor Points'!$B$2),IF(A107&lt;=25,'Anchor Points'!$B$3+(A107-'Anchor Points'!$A$3)/('Anchor Points'!$A$4-'Anchor Points'!$A$3)*('Anchor Points'!$B$4-'Anchor Points'!$B$3),IF(A107&lt;=40,'Anchor Points'!$B$4+(A107-'Anchor Points'!$A$4)/('Anchor Points'!$A$5-'Anchor Points'!$A$4)*('Anchor Points'!$B$5-'Anchor Points'!$B$4),IF(A107&lt;=55,'Anchor Points'!$B$5+(A107-'Anchor Points'!$A$5)/('Anchor Points'!$A$6-'Anchor Points'!$A$5)*('Anchor Points'!$B$6-'Anchor Points'!$B$5),IF(A107&lt;=70,'Anchor Points'!$B$6+(A107-'Anchor Points'!$A$6)/('Anchor Points'!$A$7-'Anchor Points'!$A$6)*('Anchor Points'!$B$7-'Anchor Points'!$B$6),IF(A107&lt;=90,'Anchor Points'!$B$7+(A107-'Anchor Points'!$A$7)/('Anchor Points'!$A$8-'Anchor Points'!$A$7)*('Anchor Points'!$B$8-'Anchor Points'!$B$7),'Anchor Points'!$B$8+(A107-'Anchor Points'!$A$8)/('Anchor Points'!$A$9-'Anchor Points'!$A$8)*('Anchor Points'!$B$9-'Anchor Points'!$B$8)))))))</x:f>
        <x:v>86</x:v>
      </x:c>
      <x:c r="D107" s="28" t="n">
        <x:f>IF(A107&lt;=15,'Anchor Points'!$C$2+(A107-'Anchor Points'!$A$2)/('Anchor Points'!$A$3-'Anchor Points'!$A$2)*('Anchor Points'!$C$3-'Anchor Points'!$C$2),IF(A107&lt;=25,'Anchor Points'!$C$3+(A107-'Anchor Points'!$A$3)/('Anchor Points'!$A$4-'Anchor Points'!$A$3)*('Anchor Points'!$C$4-'Anchor Points'!$C$3),IF(A107&lt;=40,'Anchor Points'!$C$4+(A107-'Anchor Points'!$A$4)/('Anchor Points'!$A$5-'Anchor Points'!$A$4)*('Anchor Points'!$C$5-'Anchor Points'!$C$4),IF(A107&lt;=55,'Anchor Points'!$C$5+(A107-'Anchor Points'!$A$5)/('Anchor Points'!$A$6-'Anchor Points'!$A$5)*('Anchor Points'!$C$6-'Anchor Points'!$C$5),IF(A107&lt;=70,'Anchor Points'!$C$6+(A107-'Anchor Points'!$A$6)/('Anchor Points'!$A$7-'Anchor Points'!$A$6)*('Anchor Points'!$C$7-'Anchor Points'!$C$6),IF(A107&lt;=90,'Anchor Points'!$C$7+(A107-'Anchor Points'!$A$7)/('Anchor Points'!$A$8-'Anchor Points'!$A$7)*('Anchor Points'!$C$8-'Anchor Points'!$C$7),'Anchor Points'!$C$8+(A107-'Anchor Points'!$A$8)/('Anchor Points'!$A$9-'Anchor Points'!$A$8)*('Anchor Points'!$C$9-'Anchor Points'!$C$8)))))))</x:f>
        <x:v>92.5</x:v>
      </x:c>
      <x:c r="E107" s="28" t="n">
        <x:f>IF(A107&lt;=15,'Anchor Points'!$D$2+(A107-'Anchor Points'!$A$2)/('Anchor Points'!$A$3-'Anchor Points'!$A$2)*('Anchor Points'!$D$3-'Anchor Points'!$D$2),IF(A107&lt;=25,'Anchor Points'!$D$3+(A107-'Anchor Points'!$A$3)/('Anchor Points'!$A$4-'Anchor Points'!$A$3)*('Anchor Points'!$D$4-'Anchor Points'!$D$3),IF(A107&lt;=40,'Anchor Points'!$D$4+(A107-'Anchor Points'!$A$4)/('Anchor Points'!$A$5-'Anchor Points'!$A$4)*('Anchor Points'!$D$5-'Anchor Points'!$D$4),IF(A107&lt;=55,'Anchor Points'!$D$5+(A107-'Anchor Points'!$A$5)/('Anchor Points'!$A$6-'Anchor Points'!$A$5)*('Anchor Points'!$D$6-'Anchor Points'!$D$5),IF(A107&lt;=70,'Anchor Points'!$D$6+(A107-'Anchor Points'!$A$6)/('Anchor Points'!$A$7-'Anchor Points'!$A$6)*('Anchor Points'!$D$7-'Anchor Points'!$D$6),IF(A107&lt;=90,'Anchor Points'!$D$7+(A107-'Anchor Points'!$A$7)/('Anchor Points'!$A$8-'Anchor Points'!$A$7)*('Anchor Points'!$D$8-'Anchor Points'!$D$7),'Anchor Points'!$D$8+(A107-'Anchor Points'!$A$8)/('Anchor Points'!$A$9-'Anchor Points'!$A$8)*('Anchor Points'!$D$9-'Anchor Points'!$D$8)))))))</x:f>
        <x:v>6.5</x:v>
      </x:c>
      <x:c r="F107" s="30" t="n">
        <x:f>ROUND(E107,0)</x:f>
        <x:v>7</x:v>
      </x:c>
      <x:c r="G107" s="28" t="n">
        <x:f>IF(A107&lt;=15,'Anchor Points'!$E$2+(A107-'Anchor Points'!$A$2)/('Anchor Points'!$A$3-'Anchor Points'!$A$2)*('Anchor Points'!$E$3-'Anchor Points'!$E$2),IF(A107&lt;=25,'Anchor Points'!$E$3+(A107-'Anchor Points'!$A$3)/('Anchor Points'!$A$4-'Anchor Points'!$A$3)*('Anchor Points'!$E$4-'Anchor Points'!$E$3),IF(A107&lt;=40,'Anchor Points'!$E$4+(A107-'Anchor Points'!$A$4)/('Anchor Points'!$A$5-'Anchor Points'!$A$4)*('Anchor Points'!$E$5-'Anchor Points'!$E$4),IF(A107&lt;=55,'Anchor Points'!$E$5+(A107-'Anchor Points'!$A$5)/('Anchor Points'!$A$6-'Anchor Points'!$A$5)*('Anchor Points'!$E$6-'Anchor Points'!$E$5),IF(A107&lt;=70,'Anchor Points'!$E$6+(A107-'Anchor Points'!$A$6)/('Anchor Points'!$A$7-'Anchor Points'!$A$6)*('Anchor Points'!$E$7-'Anchor Points'!$E$6),IF(A107&lt;=90,'Anchor Points'!$E$7+(A107-'Anchor Points'!$A$7)/('Anchor Points'!$A$8-'Anchor Points'!$A$7)*('Anchor Points'!$E$8-'Anchor Points'!$E$7),'Anchor Points'!$E$8+(A107-'Anchor Points'!$A$8)/('Anchor Points'!$A$9-'Anchor Points'!$A$8)*('Anchor Points'!$E$9-'Anchor Points'!$E$8)))))))</x:f>
        <x:v>11</x:v>
      </x:c>
      <x:c r="H107" s="30" t="n">
        <x:f>ROUND(G107,0)</x:f>
        <x:v>11</x:v>
      </x:c>
      <x:c r="I107" s="28" t="n">
        <x:f>IF(A107&lt;=15,'Anchor Points'!$F$2+(A107-'Anchor Points'!$A$2)/('Anchor Points'!$A$3-'Anchor Points'!$A$2)*('Anchor Points'!$F$3-'Anchor Points'!$F$2),IF(A107&lt;=25,'Anchor Points'!$F$3+(A107-'Anchor Points'!$A$3)/('Anchor Points'!$A$4-'Anchor Points'!$A$3)*('Anchor Points'!$F$4-'Anchor Points'!$F$3),IF(A107&lt;=40,'Anchor Points'!$F$4+(A107-'Anchor Points'!$A$4)/('Anchor Points'!$A$5-'Anchor Points'!$A$4)*('Anchor Points'!$F$5-'Anchor Points'!$F$4),IF(A107&lt;=55,'Anchor Points'!$F$5+(A107-'Anchor Points'!$A$5)/('Anchor Points'!$A$6-'Anchor Points'!$A$5)*('Anchor Points'!$F$6-'Anchor Points'!$F$5),IF(A107&lt;=70,'Anchor Points'!$F$6+(A107-'Anchor Points'!$A$6)/('Anchor Points'!$A$7-'Anchor Points'!$A$6)*('Anchor Points'!$F$7-'Anchor Points'!$F$6),IF(A107&lt;=90,'Anchor Points'!$F$7+(A107-'Anchor Points'!$A$7)/('Anchor Points'!$A$8-'Anchor Points'!$A$7)*('Anchor Points'!$F$8-'Anchor Points'!$F$7),'Anchor Points'!$F$8+(A107-'Anchor Points'!$A$8)/('Anchor Points'!$A$9-'Anchor Points'!$A$8)*('Anchor Points'!$F$9-'Anchor Points'!$F$8)))))))</x:f>
        <x:v>52.5</x:v>
      </x:c>
      <x:c r="J107" s="28" t="n">
        <x:v>8</x:v>
      </x:c>
      <x:c r="K107" s="56" t="n">
        <x:v>9</x:v>
      </x:c>
      <x:c r="L107" s="52" t="n">
        <x:v>10</x:v>
      </x:c>
      <x:c r="M107" s="52" t="n">
        <x:v>55</x:v>
      </x:c>
      <x:c r="N107" s="56" t="n">
        <x:v>62</x:v>
      </x:c>
      <x:c r="O107" s="28" t="n">
        <x:v>70</x:v>
      </x:c>
      <x:c r="P107" s="28" t="n">
        <x:v>60</x:v>
      </x:c>
      <x:c r="Q107" s="55" t="n">
        <x:v>70</x:v>
      </x:c>
      <x:c r="R107" s="28" t="n">
        <x:v>80</x:v>
      </x:c>
      <x:c r="S107" s="28" t="n">
        <x:v>12</x:v>
      </x:c>
      <x:c r="T107" s="28" t="n">
        <x:v>15</x:v>
      </x:c>
      <x:c r="U107" s="55" t="n">
        <x:v>18</x:v>
      </x:c>
      <x:c r="V107" s="28" t="n">
        <x:v>1165</x:v>
      </x:c>
      <x:c r="W107" s="55" t="n">
        <x:v>1480</x:v>
      </x:c>
      <x:c r="X107" s="28" t="n">
        <x:v>1780</x:v>
      </x:c>
    </x:row>
    <x:row r="108">
      <x:c r="A108" s="30" t="n">
        <x:v>106</x:v>
      </x:c>
      <x:c r="B108" s="11" t="str">
        <x:f>IF(A108&lt;=15,"Seedling",IF(A108&lt;=25,"Establishment",IF(A108&lt;=40,"Vegetative Growth",IF(A108&lt;=55,"Flowering &amp; Initial Fruit Set",IF(A108&lt;=80,"Fruit Enlargement",IF(A108&lt;=95,"Ripening","Harvesting"))))))</x:f>
        <x:v>Harvesting</x:v>
      </x:c>
      <x:c r="C108" s="28" t="n">
        <x:f>IF(A108&lt;=15,'Anchor Points'!$B$2+(A108-'Anchor Points'!$A$2)/('Anchor Points'!$A$3-'Anchor Points'!$A$2)*('Anchor Points'!$B$3-'Anchor Points'!$B$2),IF(A108&lt;=25,'Anchor Points'!$B$3+(A108-'Anchor Points'!$A$3)/('Anchor Points'!$A$4-'Anchor Points'!$A$3)*('Anchor Points'!$B$4-'Anchor Points'!$B$3),IF(A108&lt;=40,'Anchor Points'!$B$4+(A108-'Anchor Points'!$A$4)/('Anchor Points'!$A$5-'Anchor Points'!$A$4)*('Anchor Points'!$B$5-'Anchor Points'!$B$4),IF(A108&lt;=55,'Anchor Points'!$B$5+(A108-'Anchor Points'!$A$5)/('Anchor Points'!$A$6-'Anchor Points'!$A$5)*('Anchor Points'!$B$6-'Anchor Points'!$B$5),IF(A108&lt;=70,'Anchor Points'!$B$6+(A108-'Anchor Points'!$A$6)/('Anchor Points'!$A$7-'Anchor Points'!$A$6)*('Anchor Points'!$B$7-'Anchor Points'!$B$6),IF(A108&lt;=90,'Anchor Points'!$B$7+(A108-'Anchor Points'!$A$7)/('Anchor Points'!$A$8-'Anchor Points'!$A$7)*('Anchor Points'!$B$8-'Anchor Points'!$B$7),'Anchor Points'!$B$8+(A108-'Anchor Points'!$A$8)/('Anchor Points'!$A$9-'Anchor Points'!$A$8)*('Anchor Points'!$B$9-'Anchor Points'!$B$8)))))))</x:f>
        <x:v>86.26666666666667</x:v>
      </x:c>
      <x:c r="D108" s="28" t="n">
        <x:f>IF(A108&lt;=15,'Anchor Points'!$C$2+(A108-'Anchor Points'!$A$2)/('Anchor Points'!$A$3-'Anchor Points'!$A$2)*('Anchor Points'!$C$3-'Anchor Points'!$C$2),IF(A108&lt;=25,'Anchor Points'!$C$3+(A108-'Anchor Points'!$A$3)/('Anchor Points'!$A$4-'Anchor Points'!$A$3)*('Anchor Points'!$C$4-'Anchor Points'!$C$3),IF(A108&lt;=40,'Anchor Points'!$C$4+(A108-'Anchor Points'!$A$4)/('Anchor Points'!$A$5-'Anchor Points'!$A$4)*('Anchor Points'!$C$5-'Anchor Points'!$C$4),IF(A108&lt;=55,'Anchor Points'!$C$5+(A108-'Anchor Points'!$A$5)/('Anchor Points'!$A$6-'Anchor Points'!$A$5)*('Anchor Points'!$C$6-'Anchor Points'!$C$5),IF(A108&lt;=70,'Anchor Points'!$C$6+(A108-'Anchor Points'!$A$6)/('Anchor Points'!$A$7-'Anchor Points'!$A$6)*('Anchor Points'!$C$7-'Anchor Points'!$C$6),IF(A108&lt;=90,'Anchor Points'!$C$7+(A108-'Anchor Points'!$A$7)/('Anchor Points'!$A$8-'Anchor Points'!$A$7)*('Anchor Points'!$C$8-'Anchor Points'!$C$7),'Anchor Points'!$C$8+(A108-'Anchor Points'!$A$8)/('Anchor Points'!$A$9-'Anchor Points'!$A$8)*('Anchor Points'!$C$9-'Anchor Points'!$C$8)))))))</x:f>
        <x:v>93</x:v>
      </x:c>
      <x:c r="E108" s="28" t="n">
        <x:f>IF(A108&lt;=15,'Anchor Points'!$D$2+(A108-'Anchor Points'!$A$2)/('Anchor Points'!$A$3-'Anchor Points'!$A$2)*('Anchor Points'!$D$3-'Anchor Points'!$D$2),IF(A108&lt;=25,'Anchor Points'!$D$3+(A108-'Anchor Points'!$A$3)/('Anchor Points'!$A$4-'Anchor Points'!$A$3)*('Anchor Points'!$D$4-'Anchor Points'!$D$3),IF(A108&lt;=40,'Anchor Points'!$D$4+(A108-'Anchor Points'!$A$4)/('Anchor Points'!$A$5-'Anchor Points'!$A$4)*('Anchor Points'!$D$5-'Anchor Points'!$D$4),IF(A108&lt;=55,'Anchor Points'!$D$5+(A108-'Anchor Points'!$A$5)/('Anchor Points'!$A$6-'Anchor Points'!$A$5)*('Anchor Points'!$D$6-'Anchor Points'!$D$5),IF(A108&lt;=70,'Anchor Points'!$D$6+(A108-'Anchor Points'!$A$6)/('Anchor Points'!$A$7-'Anchor Points'!$A$6)*('Anchor Points'!$D$7-'Anchor Points'!$D$6),IF(A108&lt;=90,'Anchor Points'!$D$7+(A108-'Anchor Points'!$A$7)/('Anchor Points'!$A$8-'Anchor Points'!$A$7)*('Anchor Points'!$D$8-'Anchor Points'!$D$7),'Anchor Points'!$D$8+(A108-'Anchor Points'!$A$8)/('Anchor Points'!$A$9-'Anchor Points'!$A$8)*('Anchor Points'!$D$9-'Anchor Points'!$D$8)))))))</x:f>
        <x:v>6.4</x:v>
      </x:c>
      <x:c r="F108" s="30" t="n">
        <x:f>ROUND(E108,0)</x:f>
        <x:v>6</x:v>
      </x:c>
      <x:c r="G108" s="28" t="n">
        <x:f>IF(A108&lt;=15,'Anchor Points'!$E$2+(A108-'Anchor Points'!$A$2)/('Anchor Points'!$A$3-'Anchor Points'!$A$2)*('Anchor Points'!$E$3-'Anchor Points'!$E$2),IF(A108&lt;=25,'Anchor Points'!$E$3+(A108-'Anchor Points'!$A$3)/('Anchor Points'!$A$4-'Anchor Points'!$A$3)*('Anchor Points'!$E$4-'Anchor Points'!$E$3),IF(A108&lt;=40,'Anchor Points'!$E$4+(A108-'Anchor Points'!$A$4)/('Anchor Points'!$A$5-'Anchor Points'!$A$4)*('Anchor Points'!$E$5-'Anchor Points'!$E$4),IF(A108&lt;=55,'Anchor Points'!$E$5+(A108-'Anchor Points'!$A$5)/('Anchor Points'!$A$6-'Anchor Points'!$A$5)*('Anchor Points'!$E$6-'Anchor Points'!$E$5),IF(A108&lt;=70,'Anchor Points'!$E$6+(A108-'Anchor Points'!$A$6)/('Anchor Points'!$A$7-'Anchor Points'!$A$6)*('Anchor Points'!$E$7-'Anchor Points'!$E$6),IF(A108&lt;=90,'Anchor Points'!$E$7+(A108-'Anchor Points'!$A$7)/('Anchor Points'!$A$8-'Anchor Points'!$A$7)*('Anchor Points'!$E$8-'Anchor Points'!$E$7),'Anchor Points'!$E$8+(A108-'Anchor Points'!$A$8)/('Anchor Points'!$A$9-'Anchor Points'!$A$8)*('Anchor Points'!$E$9-'Anchor Points'!$E$8)))))))</x:f>
        <x:v>11.066666666666666</x:v>
      </x:c>
      <x:c r="H108" s="30" t="n">
        <x:f>ROUND(G108,0)</x:f>
        <x:v>11</x:v>
      </x:c>
      <x:c r="I108" s="28" t="n">
        <x:f>IF(A108&lt;=15,'Anchor Points'!$F$2+(A108-'Anchor Points'!$A$2)/('Anchor Points'!$A$3-'Anchor Points'!$A$2)*('Anchor Points'!$F$3-'Anchor Points'!$F$2),IF(A108&lt;=25,'Anchor Points'!$F$3+(A108-'Anchor Points'!$A$3)/('Anchor Points'!$A$4-'Anchor Points'!$A$3)*('Anchor Points'!$F$4-'Anchor Points'!$F$3),IF(A108&lt;=40,'Anchor Points'!$F$4+(A108-'Anchor Points'!$A$4)/('Anchor Points'!$A$5-'Anchor Points'!$A$4)*('Anchor Points'!$F$5-'Anchor Points'!$F$4),IF(A108&lt;=55,'Anchor Points'!$F$5+(A108-'Anchor Points'!$A$5)/('Anchor Points'!$A$6-'Anchor Points'!$A$5)*('Anchor Points'!$F$6-'Anchor Points'!$F$5),IF(A108&lt;=70,'Anchor Points'!$F$6+(A108-'Anchor Points'!$A$6)/('Anchor Points'!$A$7-'Anchor Points'!$A$6)*('Anchor Points'!$F$7-'Anchor Points'!$F$6),IF(A108&lt;=90,'Anchor Points'!$F$7+(A108-'Anchor Points'!$A$7)/('Anchor Points'!$A$8-'Anchor Points'!$A$7)*('Anchor Points'!$F$8-'Anchor Points'!$F$7),'Anchor Points'!$F$8+(A108-'Anchor Points'!$A$8)/('Anchor Points'!$A$9-'Anchor Points'!$A$8)*('Anchor Points'!$F$9-'Anchor Points'!$F$8)))))))</x:f>
        <x:v>52.666666666666664</x:v>
      </x:c>
      <x:c r="J108" s="28" t="n">
        <x:v>8</x:v>
      </x:c>
      <x:c r="K108" s="56" t="n">
        <x:v>9</x:v>
      </x:c>
      <x:c r="L108" s="52" t="n">
        <x:v>10</x:v>
      </x:c>
      <x:c r="M108" s="52" t="n">
        <x:v>55</x:v>
      </x:c>
      <x:c r="N108" s="56" t="n">
        <x:v>62</x:v>
      </x:c>
      <x:c r="O108" s="28" t="n">
        <x:v>70</x:v>
      </x:c>
      <x:c r="P108" s="28" t="n">
        <x:v>60</x:v>
      </x:c>
      <x:c r="Q108" s="55" t="n">
        <x:v>70</x:v>
      </x:c>
      <x:c r="R108" s="28" t="n">
        <x:v>80</x:v>
      </x:c>
      <x:c r="S108" s="28" t="n">
        <x:v>12</x:v>
      </x:c>
      <x:c r="T108" s="28" t="n">
        <x:v>15</x:v>
      </x:c>
      <x:c r="U108" s="55" t="n">
        <x:v>18</x:v>
      </x:c>
      <x:c r="V108" s="28" t="n">
        <x:v>1177</x:v>
      </x:c>
      <x:c r="W108" s="55" t="n">
        <x:v>1495</x:v>
      </x:c>
      <x:c r="X108" s="28" t="n">
        <x:v>1798</x:v>
      </x:c>
    </x:row>
    <x:row r="109">
      <x:c r="A109" s="30" t="n">
        <x:v>107</x:v>
      </x:c>
      <x:c r="B109" s="11" t="str">
        <x:f>IF(A109&lt;=15,"Seedling",IF(A109&lt;=25,"Establishment",IF(A109&lt;=40,"Vegetative Growth",IF(A109&lt;=55,"Flowering &amp; Initial Fruit Set",IF(A109&lt;=80,"Fruit Enlargement",IF(A109&lt;=95,"Ripening","Harvesting"))))))</x:f>
        <x:v>Harvesting</x:v>
      </x:c>
      <x:c r="C109" s="28" t="n">
        <x:f>IF(A109&lt;=15,'Anchor Points'!$B$2+(A109-'Anchor Points'!$A$2)/('Anchor Points'!$A$3-'Anchor Points'!$A$2)*('Anchor Points'!$B$3-'Anchor Points'!$B$2),IF(A109&lt;=25,'Anchor Points'!$B$3+(A109-'Anchor Points'!$A$3)/('Anchor Points'!$A$4-'Anchor Points'!$A$3)*('Anchor Points'!$B$4-'Anchor Points'!$B$3),IF(A109&lt;=40,'Anchor Points'!$B$4+(A109-'Anchor Points'!$A$4)/('Anchor Points'!$A$5-'Anchor Points'!$A$4)*('Anchor Points'!$B$5-'Anchor Points'!$B$4),IF(A109&lt;=55,'Anchor Points'!$B$5+(A109-'Anchor Points'!$A$5)/('Anchor Points'!$A$6-'Anchor Points'!$A$5)*('Anchor Points'!$B$6-'Anchor Points'!$B$5),IF(A109&lt;=70,'Anchor Points'!$B$6+(A109-'Anchor Points'!$A$6)/('Anchor Points'!$A$7-'Anchor Points'!$A$6)*('Anchor Points'!$B$7-'Anchor Points'!$B$6),IF(A109&lt;=90,'Anchor Points'!$B$7+(A109-'Anchor Points'!$A$7)/('Anchor Points'!$A$8-'Anchor Points'!$A$7)*('Anchor Points'!$B$8-'Anchor Points'!$B$7),'Anchor Points'!$B$8+(A109-'Anchor Points'!$A$8)/('Anchor Points'!$A$9-'Anchor Points'!$A$8)*('Anchor Points'!$B$9-'Anchor Points'!$B$8)))))))</x:f>
        <x:v>86.53333333333333</x:v>
      </x:c>
      <x:c r="D109" s="28" t="n">
        <x:f>IF(A109&lt;=15,'Anchor Points'!$C$2+(A109-'Anchor Points'!$A$2)/('Anchor Points'!$A$3-'Anchor Points'!$A$2)*('Anchor Points'!$C$3-'Anchor Points'!$C$2),IF(A109&lt;=25,'Anchor Points'!$C$3+(A109-'Anchor Points'!$A$3)/('Anchor Points'!$A$4-'Anchor Points'!$A$3)*('Anchor Points'!$C$4-'Anchor Points'!$C$3),IF(A109&lt;=40,'Anchor Points'!$C$4+(A109-'Anchor Points'!$A$4)/('Anchor Points'!$A$5-'Anchor Points'!$A$4)*('Anchor Points'!$C$5-'Anchor Points'!$C$4),IF(A109&lt;=55,'Anchor Points'!$C$5+(A109-'Anchor Points'!$A$5)/('Anchor Points'!$A$6-'Anchor Points'!$A$5)*('Anchor Points'!$C$6-'Anchor Points'!$C$5),IF(A109&lt;=70,'Anchor Points'!$C$6+(A109-'Anchor Points'!$A$6)/('Anchor Points'!$A$7-'Anchor Points'!$A$6)*('Anchor Points'!$C$7-'Anchor Points'!$C$6),IF(A109&lt;=90,'Anchor Points'!$C$7+(A109-'Anchor Points'!$A$7)/('Anchor Points'!$A$8-'Anchor Points'!$A$7)*('Anchor Points'!$C$8-'Anchor Points'!$C$7),'Anchor Points'!$C$8+(A109-'Anchor Points'!$A$8)/('Anchor Points'!$A$9-'Anchor Points'!$A$8)*('Anchor Points'!$C$9-'Anchor Points'!$C$8)))))))</x:f>
        <x:v>93.5</x:v>
      </x:c>
      <x:c r="E109" s="28" t="n">
        <x:f>IF(A109&lt;=15,'Anchor Points'!$D$2+(A109-'Anchor Points'!$A$2)/('Anchor Points'!$A$3-'Anchor Points'!$A$2)*('Anchor Points'!$D$3-'Anchor Points'!$D$2),IF(A109&lt;=25,'Anchor Points'!$D$3+(A109-'Anchor Points'!$A$3)/('Anchor Points'!$A$4-'Anchor Points'!$A$3)*('Anchor Points'!$D$4-'Anchor Points'!$D$3),IF(A109&lt;=40,'Anchor Points'!$D$4+(A109-'Anchor Points'!$A$4)/('Anchor Points'!$A$5-'Anchor Points'!$A$4)*('Anchor Points'!$D$5-'Anchor Points'!$D$4),IF(A109&lt;=55,'Anchor Points'!$D$5+(A109-'Anchor Points'!$A$5)/('Anchor Points'!$A$6-'Anchor Points'!$A$5)*('Anchor Points'!$D$6-'Anchor Points'!$D$5),IF(A109&lt;=70,'Anchor Points'!$D$6+(A109-'Anchor Points'!$A$6)/('Anchor Points'!$A$7-'Anchor Points'!$A$6)*('Anchor Points'!$D$7-'Anchor Points'!$D$6),IF(A109&lt;=90,'Anchor Points'!$D$7+(A109-'Anchor Points'!$A$7)/('Anchor Points'!$A$8-'Anchor Points'!$A$7)*('Anchor Points'!$D$8-'Anchor Points'!$D$7),'Anchor Points'!$D$8+(A109-'Anchor Points'!$A$8)/('Anchor Points'!$A$9-'Anchor Points'!$A$8)*('Anchor Points'!$D$9-'Anchor Points'!$D$8)))))))</x:f>
        <x:v>6.3</x:v>
      </x:c>
      <x:c r="F109" s="30" t="n">
        <x:f>ROUND(E109,0)</x:f>
        <x:v>6</x:v>
      </x:c>
      <x:c r="G109" s="28" t="n">
        <x:f>IF(A109&lt;=15,'Anchor Points'!$E$2+(A109-'Anchor Points'!$A$2)/('Anchor Points'!$A$3-'Anchor Points'!$A$2)*('Anchor Points'!$E$3-'Anchor Points'!$E$2),IF(A109&lt;=25,'Anchor Points'!$E$3+(A109-'Anchor Points'!$A$3)/('Anchor Points'!$A$4-'Anchor Points'!$A$3)*('Anchor Points'!$E$4-'Anchor Points'!$E$3),IF(A109&lt;=40,'Anchor Points'!$E$4+(A109-'Anchor Points'!$A$4)/('Anchor Points'!$A$5-'Anchor Points'!$A$4)*('Anchor Points'!$E$5-'Anchor Points'!$E$4),IF(A109&lt;=55,'Anchor Points'!$E$5+(A109-'Anchor Points'!$A$5)/('Anchor Points'!$A$6-'Anchor Points'!$A$5)*('Anchor Points'!$E$6-'Anchor Points'!$E$5),IF(A109&lt;=70,'Anchor Points'!$E$6+(A109-'Anchor Points'!$A$6)/('Anchor Points'!$A$7-'Anchor Points'!$A$6)*('Anchor Points'!$E$7-'Anchor Points'!$E$6),IF(A109&lt;=90,'Anchor Points'!$E$7+(A109-'Anchor Points'!$A$7)/('Anchor Points'!$A$8-'Anchor Points'!$A$7)*('Anchor Points'!$E$8-'Anchor Points'!$E$7),'Anchor Points'!$E$8+(A109-'Anchor Points'!$A$8)/('Anchor Points'!$A$9-'Anchor Points'!$A$8)*('Anchor Points'!$E$9-'Anchor Points'!$E$8)))))))</x:f>
        <x:v>11.133333333333333</x:v>
      </x:c>
      <x:c r="H109" s="30" t="n">
        <x:f>ROUND(G109,0)</x:f>
        <x:v>11</x:v>
      </x:c>
      <x:c r="I109" s="28" t="n">
        <x:f>IF(A109&lt;=15,'Anchor Points'!$F$2+(A109-'Anchor Points'!$A$2)/('Anchor Points'!$A$3-'Anchor Points'!$A$2)*('Anchor Points'!$F$3-'Anchor Points'!$F$2),IF(A109&lt;=25,'Anchor Points'!$F$3+(A109-'Anchor Points'!$A$3)/('Anchor Points'!$A$4-'Anchor Points'!$A$3)*('Anchor Points'!$F$4-'Anchor Points'!$F$3),IF(A109&lt;=40,'Anchor Points'!$F$4+(A109-'Anchor Points'!$A$4)/('Anchor Points'!$A$5-'Anchor Points'!$A$4)*('Anchor Points'!$F$5-'Anchor Points'!$F$4),IF(A109&lt;=55,'Anchor Points'!$F$5+(A109-'Anchor Points'!$A$5)/('Anchor Points'!$A$6-'Anchor Points'!$A$5)*('Anchor Points'!$F$6-'Anchor Points'!$F$5),IF(A109&lt;=70,'Anchor Points'!$F$6+(A109-'Anchor Points'!$A$6)/('Anchor Points'!$A$7-'Anchor Points'!$A$6)*('Anchor Points'!$F$7-'Anchor Points'!$F$6),IF(A109&lt;=90,'Anchor Points'!$F$7+(A109-'Anchor Points'!$A$7)/('Anchor Points'!$A$8-'Anchor Points'!$A$7)*('Anchor Points'!$F$8-'Anchor Points'!$F$7),'Anchor Points'!$F$8+(A109-'Anchor Points'!$A$8)/('Anchor Points'!$A$9-'Anchor Points'!$A$8)*('Anchor Points'!$F$9-'Anchor Points'!$F$8)))))))</x:f>
        <x:v>52.833333333333336</x:v>
      </x:c>
      <x:c r="J109" s="28" t="n">
        <x:v>8</x:v>
      </x:c>
      <x:c r="K109" s="56" t="n">
        <x:v>9</x:v>
      </x:c>
      <x:c r="L109" s="52" t="n">
        <x:v>10</x:v>
      </x:c>
      <x:c r="M109" s="52" t="n">
        <x:v>55</x:v>
      </x:c>
      <x:c r="N109" s="56" t="n">
        <x:v>62</x:v>
      </x:c>
      <x:c r="O109" s="28" t="n">
        <x:v>70</x:v>
      </x:c>
      <x:c r="P109" s="28" t="n">
        <x:v>60</x:v>
      </x:c>
      <x:c r="Q109" s="55" t="n">
        <x:v>70</x:v>
      </x:c>
      <x:c r="R109" s="28" t="n">
        <x:v>80</x:v>
      </x:c>
      <x:c r="S109" s="28" t="n">
        <x:v>12</x:v>
      </x:c>
      <x:c r="T109" s="28" t="n">
        <x:v>15</x:v>
      </x:c>
      <x:c r="U109" s="55" t="n">
        <x:v>18</x:v>
      </x:c>
      <x:c r="V109" s="28" t="n">
        <x:v>1189</x:v>
      </x:c>
      <x:c r="W109" s="55" t="n">
        <x:v>1510</x:v>
      </x:c>
      <x:c r="X109" s="28" t="n">
        <x:v>1816</x:v>
      </x:c>
    </x:row>
    <x:row r="110">
      <x:c r="A110" s="30" t="n">
        <x:v>108</x:v>
      </x:c>
      <x:c r="B110" s="11" t="str">
        <x:f>IF(A110&lt;=15,"Seedling",IF(A110&lt;=25,"Establishment",IF(A110&lt;=40,"Vegetative Growth",IF(A110&lt;=55,"Flowering &amp; Initial Fruit Set",IF(A110&lt;=80,"Fruit Enlargement",IF(A110&lt;=95,"Ripening","Harvesting"))))))</x:f>
        <x:v>Harvesting</x:v>
      </x:c>
      <x:c r="C110" s="28" t="n">
        <x:f>IF(A110&lt;=15,'Anchor Points'!$B$2+(A110-'Anchor Points'!$A$2)/('Anchor Points'!$A$3-'Anchor Points'!$A$2)*('Anchor Points'!$B$3-'Anchor Points'!$B$2),IF(A110&lt;=25,'Anchor Points'!$B$3+(A110-'Anchor Points'!$A$3)/('Anchor Points'!$A$4-'Anchor Points'!$A$3)*('Anchor Points'!$B$4-'Anchor Points'!$B$3),IF(A110&lt;=40,'Anchor Points'!$B$4+(A110-'Anchor Points'!$A$4)/('Anchor Points'!$A$5-'Anchor Points'!$A$4)*('Anchor Points'!$B$5-'Anchor Points'!$B$4),IF(A110&lt;=55,'Anchor Points'!$B$5+(A110-'Anchor Points'!$A$5)/('Anchor Points'!$A$6-'Anchor Points'!$A$5)*('Anchor Points'!$B$6-'Anchor Points'!$B$5),IF(A110&lt;=70,'Anchor Points'!$B$6+(A110-'Anchor Points'!$A$6)/('Anchor Points'!$A$7-'Anchor Points'!$A$6)*('Anchor Points'!$B$7-'Anchor Points'!$B$6),IF(A110&lt;=90,'Anchor Points'!$B$7+(A110-'Anchor Points'!$A$7)/('Anchor Points'!$A$8-'Anchor Points'!$A$7)*('Anchor Points'!$B$8-'Anchor Points'!$B$7),'Anchor Points'!$B$8+(A110-'Anchor Points'!$A$8)/('Anchor Points'!$A$9-'Anchor Points'!$A$8)*('Anchor Points'!$B$9-'Anchor Points'!$B$8)))))))</x:f>
        <x:v>86.8</x:v>
      </x:c>
      <x:c r="D110" s="28" t="n">
        <x:f>IF(A110&lt;=15,'Anchor Points'!$C$2+(A110-'Anchor Points'!$A$2)/('Anchor Points'!$A$3-'Anchor Points'!$A$2)*('Anchor Points'!$C$3-'Anchor Points'!$C$2),IF(A110&lt;=25,'Anchor Points'!$C$3+(A110-'Anchor Points'!$A$3)/('Anchor Points'!$A$4-'Anchor Points'!$A$3)*('Anchor Points'!$C$4-'Anchor Points'!$C$3),IF(A110&lt;=40,'Anchor Points'!$C$4+(A110-'Anchor Points'!$A$4)/('Anchor Points'!$A$5-'Anchor Points'!$A$4)*('Anchor Points'!$C$5-'Anchor Points'!$C$4),IF(A110&lt;=55,'Anchor Points'!$C$5+(A110-'Anchor Points'!$A$5)/('Anchor Points'!$A$6-'Anchor Points'!$A$5)*('Anchor Points'!$C$6-'Anchor Points'!$C$5),IF(A110&lt;=70,'Anchor Points'!$C$6+(A110-'Anchor Points'!$A$6)/('Anchor Points'!$A$7-'Anchor Points'!$A$6)*('Anchor Points'!$C$7-'Anchor Points'!$C$6),IF(A110&lt;=90,'Anchor Points'!$C$7+(A110-'Anchor Points'!$A$7)/('Anchor Points'!$A$8-'Anchor Points'!$A$7)*('Anchor Points'!$C$8-'Anchor Points'!$C$7),'Anchor Points'!$C$8+(A110-'Anchor Points'!$A$8)/('Anchor Points'!$A$9-'Anchor Points'!$A$8)*('Anchor Points'!$C$9-'Anchor Points'!$C$8)))))))</x:f>
        <x:v>94</x:v>
      </x:c>
      <x:c r="E110" s="28" t="n">
        <x:f>IF(A110&lt;=15,'Anchor Points'!$D$2+(A110-'Anchor Points'!$A$2)/('Anchor Points'!$A$3-'Anchor Points'!$A$2)*('Anchor Points'!$D$3-'Anchor Points'!$D$2),IF(A110&lt;=25,'Anchor Points'!$D$3+(A110-'Anchor Points'!$A$3)/('Anchor Points'!$A$4-'Anchor Points'!$A$3)*('Anchor Points'!$D$4-'Anchor Points'!$D$3),IF(A110&lt;=40,'Anchor Points'!$D$4+(A110-'Anchor Points'!$A$4)/('Anchor Points'!$A$5-'Anchor Points'!$A$4)*('Anchor Points'!$D$5-'Anchor Points'!$D$4),IF(A110&lt;=55,'Anchor Points'!$D$5+(A110-'Anchor Points'!$A$5)/('Anchor Points'!$A$6-'Anchor Points'!$A$5)*('Anchor Points'!$D$6-'Anchor Points'!$D$5),IF(A110&lt;=70,'Anchor Points'!$D$6+(A110-'Anchor Points'!$A$6)/('Anchor Points'!$A$7-'Anchor Points'!$A$6)*('Anchor Points'!$D$7-'Anchor Points'!$D$6),IF(A110&lt;=90,'Anchor Points'!$D$7+(A110-'Anchor Points'!$A$7)/('Anchor Points'!$A$8-'Anchor Points'!$A$7)*('Anchor Points'!$D$8-'Anchor Points'!$D$7),'Anchor Points'!$D$8+(A110-'Anchor Points'!$A$8)/('Anchor Points'!$A$9-'Anchor Points'!$A$8)*('Anchor Points'!$D$9-'Anchor Points'!$D$8)))))))</x:f>
        <x:v>6.2</x:v>
      </x:c>
      <x:c r="F110" s="30" t="n">
        <x:f>ROUND(E110,0)</x:f>
        <x:v>6</x:v>
      </x:c>
      <x:c r="G110" s="28" t="n">
        <x:f>IF(A110&lt;=15,'Anchor Points'!$E$2+(A110-'Anchor Points'!$A$2)/('Anchor Points'!$A$3-'Anchor Points'!$A$2)*('Anchor Points'!$E$3-'Anchor Points'!$E$2),IF(A110&lt;=25,'Anchor Points'!$E$3+(A110-'Anchor Points'!$A$3)/('Anchor Points'!$A$4-'Anchor Points'!$A$3)*('Anchor Points'!$E$4-'Anchor Points'!$E$3),IF(A110&lt;=40,'Anchor Points'!$E$4+(A110-'Anchor Points'!$A$4)/('Anchor Points'!$A$5-'Anchor Points'!$A$4)*('Anchor Points'!$E$5-'Anchor Points'!$E$4),IF(A110&lt;=55,'Anchor Points'!$E$5+(A110-'Anchor Points'!$A$5)/('Anchor Points'!$A$6-'Anchor Points'!$A$5)*('Anchor Points'!$E$6-'Anchor Points'!$E$5),IF(A110&lt;=70,'Anchor Points'!$E$6+(A110-'Anchor Points'!$A$6)/('Anchor Points'!$A$7-'Anchor Points'!$A$6)*('Anchor Points'!$E$7-'Anchor Points'!$E$6),IF(A110&lt;=90,'Anchor Points'!$E$7+(A110-'Anchor Points'!$A$7)/('Anchor Points'!$A$8-'Anchor Points'!$A$7)*('Anchor Points'!$E$8-'Anchor Points'!$E$7),'Anchor Points'!$E$8+(A110-'Anchor Points'!$A$8)/('Anchor Points'!$A$9-'Anchor Points'!$A$8)*('Anchor Points'!$E$9-'Anchor Points'!$E$8)))))))</x:f>
        <x:v>11.2</x:v>
      </x:c>
      <x:c r="H110" s="30" t="n">
        <x:f>ROUND(G110,0)</x:f>
        <x:v>11</x:v>
      </x:c>
      <x:c r="I110" s="28" t="n">
        <x:f>IF(A110&lt;=15,'Anchor Points'!$F$2+(A110-'Anchor Points'!$A$2)/('Anchor Points'!$A$3-'Anchor Points'!$A$2)*('Anchor Points'!$F$3-'Anchor Points'!$F$2),IF(A110&lt;=25,'Anchor Points'!$F$3+(A110-'Anchor Points'!$A$3)/('Anchor Points'!$A$4-'Anchor Points'!$A$3)*('Anchor Points'!$F$4-'Anchor Points'!$F$3),IF(A110&lt;=40,'Anchor Points'!$F$4+(A110-'Anchor Points'!$A$4)/('Anchor Points'!$A$5-'Anchor Points'!$A$4)*('Anchor Points'!$F$5-'Anchor Points'!$F$4),IF(A110&lt;=55,'Anchor Points'!$F$5+(A110-'Anchor Points'!$A$5)/('Anchor Points'!$A$6-'Anchor Points'!$A$5)*('Anchor Points'!$F$6-'Anchor Points'!$F$5),IF(A110&lt;=70,'Anchor Points'!$F$6+(A110-'Anchor Points'!$A$6)/('Anchor Points'!$A$7-'Anchor Points'!$A$6)*('Anchor Points'!$F$7-'Anchor Points'!$F$6),IF(A110&lt;=90,'Anchor Points'!$F$7+(A110-'Anchor Points'!$A$7)/('Anchor Points'!$A$8-'Anchor Points'!$A$7)*('Anchor Points'!$F$8-'Anchor Points'!$F$7),'Anchor Points'!$F$8+(A110-'Anchor Points'!$A$8)/('Anchor Points'!$A$9-'Anchor Points'!$A$8)*('Anchor Points'!$F$9-'Anchor Points'!$F$8)))))))</x:f>
        <x:v>53</x:v>
      </x:c>
      <x:c r="J110" s="28" t="n">
        <x:v>8</x:v>
      </x:c>
      <x:c r="K110" s="56" t="n">
        <x:v>9</x:v>
      </x:c>
      <x:c r="L110" s="52" t="n">
        <x:v>10</x:v>
      </x:c>
      <x:c r="M110" s="52" t="n">
        <x:v>55</x:v>
      </x:c>
      <x:c r="N110" s="56" t="n">
        <x:v>62</x:v>
      </x:c>
      <x:c r="O110" s="28" t="n">
        <x:v>70</x:v>
      </x:c>
      <x:c r="P110" s="28" t="n">
        <x:v>60</x:v>
      </x:c>
      <x:c r="Q110" s="55" t="n">
        <x:v>70</x:v>
      </x:c>
      <x:c r="R110" s="28" t="n">
        <x:v>80</x:v>
      </x:c>
      <x:c r="S110" s="28" t="n">
        <x:v>12</x:v>
      </x:c>
      <x:c r="T110" s="28" t="n">
        <x:v>15</x:v>
      </x:c>
      <x:c r="U110" s="55" t="n">
        <x:v>18</x:v>
      </x:c>
      <x:c r="V110" s="28" t="n">
        <x:v>1201</x:v>
      </x:c>
      <x:c r="W110" s="55" t="n">
        <x:v>1525</x:v>
      </x:c>
      <x:c r="X110" s="28" t="n">
        <x:v>1834</x:v>
      </x:c>
    </x:row>
    <x:row r="111">
      <x:c r="A111" s="30" t="n">
        <x:v>109</x:v>
      </x:c>
      <x:c r="B111" s="11" t="str">
        <x:f>IF(A111&lt;=15,"Seedling",IF(A111&lt;=25,"Establishment",IF(A111&lt;=40,"Vegetative Growth",IF(A111&lt;=55,"Flowering &amp; Initial Fruit Set",IF(A111&lt;=80,"Fruit Enlargement",IF(A111&lt;=95,"Ripening","Harvesting"))))))</x:f>
        <x:v>Harvesting</x:v>
      </x:c>
      <x:c r="C111" s="28" t="n">
        <x:f>IF(A111&lt;=15,'Anchor Points'!$B$2+(A111-'Anchor Points'!$A$2)/('Anchor Points'!$A$3-'Anchor Points'!$A$2)*('Anchor Points'!$B$3-'Anchor Points'!$B$2),IF(A111&lt;=25,'Anchor Points'!$B$3+(A111-'Anchor Points'!$A$3)/('Anchor Points'!$A$4-'Anchor Points'!$A$3)*('Anchor Points'!$B$4-'Anchor Points'!$B$3),IF(A111&lt;=40,'Anchor Points'!$B$4+(A111-'Anchor Points'!$A$4)/('Anchor Points'!$A$5-'Anchor Points'!$A$4)*('Anchor Points'!$B$5-'Anchor Points'!$B$4),IF(A111&lt;=55,'Anchor Points'!$B$5+(A111-'Anchor Points'!$A$5)/('Anchor Points'!$A$6-'Anchor Points'!$A$5)*('Anchor Points'!$B$6-'Anchor Points'!$B$5),IF(A111&lt;=70,'Anchor Points'!$B$6+(A111-'Anchor Points'!$A$6)/('Anchor Points'!$A$7-'Anchor Points'!$A$6)*('Anchor Points'!$B$7-'Anchor Points'!$B$6),IF(A111&lt;=90,'Anchor Points'!$B$7+(A111-'Anchor Points'!$A$7)/('Anchor Points'!$A$8-'Anchor Points'!$A$7)*('Anchor Points'!$B$8-'Anchor Points'!$B$7),'Anchor Points'!$B$8+(A111-'Anchor Points'!$A$8)/('Anchor Points'!$A$9-'Anchor Points'!$A$8)*('Anchor Points'!$B$9-'Anchor Points'!$B$8)))))))</x:f>
        <x:v>87.06666666666666</x:v>
      </x:c>
      <x:c r="D111" s="28" t="n">
        <x:f>IF(A111&lt;=15,'Anchor Points'!$C$2+(A111-'Anchor Points'!$A$2)/('Anchor Points'!$A$3-'Anchor Points'!$A$2)*('Anchor Points'!$C$3-'Anchor Points'!$C$2),IF(A111&lt;=25,'Anchor Points'!$C$3+(A111-'Anchor Points'!$A$3)/('Anchor Points'!$A$4-'Anchor Points'!$A$3)*('Anchor Points'!$C$4-'Anchor Points'!$C$3),IF(A111&lt;=40,'Anchor Points'!$C$4+(A111-'Anchor Points'!$A$4)/('Anchor Points'!$A$5-'Anchor Points'!$A$4)*('Anchor Points'!$C$5-'Anchor Points'!$C$4),IF(A111&lt;=55,'Anchor Points'!$C$5+(A111-'Anchor Points'!$A$5)/('Anchor Points'!$A$6-'Anchor Points'!$A$5)*('Anchor Points'!$C$6-'Anchor Points'!$C$5),IF(A111&lt;=70,'Anchor Points'!$C$6+(A111-'Anchor Points'!$A$6)/('Anchor Points'!$A$7-'Anchor Points'!$A$6)*('Anchor Points'!$C$7-'Anchor Points'!$C$6),IF(A111&lt;=90,'Anchor Points'!$C$7+(A111-'Anchor Points'!$A$7)/('Anchor Points'!$A$8-'Anchor Points'!$A$7)*('Anchor Points'!$C$8-'Anchor Points'!$C$7),'Anchor Points'!$C$8+(A111-'Anchor Points'!$A$8)/('Anchor Points'!$A$9-'Anchor Points'!$A$8)*('Anchor Points'!$C$9-'Anchor Points'!$C$8)))))))</x:f>
        <x:v>94.5</x:v>
      </x:c>
      <x:c r="E111" s="28" t="n">
        <x:f>IF(A111&lt;=15,'Anchor Points'!$D$2+(A111-'Anchor Points'!$A$2)/('Anchor Points'!$A$3-'Anchor Points'!$A$2)*('Anchor Points'!$D$3-'Anchor Points'!$D$2),IF(A111&lt;=25,'Anchor Points'!$D$3+(A111-'Anchor Points'!$A$3)/('Anchor Points'!$A$4-'Anchor Points'!$A$3)*('Anchor Points'!$D$4-'Anchor Points'!$D$3),IF(A111&lt;=40,'Anchor Points'!$D$4+(A111-'Anchor Points'!$A$4)/('Anchor Points'!$A$5-'Anchor Points'!$A$4)*('Anchor Points'!$D$5-'Anchor Points'!$D$4),IF(A111&lt;=55,'Anchor Points'!$D$5+(A111-'Anchor Points'!$A$5)/('Anchor Points'!$A$6-'Anchor Points'!$A$5)*('Anchor Points'!$D$6-'Anchor Points'!$D$5),IF(A111&lt;=70,'Anchor Points'!$D$6+(A111-'Anchor Points'!$A$6)/('Anchor Points'!$A$7-'Anchor Points'!$A$6)*('Anchor Points'!$D$7-'Anchor Points'!$D$6),IF(A111&lt;=90,'Anchor Points'!$D$7+(A111-'Anchor Points'!$A$7)/('Anchor Points'!$A$8-'Anchor Points'!$A$7)*('Anchor Points'!$D$8-'Anchor Points'!$D$7),'Anchor Points'!$D$8+(A111-'Anchor Points'!$A$8)/('Anchor Points'!$A$9-'Anchor Points'!$A$8)*('Anchor Points'!$D$9-'Anchor Points'!$D$8)))))))</x:f>
        <x:v>6.1</x:v>
      </x:c>
      <x:c r="F111" s="30" t="n">
        <x:f>ROUND(E111,0)</x:f>
        <x:v>6</x:v>
      </x:c>
      <x:c r="G111" s="28" t="n">
        <x:f>IF(A111&lt;=15,'Anchor Points'!$E$2+(A111-'Anchor Points'!$A$2)/('Anchor Points'!$A$3-'Anchor Points'!$A$2)*('Anchor Points'!$E$3-'Anchor Points'!$E$2),IF(A111&lt;=25,'Anchor Points'!$E$3+(A111-'Anchor Points'!$A$3)/('Anchor Points'!$A$4-'Anchor Points'!$A$3)*('Anchor Points'!$E$4-'Anchor Points'!$E$3),IF(A111&lt;=40,'Anchor Points'!$E$4+(A111-'Anchor Points'!$A$4)/('Anchor Points'!$A$5-'Anchor Points'!$A$4)*('Anchor Points'!$E$5-'Anchor Points'!$E$4),IF(A111&lt;=55,'Anchor Points'!$E$5+(A111-'Anchor Points'!$A$5)/('Anchor Points'!$A$6-'Anchor Points'!$A$5)*('Anchor Points'!$E$6-'Anchor Points'!$E$5),IF(A111&lt;=70,'Anchor Points'!$E$6+(A111-'Anchor Points'!$A$6)/('Anchor Points'!$A$7-'Anchor Points'!$A$6)*('Anchor Points'!$E$7-'Anchor Points'!$E$6),IF(A111&lt;=90,'Anchor Points'!$E$7+(A111-'Anchor Points'!$A$7)/('Anchor Points'!$A$8-'Anchor Points'!$A$7)*('Anchor Points'!$E$8-'Anchor Points'!$E$7),'Anchor Points'!$E$8+(A111-'Anchor Points'!$A$8)/('Anchor Points'!$A$9-'Anchor Points'!$A$8)*('Anchor Points'!$E$9-'Anchor Points'!$E$8)))))))</x:f>
        <x:v>11.266666666666666</x:v>
      </x:c>
      <x:c r="H111" s="30" t="n">
        <x:f>ROUND(G111,0)</x:f>
        <x:v>11</x:v>
      </x:c>
      <x:c r="I111" s="28" t="n">
        <x:f>IF(A111&lt;=15,'Anchor Points'!$F$2+(A111-'Anchor Points'!$A$2)/('Anchor Points'!$A$3-'Anchor Points'!$A$2)*('Anchor Points'!$F$3-'Anchor Points'!$F$2),IF(A111&lt;=25,'Anchor Points'!$F$3+(A111-'Anchor Points'!$A$3)/('Anchor Points'!$A$4-'Anchor Points'!$A$3)*('Anchor Points'!$F$4-'Anchor Points'!$F$3),IF(A111&lt;=40,'Anchor Points'!$F$4+(A111-'Anchor Points'!$A$4)/('Anchor Points'!$A$5-'Anchor Points'!$A$4)*('Anchor Points'!$F$5-'Anchor Points'!$F$4),IF(A111&lt;=55,'Anchor Points'!$F$5+(A111-'Anchor Points'!$A$5)/('Anchor Points'!$A$6-'Anchor Points'!$A$5)*('Anchor Points'!$F$6-'Anchor Points'!$F$5),IF(A111&lt;=70,'Anchor Points'!$F$6+(A111-'Anchor Points'!$A$6)/('Anchor Points'!$A$7-'Anchor Points'!$A$6)*('Anchor Points'!$F$7-'Anchor Points'!$F$6),IF(A111&lt;=90,'Anchor Points'!$F$7+(A111-'Anchor Points'!$A$7)/('Anchor Points'!$A$8-'Anchor Points'!$A$7)*('Anchor Points'!$F$8-'Anchor Points'!$F$7),'Anchor Points'!$F$8+(A111-'Anchor Points'!$A$8)/('Anchor Points'!$A$9-'Anchor Points'!$A$8)*('Anchor Points'!$F$9-'Anchor Points'!$F$8)))))))</x:f>
        <x:v>53.166666666666664</x:v>
      </x:c>
      <x:c r="J111" s="28" t="n">
        <x:v>8</x:v>
      </x:c>
      <x:c r="K111" s="56" t="n">
        <x:v>9</x:v>
      </x:c>
      <x:c r="L111" s="52" t="n">
        <x:v>10</x:v>
      </x:c>
      <x:c r="M111" s="52" t="n">
        <x:v>55</x:v>
      </x:c>
      <x:c r="N111" s="56" t="n">
        <x:v>62</x:v>
      </x:c>
      <x:c r="O111" s="28" t="n">
        <x:v>70</x:v>
      </x:c>
      <x:c r="P111" s="28" t="n">
        <x:v>60</x:v>
      </x:c>
      <x:c r="Q111" s="55" t="n">
        <x:v>70</x:v>
      </x:c>
      <x:c r="R111" s="28" t="n">
        <x:v>80</x:v>
      </x:c>
      <x:c r="S111" s="28" t="n">
        <x:v>12</x:v>
      </x:c>
      <x:c r="T111" s="28" t="n">
        <x:v>15</x:v>
      </x:c>
      <x:c r="U111" s="55" t="n">
        <x:v>18</x:v>
      </x:c>
      <x:c r="V111" s="28" t="n">
        <x:v>1213</x:v>
      </x:c>
      <x:c r="W111" s="55" t="n">
        <x:v>1540</x:v>
      </x:c>
      <x:c r="X111" s="28" t="n">
        <x:v>1852</x:v>
      </x:c>
    </x:row>
    <x:row r="112">
      <x:c r="A112" s="30" t="n">
        <x:v>110</x:v>
      </x:c>
      <x:c r="B112" s="11" t="str">
        <x:f>IF(A112&lt;=15,"Seedling",IF(A112&lt;=25,"Establishment",IF(A112&lt;=40,"Vegetative Growth",IF(A112&lt;=55,"Flowering &amp; Initial Fruit Set",IF(A112&lt;=80,"Fruit Enlargement",IF(A112&lt;=95,"Ripening","Harvesting"))))))</x:f>
        <x:v>Harvesting</x:v>
      </x:c>
      <x:c r="C112" s="28" t="n">
        <x:f>IF(A112&lt;=15,'Anchor Points'!$B$2+(A112-'Anchor Points'!$A$2)/('Anchor Points'!$A$3-'Anchor Points'!$A$2)*('Anchor Points'!$B$3-'Anchor Points'!$B$2),IF(A112&lt;=25,'Anchor Points'!$B$3+(A112-'Anchor Points'!$A$3)/('Anchor Points'!$A$4-'Anchor Points'!$A$3)*('Anchor Points'!$B$4-'Anchor Points'!$B$3),IF(A112&lt;=40,'Anchor Points'!$B$4+(A112-'Anchor Points'!$A$4)/('Anchor Points'!$A$5-'Anchor Points'!$A$4)*('Anchor Points'!$B$5-'Anchor Points'!$B$4),IF(A112&lt;=55,'Anchor Points'!$B$5+(A112-'Anchor Points'!$A$5)/('Anchor Points'!$A$6-'Anchor Points'!$A$5)*('Anchor Points'!$B$6-'Anchor Points'!$B$5),IF(A112&lt;=70,'Anchor Points'!$B$6+(A112-'Anchor Points'!$A$6)/('Anchor Points'!$A$7-'Anchor Points'!$A$6)*('Anchor Points'!$B$7-'Anchor Points'!$B$6),IF(A112&lt;=90,'Anchor Points'!$B$7+(A112-'Anchor Points'!$A$7)/('Anchor Points'!$A$8-'Anchor Points'!$A$7)*('Anchor Points'!$B$8-'Anchor Points'!$B$7),'Anchor Points'!$B$8+(A112-'Anchor Points'!$A$8)/('Anchor Points'!$A$9-'Anchor Points'!$A$8)*('Anchor Points'!$B$9-'Anchor Points'!$B$8)))))))</x:f>
        <x:v>87.33333333333333</x:v>
      </x:c>
      <x:c r="D112" s="28" t="n">
        <x:f>IF(A112&lt;=15,'Anchor Points'!$C$2+(A112-'Anchor Points'!$A$2)/('Anchor Points'!$A$3-'Anchor Points'!$A$2)*('Anchor Points'!$C$3-'Anchor Points'!$C$2),IF(A112&lt;=25,'Anchor Points'!$C$3+(A112-'Anchor Points'!$A$3)/('Anchor Points'!$A$4-'Anchor Points'!$A$3)*('Anchor Points'!$C$4-'Anchor Points'!$C$3),IF(A112&lt;=40,'Anchor Points'!$C$4+(A112-'Anchor Points'!$A$4)/('Anchor Points'!$A$5-'Anchor Points'!$A$4)*('Anchor Points'!$C$5-'Anchor Points'!$C$4),IF(A112&lt;=55,'Anchor Points'!$C$5+(A112-'Anchor Points'!$A$5)/('Anchor Points'!$A$6-'Anchor Points'!$A$5)*('Anchor Points'!$C$6-'Anchor Points'!$C$5),IF(A112&lt;=70,'Anchor Points'!$C$6+(A112-'Anchor Points'!$A$6)/('Anchor Points'!$A$7-'Anchor Points'!$A$6)*('Anchor Points'!$C$7-'Anchor Points'!$C$6),IF(A112&lt;=90,'Anchor Points'!$C$7+(A112-'Anchor Points'!$A$7)/('Anchor Points'!$A$8-'Anchor Points'!$A$7)*('Anchor Points'!$C$8-'Anchor Points'!$C$7),'Anchor Points'!$C$8+(A112-'Anchor Points'!$A$8)/('Anchor Points'!$A$9-'Anchor Points'!$A$8)*('Anchor Points'!$C$9-'Anchor Points'!$C$8)))))))</x:f>
        <x:v>95</x:v>
      </x:c>
      <x:c r="E112" s="28" t="n">
        <x:f>IF(A112&lt;=15,'Anchor Points'!$D$2+(A112-'Anchor Points'!$A$2)/('Anchor Points'!$A$3-'Anchor Points'!$A$2)*('Anchor Points'!$D$3-'Anchor Points'!$D$2),IF(A112&lt;=25,'Anchor Points'!$D$3+(A112-'Anchor Points'!$A$3)/('Anchor Points'!$A$4-'Anchor Points'!$A$3)*('Anchor Points'!$D$4-'Anchor Points'!$D$3),IF(A112&lt;=40,'Anchor Points'!$D$4+(A112-'Anchor Points'!$A$4)/('Anchor Points'!$A$5-'Anchor Points'!$A$4)*('Anchor Points'!$D$5-'Anchor Points'!$D$4),IF(A112&lt;=55,'Anchor Points'!$D$5+(A112-'Anchor Points'!$A$5)/('Anchor Points'!$A$6-'Anchor Points'!$A$5)*('Anchor Points'!$D$6-'Anchor Points'!$D$5),IF(A112&lt;=70,'Anchor Points'!$D$6+(A112-'Anchor Points'!$A$6)/('Anchor Points'!$A$7-'Anchor Points'!$A$6)*('Anchor Points'!$D$7-'Anchor Points'!$D$6),IF(A112&lt;=90,'Anchor Points'!$D$7+(A112-'Anchor Points'!$A$7)/('Anchor Points'!$A$8-'Anchor Points'!$A$7)*('Anchor Points'!$D$8-'Anchor Points'!$D$7),'Anchor Points'!$D$8+(A112-'Anchor Points'!$A$8)/('Anchor Points'!$A$9-'Anchor Points'!$A$8)*('Anchor Points'!$D$9-'Anchor Points'!$D$8)))))))</x:f>
        <x:v>6</x:v>
      </x:c>
      <x:c r="F112" s="30" t="n">
        <x:f>ROUND(E112,0)</x:f>
        <x:v>6</x:v>
      </x:c>
      <x:c r="G112" s="28" t="n">
        <x:f>IF(A112&lt;=15,'Anchor Points'!$E$2+(A112-'Anchor Points'!$A$2)/('Anchor Points'!$A$3-'Anchor Points'!$A$2)*('Anchor Points'!$E$3-'Anchor Points'!$E$2),IF(A112&lt;=25,'Anchor Points'!$E$3+(A112-'Anchor Points'!$A$3)/('Anchor Points'!$A$4-'Anchor Points'!$A$3)*('Anchor Points'!$E$4-'Anchor Points'!$E$3),IF(A112&lt;=40,'Anchor Points'!$E$4+(A112-'Anchor Points'!$A$4)/('Anchor Points'!$A$5-'Anchor Points'!$A$4)*('Anchor Points'!$E$5-'Anchor Points'!$E$4),IF(A112&lt;=55,'Anchor Points'!$E$5+(A112-'Anchor Points'!$A$5)/('Anchor Points'!$A$6-'Anchor Points'!$A$5)*('Anchor Points'!$E$6-'Anchor Points'!$E$5),IF(A112&lt;=70,'Anchor Points'!$E$6+(A112-'Anchor Points'!$A$6)/('Anchor Points'!$A$7-'Anchor Points'!$A$6)*('Anchor Points'!$E$7-'Anchor Points'!$E$6),IF(A112&lt;=90,'Anchor Points'!$E$7+(A112-'Anchor Points'!$A$7)/('Anchor Points'!$A$8-'Anchor Points'!$A$7)*('Anchor Points'!$E$8-'Anchor Points'!$E$7),'Anchor Points'!$E$8+(A112-'Anchor Points'!$A$8)/('Anchor Points'!$A$9-'Anchor Points'!$A$8)*('Anchor Points'!$E$9-'Anchor Points'!$E$8)))))))</x:f>
        <x:v>11.333333333333334</x:v>
      </x:c>
      <x:c r="H112" s="30" t="n">
        <x:f>ROUND(G112,0)</x:f>
        <x:v>11</x:v>
      </x:c>
      <x:c r="I112" s="28" t="n">
        <x:f>IF(A112&lt;=15,'Anchor Points'!$F$2+(A112-'Anchor Points'!$A$2)/('Anchor Points'!$A$3-'Anchor Points'!$A$2)*('Anchor Points'!$F$3-'Anchor Points'!$F$2),IF(A112&lt;=25,'Anchor Points'!$F$3+(A112-'Anchor Points'!$A$3)/('Anchor Points'!$A$4-'Anchor Points'!$A$3)*('Anchor Points'!$F$4-'Anchor Points'!$F$3),IF(A112&lt;=40,'Anchor Points'!$F$4+(A112-'Anchor Points'!$A$4)/('Anchor Points'!$A$5-'Anchor Points'!$A$4)*('Anchor Points'!$F$5-'Anchor Points'!$F$4),IF(A112&lt;=55,'Anchor Points'!$F$5+(A112-'Anchor Points'!$A$5)/('Anchor Points'!$A$6-'Anchor Points'!$A$5)*('Anchor Points'!$F$6-'Anchor Points'!$F$5),IF(A112&lt;=70,'Anchor Points'!$F$6+(A112-'Anchor Points'!$A$6)/('Anchor Points'!$A$7-'Anchor Points'!$A$6)*('Anchor Points'!$F$7-'Anchor Points'!$F$6),IF(A112&lt;=90,'Anchor Points'!$F$7+(A112-'Anchor Points'!$A$7)/('Anchor Points'!$A$8-'Anchor Points'!$A$7)*('Anchor Points'!$F$8-'Anchor Points'!$F$7),'Anchor Points'!$F$8+(A112-'Anchor Points'!$A$8)/('Anchor Points'!$A$9-'Anchor Points'!$A$8)*('Anchor Points'!$F$9-'Anchor Points'!$F$8)))))))</x:f>
        <x:v>53.333333333333336</x:v>
      </x:c>
      <x:c r="J112" s="28" t="n">
        <x:v>8</x:v>
      </x:c>
      <x:c r="K112" s="56" t="n">
        <x:v>9</x:v>
      </x:c>
      <x:c r="L112" s="52" t="n">
        <x:v>10</x:v>
      </x:c>
      <x:c r="M112" s="52" t="n">
        <x:v>55</x:v>
      </x:c>
      <x:c r="N112" s="56" t="n">
        <x:v>62</x:v>
      </x:c>
      <x:c r="O112" s="28" t="n">
        <x:v>70</x:v>
      </x:c>
      <x:c r="P112" s="28" t="n">
        <x:v>60</x:v>
      </x:c>
      <x:c r="Q112" s="55" t="n">
        <x:v>70</x:v>
      </x:c>
      <x:c r="R112" s="28" t="n">
        <x:v>80</x:v>
      </x:c>
      <x:c r="S112" s="28" t="n">
        <x:v>12</x:v>
      </x:c>
      <x:c r="T112" s="28" t="n">
        <x:v>15</x:v>
      </x:c>
      <x:c r="U112" s="55" t="n">
        <x:v>18</x:v>
      </x:c>
      <x:c r="V112" s="28" t="n">
        <x:v>1225</x:v>
      </x:c>
      <x:c r="W112" s="55" t="n">
        <x:v>1555</x:v>
      </x:c>
      <x:c r="X112" s="28" t="n">
        <x:v>1870</x:v>
      </x:c>
    </x:row>
    <x:row r="113">
      <x:c r="A113" s="30" t="n">
        <x:v>111</x:v>
      </x:c>
      <x:c r="B113" s="11" t="str">
        <x:f>IF(A113&lt;=15,"Seedling",IF(A113&lt;=25,"Establishment",IF(A113&lt;=40,"Vegetative Growth",IF(A113&lt;=55,"Flowering &amp; Initial Fruit Set",IF(A113&lt;=80,"Fruit Enlargement",IF(A113&lt;=95,"Ripening","Harvesting"))))))</x:f>
        <x:v>Harvesting</x:v>
      </x:c>
      <x:c r="C113" s="28" t="n">
        <x:f>IF(A113&lt;=15,'Anchor Points'!$B$2+(A113-'Anchor Points'!$A$2)/('Anchor Points'!$A$3-'Anchor Points'!$A$2)*('Anchor Points'!$B$3-'Anchor Points'!$B$2),IF(A113&lt;=25,'Anchor Points'!$B$3+(A113-'Anchor Points'!$A$3)/('Anchor Points'!$A$4-'Anchor Points'!$A$3)*('Anchor Points'!$B$4-'Anchor Points'!$B$3),IF(A113&lt;=40,'Anchor Points'!$B$4+(A113-'Anchor Points'!$A$4)/('Anchor Points'!$A$5-'Anchor Points'!$A$4)*('Anchor Points'!$B$5-'Anchor Points'!$B$4),IF(A113&lt;=55,'Anchor Points'!$B$5+(A113-'Anchor Points'!$A$5)/('Anchor Points'!$A$6-'Anchor Points'!$A$5)*('Anchor Points'!$B$6-'Anchor Points'!$B$5),IF(A113&lt;=70,'Anchor Points'!$B$6+(A113-'Anchor Points'!$A$6)/('Anchor Points'!$A$7-'Anchor Points'!$A$6)*('Anchor Points'!$B$7-'Anchor Points'!$B$6),IF(A113&lt;=90,'Anchor Points'!$B$7+(A113-'Anchor Points'!$A$7)/('Anchor Points'!$A$8-'Anchor Points'!$A$7)*('Anchor Points'!$B$8-'Anchor Points'!$B$7),'Anchor Points'!$B$8+(A113-'Anchor Points'!$A$8)/('Anchor Points'!$A$9-'Anchor Points'!$A$8)*('Anchor Points'!$B$9-'Anchor Points'!$B$8)))))))</x:f>
        <x:v>87.6</x:v>
      </x:c>
      <x:c r="D113" s="28" t="n">
        <x:f>IF(A113&lt;=15,'Anchor Points'!$C$2+(A113-'Anchor Points'!$A$2)/('Anchor Points'!$A$3-'Anchor Points'!$A$2)*('Anchor Points'!$C$3-'Anchor Points'!$C$2),IF(A113&lt;=25,'Anchor Points'!$C$3+(A113-'Anchor Points'!$A$3)/('Anchor Points'!$A$4-'Anchor Points'!$A$3)*('Anchor Points'!$C$4-'Anchor Points'!$C$3),IF(A113&lt;=40,'Anchor Points'!$C$4+(A113-'Anchor Points'!$A$4)/('Anchor Points'!$A$5-'Anchor Points'!$A$4)*('Anchor Points'!$C$5-'Anchor Points'!$C$4),IF(A113&lt;=55,'Anchor Points'!$C$5+(A113-'Anchor Points'!$A$5)/('Anchor Points'!$A$6-'Anchor Points'!$A$5)*('Anchor Points'!$C$6-'Anchor Points'!$C$5),IF(A113&lt;=70,'Anchor Points'!$C$6+(A113-'Anchor Points'!$A$6)/('Anchor Points'!$A$7-'Anchor Points'!$A$6)*('Anchor Points'!$C$7-'Anchor Points'!$C$6),IF(A113&lt;=90,'Anchor Points'!$C$7+(A113-'Anchor Points'!$A$7)/('Anchor Points'!$A$8-'Anchor Points'!$A$7)*('Anchor Points'!$C$8-'Anchor Points'!$C$7),'Anchor Points'!$C$8+(A113-'Anchor Points'!$A$8)/('Anchor Points'!$A$9-'Anchor Points'!$A$8)*('Anchor Points'!$C$9-'Anchor Points'!$C$8)))))))</x:f>
        <x:v>95.5</x:v>
      </x:c>
      <x:c r="E113" s="28" t="n">
        <x:f>IF(A113&lt;=15,'Anchor Points'!$D$2+(A113-'Anchor Points'!$A$2)/('Anchor Points'!$A$3-'Anchor Points'!$A$2)*('Anchor Points'!$D$3-'Anchor Points'!$D$2),IF(A113&lt;=25,'Anchor Points'!$D$3+(A113-'Anchor Points'!$A$3)/('Anchor Points'!$A$4-'Anchor Points'!$A$3)*('Anchor Points'!$D$4-'Anchor Points'!$D$3),IF(A113&lt;=40,'Anchor Points'!$D$4+(A113-'Anchor Points'!$A$4)/('Anchor Points'!$A$5-'Anchor Points'!$A$4)*('Anchor Points'!$D$5-'Anchor Points'!$D$4),IF(A113&lt;=55,'Anchor Points'!$D$5+(A113-'Anchor Points'!$A$5)/('Anchor Points'!$A$6-'Anchor Points'!$A$5)*('Anchor Points'!$D$6-'Anchor Points'!$D$5),IF(A113&lt;=70,'Anchor Points'!$D$6+(A113-'Anchor Points'!$A$6)/('Anchor Points'!$A$7-'Anchor Points'!$A$6)*('Anchor Points'!$D$7-'Anchor Points'!$D$6),IF(A113&lt;=90,'Anchor Points'!$D$7+(A113-'Anchor Points'!$A$7)/('Anchor Points'!$A$8-'Anchor Points'!$A$7)*('Anchor Points'!$D$8-'Anchor Points'!$D$7),'Anchor Points'!$D$8+(A113-'Anchor Points'!$A$8)/('Anchor Points'!$A$9-'Anchor Points'!$A$8)*('Anchor Points'!$D$9-'Anchor Points'!$D$8)))))))</x:f>
        <x:v>5.9</x:v>
      </x:c>
      <x:c r="F113" s="30" t="n">
        <x:f>ROUND(E113,0)</x:f>
        <x:v>6</x:v>
      </x:c>
      <x:c r="G113" s="28" t="n">
        <x:f>IF(A113&lt;=15,'Anchor Points'!$E$2+(A113-'Anchor Points'!$A$2)/('Anchor Points'!$A$3-'Anchor Points'!$A$2)*('Anchor Points'!$E$3-'Anchor Points'!$E$2),IF(A113&lt;=25,'Anchor Points'!$E$3+(A113-'Anchor Points'!$A$3)/('Anchor Points'!$A$4-'Anchor Points'!$A$3)*('Anchor Points'!$E$4-'Anchor Points'!$E$3),IF(A113&lt;=40,'Anchor Points'!$E$4+(A113-'Anchor Points'!$A$4)/('Anchor Points'!$A$5-'Anchor Points'!$A$4)*('Anchor Points'!$E$5-'Anchor Points'!$E$4),IF(A113&lt;=55,'Anchor Points'!$E$5+(A113-'Anchor Points'!$A$5)/('Anchor Points'!$A$6-'Anchor Points'!$A$5)*('Anchor Points'!$E$6-'Anchor Points'!$E$5),IF(A113&lt;=70,'Anchor Points'!$E$6+(A113-'Anchor Points'!$A$6)/('Anchor Points'!$A$7-'Anchor Points'!$A$6)*('Anchor Points'!$E$7-'Anchor Points'!$E$6),IF(A113&lt;=90,'Anchor Points'!$E$7+(A113-'Anchor Points'!$A$7)/('Anchor Points'!$A$8-'Anchor Points'!$A$7)*('Anchor Points'!$E$8-'Anchor Points'!$E$7),'Anchor Points'!$E$8+(A113-'Anchor Points'!$A$8)/('Anchor Points'!$A$9-'Anchor Points'!$A$8)*('Anchor Points'!$E$9-'Anchor Points'!$E$8)))))))</x:f>
        <x:v>11.4</x:v>
      </x:c>
      <x:c r="H113" s="30" t="n">
        <x:f>ROUND(G113,0)</x:f>
        <x:v>11</x:v>
      </x:c>
      <x:c r="I113" s="28" t="n">
        <x:f>IF(A113&lt;=15,'Anchor Points'!$F$2+(A113-'Anchor Points'!$A$2)/('Anchor Points'!$A$3-'Anchor Points'!$A$2)*('Anchor Points'!$F$3-'Anchor Points'!$F$2),IF(A113&lt;=25,'Anchor Points'!$F$3+(A113-'Anchor Points'!$A$3)/('Anchor Points'!$A$4-'Anchor Points'!$A$3)*('Anchor Points'!$F$4-'Anchor Points'!$F$3),IF(A113&lt;=40,'Anchor Points'!$F$4+(A113-'Anchor Points'!$A$4)/('Anchor Points'!$A$5-'Anchor Points'!$A$4)*('Anchor Points'!$F$5-'Anchor Points'!$F$4),IF(A113&lt;=55,'Anchor Points'!$F$5+(A113-'Anchor Points'!$A$5)/('Anchor Points'!$A$6-'Anchor Points'!$A$5)*('Anchor Points'!$F$6-'Anchor Points'!$F$5),IF(A113&lt;=70,'Anchor Points'!$F$6+(A113-'Anchor Points'!$A$6)/('Anchor Points'!$A$7-'Anchor Points'!$A$6)*('Anchor Points'!$F$7-'Anchor Points'!$F$6),IF(A113&lt;=90,'Anchor Points'!$F$7+(A113-'Anchor Points'!$A$7)/('Anchor Points'!$A$8-'Anchor Points'!$A$7)*('Anchor Points'!$F$8-'Anchor Points'!$F$7),'Anchor Points'!$F$8+(A113-'Anchor Points'!$A$8)/('Anchor Points'!$A$9-'Anchor Points'!$A$8)*('Anchor Points'!$F$9-'Anchor Points'!$F$8)))))))</x:f>
        <x:v>53.5</x:v>
      </x:c>
      <x:c r="J113" s="28" t="n">
        <x:v>8</x:v>
      </x:c>
      <x:c r="K113" s="56" t="n">
        <x:v>9</x:v>
      </x:c>
      <x:c r="L113" s="52" t="n">
        <x:v>10</x:v>
      </x:c>
      <x:c r="M113" s="52" t="n">
        <x:v>55</x:v>
      </x:c>
      <x:c r="N113" s="56" t="n">
        <x:v>62</x:v>
      </x:c>
      <x:c r="O113" s="28" t="n">
        <x:v>70</x:v>
      </x:c>
      <x:c r="P113" s="28" t="n">
        <x:v>60</x:v>
      </x:c>
      <x:c r="Q113" s="55" t="n">
        <x:v>70</x:v>
      </x:c>
      <x:c r="R113" s="28" t="n">
        <x:v>80</x:v>
      </x:c>
      <x:c r="S113" s="28" t="n">
        <x:v>12</x:v>
      </x:c>
      <x:c r="T113" s="28" t="n">
        <x:v>15</x:v>
      </x:c>
      <x:c r="U113" s="55" t="n">
        <x:v>18</x:v>
      </x:c>
      <x:c r="V113" s="28" t="n">
        <x:v>1237</x:v>
      </x:c>
      <x:c r="W113" s="55" t="n">
        <x:v>1570</x:v>
      </x:c>
      <x:c r="X113" s="28" t="n">
        <x:v>1888</x:v>
      </x:c>
    </x:row>
    <x:row r="114">
      <x:c r="A114" s="30" t="n">
        <x:v>112</x:v>
      </x:c>
      <x:c r="B114" s="11" t="str">
        <x:f>IF(A114&lt;=15,"Seedling",IF(A114&lt;=25,"Establishment",IF(A114&lt;=40,"Vegetative Growth",IF(A114&lt;=55,"Flowering &amp; Initial Fruit Set",IF(A114&lt;=80,"Fruit Enlargement",IF(A114&lt;=95,"Ripening","Harvesting"))))))</x:f>
        <x:v>Harvesting</x:v>
      </x:c>
      <x:c r="C114" s="28" t="n">
        <x:f>IF(A114&lt;=15,'Anchor Points'!$B$2+(A114-'Anchor Points'!$A$2)/('Anchor Points'!$A$3-'Anchor Points'!$A$2)*('Anchor Points'!$B$3-'Anchor Points'!$B$2),IF(A114&lt;=25,'Anchor Points'!$B$3+(A114-'Anchor Points'!$A$3)/('Anchor Points'!$A$4-'Anchor Points'!$A$3)*('Anchor Points'!$B$4-'Anchor Points'!$B$3),IF(A114&lt;=40,'Anchor Points'!$B$4+(A114-'Anchor Points'!$A$4)/('Anchor Points'!$A$5-'Anchor Points'!$A$4)*('Anchor Points'!$B$5-'Anchor Points'!$B$4),IF(A114&lt;=55,'Anchor Points'!$B$5+(A114-'Anchor Points'!$A$5)/('Anchor Points'!$A$6-'Anchor Points'!$A$5)*('Anchor Points'!$B$6-'Anchor Points'!$B$5),IF(A114&lt;=70,'Anchor Points'!$B$6+(A114-'Anchor Points'!$A$6)/('Anchor Points'!$A$7-'Anchor Points'!$A$6)*('Anchor Points'!$B$7-'Anchor Points'!$B$6),IF(A114&lt;=90,'Anchor Points'!$B$7+(A114-'Anchor Points'!$A$7)/('Anchor Points'!$A$8-'Anchor Points'!$A$7)*('Anchor Points'!$B$8-'Anchor Points'!$B$7),'Anchor Points'!$B$8+(A114-'Anchor Points'!$A$8)/('Anchor Points'!$A$9-'Anchor Points'!$A$8)*('Anchor Points'!$B$9-'Anchor Points'!$B$8)))))))</x:f>
        <x:v>87.86666666666666</x:v>
      </x:c>
      <x:c r="D114" s="28" t="n">
        <x:f>IF(A114&lt;=15,'Anchor Points'!$C$2+(A114-'Anchor Points'!$A$2)/('Anchor Points'!$A$3-'Anchor Points'!$A$2)*('Anchor Points'!$C$3-'Anchor Points'!$C$2),IF(A114&lt;=25,'Anchor Points'!$C$3+(A114-'Anchor Points'!$A$3)/('Anchor Points'!$A$4-'Anchor Points'!$A$3)*('Anchor Points'!$C$4-'Anchor Points'!$C$3),IF(A114&lt;=40,'Anchor Points'!$C$4+(A114-'Anchor Points'!$A$4)/('Anchor Points'!$A$5-'Anchor Points'!$A$4)*('Anchor Points'!$C$5-'Anchor Points'!$C$4),IF(A114&lt;=55,'Anchor Points'!$C$5+(A114-'Anchor Points'!$A$5)/('Anchor Points'!$A$6-'Anchor Points'!$A$5)*('Anchor Points'!$C$6-'Anchor Points'!$C$5),IF(A114&lt;=70,'Anchor Points'!$C$6+(A114-'Anchor Points'!$A$6)/('Anchor Points'!$A$7-'Anchor Points'!$A$6)*('Anchor Points'!$C$7-'Anchor Points'!$C$6),IF(A114&lt;=90,'Anchor Points'!$C$7+(A114-'Anchor Points'!$A$7)/('Anchor Points'!$A$8-'Anchor Points'!$A$7)*('Anchor Points'!$C$8-'Anchor Points'!$C$7),'Anchor Points'!$C$8+(A114-'Anchor Points'!$A$8)/('Anchor Points'!$A$9-'Anchor Points'!$A$8)*('Anchor Points'!$C$9-'Anchor Points'!$C$8)))))))</x:f>
        <x:v>96</x:v>
      </x:c>
      <x:c r="E114" s="28" t="n">
        <x:f>IF(A114&lt;=15,'Anchor Points'!$D$2+(A114-'Anchor Points'!$A$2)/('Anchor Points'!$A$3-'Anchor Points'!$A$2)*('Anchor Points'!$D$3-'Anchor Points'!$D$2),IF(A114&lt;=25,'Anchor Points'!$D$3+(A114-'Anchor Points'!$A$3)/('Anchor Points'!$A$4-'Anchor Points'!$A$3)*('Anchor Points'!$D$4-'Anchor Points'!$D$3),IF(A114&lt;=40,'Anchor Points'!$D$4+(A114-'Anchor Points'!$A$4)/('Anchor Points'!$A$5-'Anchor Points'!$A$4)*('Anchor Points'!$D$5-'Anchor Points'!$D$4),IF(A114&lt;=55,'Anchor Points'!$D$5+(A114-'Anchor Points'!$A$5)/('Anchor Points'!$A$6-'Anchor Points'!$A$5)*('Anchor Points'!$D$6-'Anchor Points'!$D$5),IF(A114&lt;=70,'Anchor Points'!$D$6+(A114-'Anchor Points'!$A$6)/('Anchor Points'!$A$7-'Anchor Points'!$A$6)*('Anchor Points'!$D$7-'Anchor Points'!$D$6),IF(A114&lt;=90,'Anchor Points'!$D$7+(A114-'Anchor Points'!$A$7)/('Anchor Points'!$A$8-'Anchor Points'!$A$7)*('Anchor Points'!$D$8-'Anchor Points'!$D$7),'Anchor Points'!$D$8+(A114-'Anchor Points'!$A$8)/('Anchor Points'!$A$9-'Anchor Points'!$A$8)*('Anchor Points'!$D$9-'Anchor Points'!$D$8)))))))</x:f>
        <x:v>5.800000000000001</x:v>
      </x:c>
      <x:c r="F114" s="30" t="n">
        <x:f>ROUND(E114,0)</x:f>
        <x:v>6</x:v>
      </x:c>
      <x:c r="G114" s="28" t="n">
        <x:f>IF(A114&lt;=15,'Anchor Points'!$E$2+(A114-'Anchor Points'!$A$2)/('Anchor Points'!$A$3-'Anchor Points'!$A$2)*('Anchor Points'!$E$3-'Anchor Points'!$E$2),IF(A114&lt;=25,'Anchor Points'!$E$3+(A114-'Anchor Points'!$A$3)/('Anchor Points'!$A$4-'Anchor Points'!$A$3)*('Anchor Points'!$E$4-'Anchor Points'!$E$3),IF(A114&lt;=40,'Anchor Points'!$E$4+(A114-'Anchor Points'!$A$4)/('Anchor Points'!$A$5-'Anchor Points'!$A$4)*('Anchor Points'!$E$5-'Anchor Points'!$E$4),IF(A114&lt;=55,'Anchor Points'!$E$5+(A114-'Anchor Points'!$A$5)/('Anchor Points'!$A$6-'Anchor Points'!$A$5)*('Anchor Points'!$E$6-'Anchor Points'!$E$5),IF(A114&lt;=70,'Anchor Points'!$E$6+(A114-'Anchor Points'!$A$6)/('Anchor Points'!$A$7-'Anchor Points'!$A$6)*('Anchor Points'!$E$7-'Anchor Points'!$E$6),IF(A114&lt;=90,'Anchor Points'!$E$7+(A114-'Anchor Points'!$A$7)/('Anchor Points'!$A$8-'Anchor Points'!$A$7)*('Anchor Points'!$E$8-'Anchor Points'!$E$7),'Anchor Points'!$E$8+(A114-'Anchor Points'!$A$8)/('Anchor Points'!$A$9-'Anchor Points'!$A$8)*('Anchor Points'!$E$9-'Anchor Points'!$E$8)))))))</x:f>
        <x:v>11.466666666666667</x:v>
      </x:c>
      <x:c r="H114" s="30" t="n">
        <x:f>ROUND(G114,0)</x:f>
        <x:v>11</x:v>
      </x:c>
      <x:c r="I114" s="28" t="n">
        <x:f>IF(A114&lt;=15,'Anchor Points'!$F$2+(A114-'Anchor Points'!$A$2)/('Anchor Points'!$A$3-'Anchor Points'!$A$2)*('Anchor Points'!$F$3-'Anchor Points'!$F$2),IF(A114&lt;=25,'Anchor Points'!$F$3+(A114-'Anchor Points'!$A$3)/('Anchor Points'!$A$4-'Anchor Points'!$A$3)*('Anchor Points'!$F$4-'Anchor Points'!$F$3),IF(A114&lt;=40,'Anchor Points'!$F$4+(A114-'Anchor Points'!$A$4)/('Anchor Points'!$A$5-'Anchor Points'!$A$4)*('Anchor Points'!$F$5-'Anchor Points'!$F$4),IF(A114&lt;=55,'Anchor Points'!$F$5+(A114-'Anchor Points'!$A$5)/('Anchor Points'!$A$6-'Anchor Points'!$A$5)*('Anchor Points'!$F$6-'Anchor Points'!$F$5),IF(A114&lt;=70,'Anchor Points'!$F$6+(A114-'Anchor Points'!$A$6)/('Anchor Points'!$A$7-'Anchor Points'!$A$6)*('Anchor Points'!$F$7-'Anchor Points'!$F$6),IF(A114&lt;=90,'Anchor Points'!$F$7+(A114-'Anchor Points'!$A$7)/('Anchor Points'!$A$8-'Anchor Points'!$A$7)*('Anchor Points'!$F$8-'Anchor Points'!$F$7),'Anchor Points'!$F$8+(A114-'Anchor Points'!$A$8)/('Anchor Points'!$A$9-'Anchor Points'!$A$8)*('Anchor Points'!$F$9-'Anchor Points'!$F$8)))))))</x:f>
        <x:v>53.666666666666664</x:v>
      </x:c>
      <x:c r="J114" s="28" t="n">
        <x:v>8</x:v>
      </x:c>
      <x:c r="K114" s="56" t="n">
        <x:v>9</x:v>
      </x:c>
      <x:c r="L114" s="52" t="n">
        <x:v>10</x:v>
      </x:c>
      <x:c r="M114" s="52" t="n">
        <x:v>55</x:v>
      </x:c>
      <x:c r="N114" s="56" t="n">
        <x:v>62</x:v>
      </x:c>
      <x:c r="O114" s="28" t="n">
        <x:v>70</x:v>
      </x:c>
      <x:c r="P114" s="28" t="n">
        <x:v>60</x:v>
      </x:c>
      <x:c r="Q114" s="55" t="n">
        <x:v>70</x:v>
      </x:c>
      <x:c r="R114" s="28" t="n">
        <x:v>80</x:v>
      </x:c>
      <x:c r="S114" s="28" t="n">
        <x:v>12</x:v>
      </x:c>
      <x:c r="T114" s="28" t="n">
        <x:v>15</x:v>
      </x:c>
      <x:c r="U114" s="55" t="n">
        <x:v>18</x:v>
      </x:c>
      <x:c r="V114" s="28" t="n">
        <x:v>1249</x:v>
      </x:c>
      <x:c r="W114" s="55" t="n">
        <x:v>1585</x:v>
      </x:c>
      <x:c r="X114" s="28" t="n">
        <x:v>1906</x:v>
      </x:c>
    </x:row>
    <x:row r="115">
      <x:c r="A115" s="30" t="n">
        <x:v>113</x:v>
      </x:c>
      <x:c r="B115" s="11" t="str">
        <x:f>IF(A115&lt;=15,"Seedling",IF(A115&lt;=25,"Establishment",IF(A115&lt;=40,"Vegetative Growth",IF(A115&lt;=55,"Flowering &amp; Initial Fruit Set",IF(A115&lt;=80,"Fruit Enlargement",IF(A115&lt;=95,"Ripening","Harvesting"))))))</x:f>
        <x:v>Harvesting</x:v>
      </x:c>
      <x:c r="C115" s="28" t="n">
        <x:f>IF(A115&lt;=15,'Anchor Points'!$B$2+(A115-'Anchor Points'!$A$2)/('Anchor Points'!$A$3-'Anchor Points'!$A$2)*('Anchor Points'!$B$3-'Anchor Points'!$B$2),IF(A115&lt;=25,'Anchor Points'!$B$3+(A115-'Anchor Points'!$A$3)/('Anchor Points'!$A$4-'Anchor Points'!$A$3)*('Anchor Points'!$B$4-'Anchor Points'!$B$3),IF(A115&lt;=40,'Anchor Points'!$B$4+(A115-'Anchor Points'!$A$4)/('Anchor Points'!$A$5-'Anchor Points'!$A$4)*('Anchor Points'!$B$5-'Anchor Points'!$B$4),IF(A115&lt;=55,'Anchor Points'!$B$5+(A115-'Anchor Points'!$A$5)/('Anchor Points'!$A$6-'Anchor Points'!$A$5)*('Anchor Points'!$B$6-'Anchor Points'!$B$5),IF(A115&lt;=70,'Anchor Points'!$B$6+(A115-'Anchor Points'!$A$6)/('Anchor Points'!$A$7-'Anchor Points'!$A$6)*('Anchor Points'!$B$7-'Anchor Points'!$B$6),IF(A115&lt;=90,'Anchor Points'!$B$7+(A115-'Anchor Points'!$A$7)/('Anchor Points'!$A$8-'Anchor Points'!$A$7)*('Anchor Points'!$B$8-'Anchor Points'!$B$7),'Anchor Points'!$B$8+(A115-'Anchor Points'!$A$8)/('Anchor Points'!$A$9-'Anchor Points'!$A$8)*('Anchor Points'!$B$9-'Anchor Points'!$B$8)))))))</x:f>
        <x:v>88.13333333333334</x:v>
      </x:c>
      <x:c r="D115" s="28" t="n">
        <x:f>IF(A115&lt;=15,'Anchor Points'!$C$2+(A115-'Anchor Points'!$A$2)/('Anchor Points'!$A$3-'Anchor Points'!$A$2)*('Anchor Points'!$C$3-'Anchor Points'!$C$2),IF(A115&lt;=25,'Anchor Points'!$C$3+(A115-'Anchor Points'!$A$3)/('Anchor Points'!$A$4-'Anchor Points'!$A$3)*('Anchor Points'!$C$4-'Anchor Points'!$C$3),IF(A115&lt;=40,'Anchor Points'!$C$4+(A115-'Anchor Points'!$A$4)/('Anchor Points'!$A$5-'Anchor Points'!$A$4)*('Anchor Points'!$C$5-'Anchor Points'!$C$4),IF(A115&lt;=55,'Anchor Points'!$C$5+(A115-'Anchor Points'!$A$5)/('Anchor Points'!$A$6-'Anchor Points'!$A$5)*('Anchor Points'!$C$6-'Anchor Points'!$C$5),IF(A115&lt;=70,'Anchor Points'!$C$6+(A115-'Anchor Points'!$A$6)/('Anchor Points'!$A$7-'Anchor Points'!$A$6)*('Anchor Points'!$C$7-'Anchor Points'!$C$6),IF(A115&lt;=90,'Anchor Points'!$C$7+(A115-'Anchor Points'!$A$7)/('Anchor Points'!$A$8-'Anchor Points'!$A$7)*('Anchor Points'!$C$8-'Anchor Points'!$C$7),'Anchor Points'!$C$8+(A115-'Anchor Points'!$A$8)/('Anchor Points'!$A$9-'Anchor Points'!$A$8)*('Anchor Points'!$C$9-'Anchor Points'!$C$8)))))))</x:f>
        <x:v>96.5</x:v>
      </x:c>
      <x:c r="E115" s="28" t="n">
        <x:f>IF(A115&lt;=15,'Anchor Points'!$D$2+(A115-'Anchor Points'!$A$2)/('Anchor Points'!$A$3-'Anchor Points'!$A$2)*('Anchor Points'!$D$3-'Anchor Points'!$D$2),IF(A115&lt;=25,'Anchor Points'!$D$3+(A115-'Anchor Points'!$A$3)/('Anchor Points'!$A$4-'Anchor Points'!$A$3)*('Anchor Points'!$D$4-'Anchor Points'!$D$3),IF(A115&lt;=40,'Anchor Points'!$D$4+(A115-'Anchor Points'!$A$4)/('Anchor Points'!$A$5-'Anchor Points'!$A$4)*('Anchor Points'!$D$5-'Anchor Points'!$D$4),IF(A115&lt;=55,'Anchor Points'!$D$5+(A115-'Anchor Points'!$A$5)/('Anchor Points'!$A$6-'Anchor Points'!$A$5)*('Anchor Points'!$D$6-'Anchor Points'!$D$5),IF(A115&lt;=70,'Anchor Points'!$D$6+(A115-'Anchor Points'!$A$6)/('Anchor Points'!$A$7-'Anchor Points'!$A$6)*('Anchor Points'!$D$7-'Anchor Points'!$D$6),IF(A115&lt;=90,'Anchor Points'!$D$7+(A115-'Anchor Points'!$A$7)/('Anchor Points'!$A$8-'Anchor Points'!$A$7)*('Anchor Points'!$D$8-'Anchor Points'!$D$7),'Anchor Points'!$D$8+(A115-'Anchor Points'!$A$8)/('Anchor Points'!$A$9-'Anchor Points'!$A$8)*('Anchor Points'!$D$9-'Anchor Points'!$D$8)))))))</x:f>
        <x:v>5.699999999999999</x:v>
      </x:c>
      <x:c r="F115" s="30" t="n">
        <x:f>ROUND(E115,0)</x:f>
        <x:v>6</x:v>
      </x:c>
      <x:c r="G115" s="28" t="n">
        <x:f>IF(A115&lt;=15,'Anchor Points'!$E$2+(A115-'Anchor Points'!$A$2)/('Anchor Points'!$A$3-'Anchor Points'!$A$2)*('Anchor Points'!$E$3-'Anchor Points'!$E$2),IF(A115&lt;=25,'Anchor Points'!$E$3+(A115-'Anchor Points'!$A$3)/('Anchor Points'!$A$4-'Anchor Points'!$A$3)*('Anchor Points'!$E$4-'Anchor Points'!$E$3),IF(A115&lt;=40,'Anchor Points'!$E$4+(A115-'Anchor Points'!$A$4)/('Anchor Points'!$A$5-'Anchor Points'!$A$4)*('Anchor Points'!$E$5-'Anchor Points'!$E$4),IF(A115&lt;=55,'Anchor Points'!$E$5+(A115-'Anchor Points'!$A$5)/('Anchor Points'!$A$6-'Anchor Points'!$A$5)*('Anchor Points'!$E$6-'Anchor Points'!$E$5),IF(A115&lt;=70,'Anchor Points'!$E$6+(A115-'Anchor Points'!$A$6)/('Anchor Points'!$A$7-'Anchor Points'!$A$6)*('Anchor Points'!$E$7-'Anchor Points'!$E$6),IF(A115&lt;=90,'Anchor Points'!$E$7+(A115-'Anchor Points'!$A$7)/('Anchor Points'!$A$8-'Anchor Points'!$A$7)*('Anchor Points'!$E$8-'Anchor Points'!$E$7),'Anchor Points'!$E$8+(A115-'Anchor Points'!$A$8)/('Anchor Points'!$A$9-'Anchor Points'!$A$8)*('Anchor Points'!$E$9-'Anchor Points'!$E$8)))))))</x:f>
        <x:v>11.533333333333333</x:v>
      </x:c>
      <x:c r="H115" s="30" t="n">
        <x:f>ROUND(G115,0)</x:f>
        <x:v>12</x:v>
      </x:c>
      <x:c r="I115" s="28" t="n">
        <x:f>IF(A115&lt;=15,'Anchor Points'!$F$2+(A115-'Anchor Points'!$A$2)/('Anchor Points'!$A$3-'Anchor Points'!$A$2)*('Anchor Points'!$F$3-'Anchor Points'!$F$2),IF(A115&lt;=25,'Anchor Points'!$F$3+(A115-'Anchor Points'!$A$3)/('Anchor Points'!$A$4-'Anchor Points'!$A$3)*('Anchor Points'!$F$4-'Anchor Points'!$F$3),IF(A115&lt;=40,'Anchor Points'!$F$4+(A115-'Anchor Points'!$A$4)/('Anchor Points'!$A$5-'Anchor Points'!$A$4)*('Anchor Points'!$F$5-'Anchor Points'!$F$4),IF(A115&lt;=55,'Anchor Points'!$F$5+(A115-'Anchor Points'!$A$5)/('Anchor Points'!$A$6-'Anchor Points'!$A$5)*('Anchor Points'!$F$6-'Anchor Points'!$F$5),IF(A115&lt;=70,'Anchor Points'!$F$6+(A115-'Anchor Points'!$A$6)/('Anchor Points'!$A$7-'Anchor Points'!$A$6)*('Anchor Points'!$F$7-'Anchor Points'!$F$6),IF(A115&lt;=90,'Anchor Points'!$F$7+(A115-'Anchor Points'!$A$7)/('Anchor Points'!$A$8-'Anchor Points'!$A$7)*('Anchor Points'!$F$8-'Anchor Points'!$F$7),'Anchor Points'!$F$8+(A115-'Anchor Points'!$A$8)/('Anchor Points'!$A$9-'Anchor Points'!$A$8)*('Anchor Points'!$F$9-'Anchor Points'!$F$8)))))))</x:f>
        <x:v>53.833333333333336</x:v>
      </x:c>
      <x:c r="J115" s="28" t="n">
        <x:v>8</x:v>
      </x:c>
      <x:c r="K115" s="56" t="n">
        <x:v>9</x:v>
      </x:c>
      <x:c r="L115" s="52" t="n">
        <x:v>10</x:v>
      </x:c>
      <x:c r="M115" s="52" t="n">
        <x:v>55</x:v>
      </x:c>
      <x:c r="N115" s="56" t="n">
        <x:v>62</x:v>
      </x:c>
      <x:c r="O115" s="28" t="n">
        <x:v>70</x:v>
      </x:c>
      <x:c r="P115" s="28" t="n">
        <x:v>60</x:v>
      </x:c>
      <x:c r="Q115" s="55" t="n">
        <x:v>70</x:v>
      </x:c>
      <x:c r="R115" s="28" t="n">
        <x:v>80</x:v>
      </x:c>
      <x:c r="S115" s="28" t="n">
        <x:v>12</x:v>
      </x:c>
      <x:c r="T115" s="28" t="n">
        <x:v>15</x:v>
      </x:c>
      <x:c r="U115" s="55" t="n">
        <x:v>18</x:v>
      </x:c>
      <x:c r="V115" s="28" t="n">
        <x:v>1261</x:v>
      </x:c>
      <x:c r="W115" s="55" t="n">
        <x:v>1600</x:v>
      </x:c>
      <x:c r="X115" s="28" t="n">
        <x:v>1924</x:v>
      </x:c>
    </x:row>
    <x:row r="116">
      <x:c r="A116" s="30" t="n">
        <x:v>114</x:v>
      </x:c>
      <x:c r="B116" s="11" t="str">
        <x:f>IF(A116&lt;=15,"Seedling",IF(A116&lt;=25,"Establishment",IF(A116&lt;=40,"Vegetative Growth",IF(A116&lt;=55,"Flowering &amp; Initial Fruit Set",IF(A116&lt;=80,"Fruit Enlargement",IF(A116&lt;=95,"Ripening","Harvesting"))))))</x:f>
        <x:v>Harvesting</x:v>
      </x:c>
      <x:c r="C116" s="28" t="n">
        <x:f>IF(A116&lt;=15,'Anchor Points'!$B$2+(A116-'Anchor Points'!$A$2)/('Anchor Points'!$A$3-'Anchor Points'!$A$2)*('Anchor Points'!$B$3-'Anchor Points'!$B$2),IF(A116&lt;=25,'Anchor Points'!$B$3+(A116-'Anchor Points'!$A$3)/('Anchor Points'!$A$4-'Anchor Points'!$A$3)*('Anchor Points'!$B$4-'Anchor Points'!$B$3),IF(A116&lt;=40,'Anchor Points'!$B$4+(A116-'Anchor Points'!$A$4)/('Anchor Points'!$A$5-'Anchor Points'!$A$4)*('Anchor Points'!$B$5-'Anchor Points'!$B$4),IF(A116&lt;=55,'Anchor Points'!$B$5+(A116-'Anchor Points'!$A$5)/('Anchor Points'!$A$6-'Anchor Points'!$A$5)*('Anchor Points'!$B$6-'Anchor Points'!$B$5),IF(A116&lt;=70,'Anchor Points'!$B$6+(A116-'Anchor Points'!$A$6)/('Anchor Points'!$A$7-'Anchor Points'!$A$6)*('Anchor Points'!$B$7-'Anchor Points'!$B$6),IF(A116&lt;=90,'Anchor Points'!$B$7+(A116-'Anchor Points'!$A$7)/('Anchor Points'!$A$8-'Anchor Points'!$A$7)*('Anchor Points'!$B$8-'Anchor Points'!$B$7),'Anchor Points'!$B$8+(A116-'Anchor Points'!$A$8)/('Anchor Points'!$A$9-'Anchor Points'!$A$8)*('Anchor Points'!$B$9-'Anchor Points'!$B$8)))))))</x:f>
        <x:v>88.4</x:v>
      </x:c>
      <x:c r="D116" s="28" t="n">
        <x:f>IF(A116&lt;=15,'Anchor Points'!$C$2+(A116-'Anchor Points'!$A$2)/('Anchor Points'!$A$3-'Anchor Points'!$A$2)*('Anchor Points'!$C$3-'Anchor Points'!$C$2),IF(A116&lt;=25,'Anchor Points'!$C$3+(A116-'Anchor Points'!$A$3)/('Anchor Points'!$A$4-'Anchor Points'!$A$3)*('Anchor Points'!$C$4-'Anchor Points'!$C$3),IF(A116&lt;=40,'Anchor Points'!$C$4+(A116-'Anchor Points'!$A$4)/('Anchor Points'!$A$5-'Anchor Points'!$A$4)*('Anchor Points'!$C$5-'Anchor Points'!$C$4),IF(A116&lt;=55,'Anchor Points'!$C$5+(A116-'Anchor Points'!$A$5)/('Anchor Points'!$A$6-'Anchor Points'!$A$5)*('Anchor Points'!$C$6-'Anchor Points'!$C$5),IF(A116&lt;=70,'Anchor Points'!$C$6+(A116-'Anchor Points'!$A$6)/('Anchor Points'!$A$7-'Anchor Points'!$A$6)*('Anchor Points'!$C$7-'Anchor Points'!$C$6),IF(A116&lt;=90,'Anchor Points'!$C$7+(A116-'Anchor Points'!$A$7)/('Anchor Points'!$A$8-'Anchor Points'!$A$7)*('Anchor Points'!$C$8-'Anchor Points'!$C$7),'Anchor Points'!$C$8+(A116-'Anchor Points'!$A$8)/('Anchor Points'!$A$9-'Anchor Points'!$A$8)*('Anchor Points'!$C$9-'Anchor Points'!$C$8)))))))</x:f>
        <x:v>97</x:v>
      </x:c>
      <x:c r="E116" s="28" t="n">
        <x:f>IF(A116&lt;=15,'Anchor Points'!$D$2+(A116-'Anchor Points'!$A$2)/('Anchor Points'!$A$3-'Anchor Points'!$A$2)*('Anchor Points'!$D$3-'Anchor Points'!$D$2),IF(A116&lt;=25,'Anchor Points'!$D$3+(A116-'Anchor Points'!$A$3)/('Anchor Points'!$A$4-'Anchor Points'!$A$3)*('Anchor Points'!$D$4-'Anchor Points'!$D$3),IF(A116&lt;=40,'Anchor Points'!$D$4+(A116-'Anchor Points'!$A$4)/('Anchor Points'!$A$5-'Anchor Points'!$A$4)*('Anchor Points'!$D$5-'Anchor Points'!$D$4),IF(A116&lt;=55,'Anchor Points'!$D$5+(A116-'Anchor Points'!$A$5)/('Anchor Points'!$A$6-'Anchor Points'!$A$5)*('Anchor Points'!$D$6-'Anchor Points'!$D$5),IF(A116&lt;=70,'Anchor Points'!$D$6+(A116-'Anchor Points'!$A$6)/('Anchor Points'!$A$7-'Anchor Points'!$A$6)*('Anchor Points'!$D$7-'Anchor Points'!$D$6),IF(A116&lt;=90,'Anchor Points'!$D$7+(A116-'Anchor Points'!$A$7)/('Anchor Points'!$A$8-'Anchor Points'!$A$7)*('Anchor Points'!$D$8-'Anchor Points'!$D$7),'Anchor Points'!$D$8+(A116-'Anchor Points'!$A$8)/('Anchor Points'!$A$9-'Anchor Points'!$A$8)*('Anchor Points'!$D$9-'Anchor Points'!$D$8)))))))</x:f>
        <x:v>5.6</x:v>
      </x:c>
      <x:c r="F116" s="30" t="n">
        <x:f>ROUND(E116,0)</x:f>
        <x:v>6</x:v>
      </x:c>
      <x:c r="G116" s="28" t="n">
        <x:f>IF(A116&lt;=15,'Anchor Points'!$E$2+(A116-'Anchor Points'!$A$2)/('Anchor Points'!$A$3-'Anchor Points'!$A$2)*('Anchor Points'!$E$3-'Anchor Points'!$E$2),IF(A116&lt;=25,'Anchor Points'!$E$3+(A116-'Anchor Points'!$A$3)/('Anchor Points'!$A$4-'Anchor Points'!$A$3)*('Anchor Points'!$E$4-'Anchor Points'!$E$3),IF(A116&lt;=40,'Anchor Points'!$E$4+(A116-'Anchor Points'!$A$4)/('Anchor Points'!$A$5-'Anchor Points'!$A$4)*('Anchor Points'!$E$5-'Anchor Points'!$E$4),IF(A116&lt;=55,'Anchor Points'!$E$5+(A116-'Anchor Points'!$A$5)/('Anchor Points'!$A$6-'Anchor Points'!$A$5)*('Anchor Points'!$E$6-'Anchor Points'!$E$5),IF(A116&lt;=70,'Anchor Points'!$E$6+(A116-'Anchor Points'!$A$6)/('Anchor Points'!$A$7-'Anchor Points'!$A$6)*('Anchor Points'!$E$7-'Anchor Points'!$E$6),IF(A116&lt;=90,'Anchor Points'!$E$7+(A116-'Anchor Points'!$A$7)/('Anchor Points'!$A$8-'Anchor Points'!$A$7)*('Anchor Points'!$E$8-'Anchor Points'!$E$7),'Anchor Points'!$E$8+(A116-'Anchor Points'!$A$8)/('Anchor Points'!$A$9-'Anchor Points'!$A$8)*('Anchor Points'!$E$9-'Anchor Points'!$E$8)))))))</x:f>
        <x:v>11.6</x:v>
      </x:c>
      <x:c r="H116" s="30" t="n">
        <x:f>ROUND(G116,0)</x:f>
        <x:v>12</x:v>
      </x:c>
      <x:c r="I116" s="28" t="n">
        <x:f>IF(A116&lt;=15,'Anchor Points'!$F$2+(A116-'Anchor Points'!$A$2)/('Anchor Points'!$A$3-'Anchor Points'!$A$2)*('Anchor Points'!$F$3-'Anchor Points'!$F$2),IF(A116&lt;=25,'Anchor Points'!$F$3+(A116-'Anchor Points'!$A$3)/('Anchor Points'!$A$4-'Anchor Points'!$A$3)*('Anchor Points'!$F$4-'Anchor Points'!$F$3),IF(A116&lt;=40,'Anchor Points'!$F$4+(A116-'Anchor Points'!$A$4)/('Anchor Points'!$A$5-'Anchor Points'!$A$4)*('Anchor Points'!$F$5-'Anchor Points'!$F$4),IF(A116&lt;=55,'Anchor Points'!$F$5+(A116-'Anchor Points'!$A$5)/('Anchor Points'!$A$6-'Anchor Points'!$A$5)*('Anchor Points'!$F$6-'Anchor Points'!$F$5),IF(A116&lt;=70,'Anchor Points'!$F$6+(A116-'Anchor Points'!$A$6)/('Anchor Points'!$A$7-'Anchor Points'!$A$6)*('Anchor Points'!$F$7-'Anchor Points'!$F$6),IF(A116&lt;=90,'Anchor Points'!$F$7+(A116-'Anchor Points'!$A$7)/('Anchor Points'!$A$8-'Anchor Points'!$A$7)*('Anchor Points'!$F$8-'Anchor Points'!$F$7),'Anchor Points'!$F$8+(A116-'Anchor Points'!$A$8)/('Anchor Points'!$A$9-'Anchor Points'!$A$8)*('Anchor Points'!$F$9-'Anchor Points'!$F$8)))))))</x:f>
        <x:v>54</x:v>
      </x:c>
      <x:c r="J116" s="28" t="n">
        <x:v>8</x:v>
      </x:c>
      <x:c r="K116" s="56" t="n">
        <x:v>9</x:v>
      </x:c>
      <x:c r="L116" s="52" t="n">
        <x:v>10</x:v>
      </x:c>
      <x:c r="M116" s="52" t="n">
        <x:v>55</x:v>
      </x:c>
      <x:c r="N116" s="56" t="n">
        <x:v>62</x:v>
      </x:c>
      <x:c r="O116" s="28" t="n">
        <x:v>70</x:v>
      </x:c>
      <x:c r="P116" s="28" t="n">
        <x:v>60</x:v>
      </x:c>
      <x:c r="Q116" s="55" t="n">
        <x:v>70</x:v>
      </x:c>
      <x:c r="R116" s="28" t="n">
        <x:v>80</x:v>
      </x:c>
      <x:c r="S116" s="28" t="n">
        <x:v>12</x:v>
      </x:c>
      <x:c r="T116" s="28" t="n">
        <x:v>15</x:v>
      </x:c>
      <x:c r="U116" s="55" t="n">
        <x:v>18</x:v>
      </x:c>
      <x:c r="V116" s="28" t="n">
        <x:v>1273</x:v>
      </x:c>
      <x:c r="W116" s="55" t="n">
        <x:v>1615</x:v>
      </x:c>
      <x:c r="X116" s="28" t="n">
        <x:v>1942</x:v>
      </x:c>
    </x:row>
    <x:row r="117">
      <x:c r="A117" s="30" t="n">
        <x:v>115</x:v>
      </x:c>
      <x:c r="B117" s="11" t="str">
        <x:f>IF(A117&lt;=15,"Seedling",IF(A117&lt;=25,"Establishment",IF(A117&lt;=40,"Vegetative Growth",IF(A117&lt;=55,"Flowering &amp; Initial Fruit Set",IF(A117&lt;=80,"Fruit Enlargement",IF(A117&lt;=95,"Ripening","Harvesting"))))))</x:f>
        <x:v>Harvesting</x:v>
      </x:c>
      <x:c r="C117" s="28" t="n">
        <x:f>IF(A117&lt;=15,'Anchor Points'!$B$2+(A117-'Anchor Points'!$A$2)/('Anchor Points'!$A$3-'Anchor Points'!$A$2)*('Anchor Points'!$B$3-'Anchor Points'!$B$2),IF(A117&lt;=25,'Anchor Points'!$B$3+(A117-'Anchor Points'!$A$3)/('Anchor Points'!$A$4-'Anchor Points'!$A$3)*('Anchor Points'!$B$4-'Anchor Points'!$B$3),IF(A117&lt;=40,'Anchor Points'!$B$4+(A117-'Anchor Points'!$A$4)/('Anchor Points'!$A$5-'Anchor Points'!$A$4)*('Anchor Points'!$B$5-'Anchor Points'!$B$4),IF(A117&lt;=55,'Anchor Points'!$B$5+(A117-'Anchor Points'!$A$5)/('Anchor Points'!$A$6-'Anchor Points'!$A$5)*('Anchor Points'!$B$6-'Anchor Points'!$B$5),IF(A117&lt;=70,'Anchor Points'!$B$6+(A117-'Anchor Points'!$A$6)/('Anchor Points'!$A$7-'Anchor Points'!$A$6)*('Anchor Points'!$B$7-'Anchor Points'!$B$6),IF(A117&lt;=90,'Anchor Points'!$B$7+(A117-'Anchor Points'!$A$7)/('Anchor Points'!$A$8-'Anchor Points'!$A$7)*('Anchor Points'!$B$8-'Anchor Points'!$B$7),'Anchor Points'!$B$8+(A117-'Anchor Points'!$A$8)/('Anchor Points'!$A$9-'Anchor Points'!$A$8)*('Anchor Points'!$B$9-'Anchor Points'!$B$8)))))))</x:f>
        <x:v>88.66666666666667</x:v>
      </x:c>
      <x:c r="D117" s="28" t="n">
        <x:f>IF(A117&lt;=15,'Anchor Points'!$C$2+(A117-'Anchor Points'!$A$2)/('Anchor Points'!$A$3-'Anchor Points'!$A$2)*('Anchor Points'!$C$3-'Anchor Points'!$C$2),IF(A117&lt;=25,'Anchor Points'!$C$3+(A117-'Anchor Points'!$A$3)/('Anchor Points'!$A$4-'Anchor Points'!$A$3)*('Anchor Points'!$C$4-'Anchor Points'!$C$3),IF(A117&lt;=40,'Anchor Points'!$C$4+(A117-'Anchor Points'!$A$4)/('Anchor Points'!$A$5-'Anchor Points'!$A$4)*('Anchor Points'!$C$5-'Anchor Points'!$C$4),IF(A117&lt;=55,'Anchor Points'!$C$5+(A117-'Anchor Points'!$A$5)/('Anchor Points'!$A$6-'Anchor Points'!$A$5)*('Anchor Points'!$C$6-'Anchor Points'!$C$5),IF(A117&lt;=70,'Anchor Points'!$C$6+(A117-'Anchor Points'!$A$6)/('Anchor Points'!$A$7-'Anchor Points'!$A$6)*('Anchor Points'!$C$7-'Anchor Points'!$C$6),IF(A117&lt;=90,'Anchor Points'!$C$7+(A117-'Anchor Points'!$A$7)/('Anchor Points'!$A$8-'Anchor Points'!$A$7)*('Anchor Points'!$C$8-'Anchor Points'!$C$7),'Anchor Points'!$C$8+(A117-'Anchor Points'!$A$8)/('Anchor Points'!$A$9-'Anchor Points'!$A$8)*('Anchor Points'!$C$9-'Anchor Points'!$C$8)))))))</x:f>
        <x:v>97.5</x:v>
      </x:c>
      <x:c r="E117" s="28" t="n">
        <x:f>IF(A117&lt;=15,'Anchor Points'!$D$2+(A117-'Anchor Points'!$A$2)/('Anchor Points'!$A$3-'Anchor Points'!$A$2)*('Anchor Points'!$D$3-'Anchor Points'!$D$2),IF(A117&lt;=25,'Anchor Points'!$D$3+(A117-'Anchor Points'!$A$3)/('Anchor Points'!$A$4-'Anchor Points'!$A$3)*('Anchor Points'!$D$4-'Anchor Points'!$D$3),IF(A117&lt;=40,'Anchor Points'!$D$4+(A117-'Anchor Points'!$A$4)/('Anchor Points'!$A$5-'Anchor Points'!$A$4)*('Anchor Points'!$D$5-'Anchor Points'!$D$4),IF(A117&lt;=55,'Anchor Points'!$D$5+(A117-'Anchor Points'!$A$5)/('Anchor Points'!$A$6-'Anchor Points'!$A$5)*('Anchor Points'!$D$6-'Anchor Points'!$D$5),IF(A117&lt;=70,'Anchor Points'!$D$6+(A117-'Anchor Points'!$A$6)/('Anchor Points'!$A$7-'Anchor Points'!$A$6)*('Anchor Points'!$D$7-'Anchor Points'!$D$6),IF(A117&lt;=90,'Anchor Points'!$D$7+(A117-'Anchor Points'!$A$7)/('Anchor Points'!$A$8-'Anchor Points'!$A$7)*('Anchor Points'!$D$8-'Anchor Points'!$D$7),'Anchor Points'!$D$8+(A117-'Anchor Points'!$A$8)/('Anchor Points'!$A$9-'Anchor Points'!$A$8)*('Anchor Points'!$D$9-'Anchor Points'!$D$8)))))))</x:f>
        <x:v>5.5</x:v>
      </x:c>
      <x:c r="F117" s="30" t="n">
        <x:f>ROUND(E117,0)</x:f>
        <x:v>6</x:v>
      </x:c>
      <x:c r="G117" s="28" t="n">
        <x:f>IF(A117&lt;=15,'Anchor Points'!$E$2+(A117-'Anchor Points'!$A$2)/('Anchor Points'!$A$3-'Anchor Points'!$A$2)*('Anchor Points'!$E$3-'Anchor Points'!$E$2),IF(A117&lt;=25,'Anchor Points'!$E$3+(A117-'Anchor Points'!$A$3)/('Anchor Points'!$A$4-'Anchor Points'!$A$3)*('Anchor Points'!$E$4-'Anchor Points'!$E$3),IF(A117&lt;=40,'Anchor Points'!$E$4+(A117-'Anchor Points'!$A$4)/('Anchor Points'!$A$5-'Anchor Points'!$A$4)*('Anchor Points'!$E$5-'Anchor Points'!$E$4),IF(A117&lt;=55,'Anchor Points'!$E$5+(A117-'Anchor Points'!$A$5)/('Anchor Points'!$A$6-'Anchor Points'!$A$5)*('Anchor Points'!$E$6-'Anchor Points'!$E$5),IF(A117&lt;=70,'Anchor Points'!$E$6+(A117-'Anchor Points'!$A$6)/('Anchor Points'!$A$7-'Anchor Points'!$A$6)*('Anchor Points'!$E$7-'Anchor Points'!$E$6),IF(A117&lt;=90,'Anchor Points'!$E$7+(A117-'Anchor Points'!$A$7)/('Anchor Points'!$A$8-'Anchor Points'!$A$7)*('Anchor Points'!$E$8-'Anchor Points'!$E$7),'Anchor Points'!$E$8+(A117-'Anchor Points'!$A$8)/('Anchor Points'!$A$9-'Anchor Points'!$A$8)*('Anchor Points'!$E$9-'Anchor Points'!$E$8)))))))</x:f>
        <x:v>11.666666666666666</x:v>
      </x:c>
      <x:c r="H117" s="30" t="n">
        <x:f>ROUND(G117,0)</x:f>
        <x:v>12</x:v>
      </x:c>
      <x:c r="I117" s="28" t="n">
        <x:f>IF(A117&lt;=15,'Anchor Points'!$F$2+(A117-'Anchor Points'!$A$2)/('Anchor Points'!$A$3-'Anchor Points'!$A$2)*('Anchor Points'!$F$3-'Anchor Points'!$F$2),IF(A117&lt;=25,'Anchor Points'!$F$3+(A117-'Anchor Points'!$A$3)/('Anchor Points'!$A$4-'Anchor Points'!$A$3)*('Anchor Points'!$F$4-'Anchor Points'!$F$3),IF(A117&lt;=40,'Anchor Points'!$F$4+(A117-'Anchor Points'!$A$4)/('Anchor Points'!$A$5-'Anchor Points'!$A$4)*('Anchor Points'!$F$5-'Anchor Points'!$F$4),IF(A117&lt;=55,'Anchor Points'!$F$5+(A117-'Anchor Points'!$A$5)/('Anchor Points'!$A$6-'Anchor Points'!$A$5)*('Anchor Points'!$F$6-'Anchor Points'!$F$5),IF(A117&lt;=70,'Anchor Points'!$F$6+(A117-'Anchor Points'!$A$6)/('Anchor Points'!$A$7-'Anchor Points'!$A$6)*('Anchor Points'!$F$7-'Anchor Points'!$F$6),IF(A117&lt;=90,'Anchor Points'!$F$7+(A117-'Anchor Points'!$A$7)/('Anchor Points'!$A$8-'Anchor Points'!$A$7)*('Anchor Points'!$F$8-'Anchor Points'!$F$7),'Anchor Points'!$F$8+(A117-'Anchor Points'!$A$8)/('Anchor Points'!$A$9-'Anchor Points'!$A$8)*('Anchor Points'!$F$9-'Anchor Points'!$F$8)))))))</x:f>
        <x:v>54.166666666666664</x:v>
      </x:c>
      <x:c r="J117" s="28" t="n">
        <x:v>8</x:v>
      </x:c>
      <x:c r="K117" s="56" t="n">
        <x:v>9</x:v>
      </x:c>
      <x:c r="L117" s="52" t="n">
        <x:v>10</x:v>
      </x:c>
      <x:c r="M117" s="52" t="n">
        <x:v>55</x:v>
      </x:c>
      <x:c r="N117" s="56" t="n">
        <x:v>62</x:v>
      </x:c>
      <x:c r="O117" s="28" t="n">
        <x:v>70</x:v>
      </x:c>
      <x:c r="P117" s="28" t="n">
        <x:v>60</x:v>
      </x:c>
      <x:c r="Q117" s="55" t="n">
        <x:v>70</x:v>
      </x:c>
      <x:c r="R117" s="28" t="n">
        <x:v>80</x:v>
      </x:c>
      <x:c r="S117" s="28" t="n">
        <x:v>12</x:v>
      </x:c>
      <x:c r="T117" s="28" t="n">
        <x:v>15</x:v>
      </x:c>
      <x:c r="U117" s="55" t="n">
        <x:v>18</x:v>
      </x:c>
      <x:c r="V117" s="28" t="n">
        <x:v>1285</x:v>
      </x:c>
      <x:c r="W117" s="55" t="n">
        <x:v>1630</x:v>
      </x:c>
      <x:c r="X117" s="28" t="n">
        <x:v>1960</x:v>
      </x:c>
    </x:row>
    <x:row r="118">
      <x:c r="A118" s="30" t="n">
        <x:v>116</x:v>
      </x:c>
      <x:c r="B118" s="11" t="str">
        <x:f>IF(A118&lt;=15,"Seedling",IF(A118&lt;=25,"Establishment",IF(A118&lt;=40,"Vegetative Growth",IF(A118&lt;=55,"Flowering &amp; Initial Fruit Set",IF(A118&lt;=80,"Fruit Enlargement",IF(A118&lt;=95,"Ripening","Harvesting"))))))</x:f>
        <x:v>Harvesting</x:v>
      </x:c>
      <x:c r="C118" s="28" t="n">
        <x:f>IF(A118&lt;=15,'Anchor Points'!$B$2+(A118-'Anchor Points'!$A$2)/('Anchor Points'!$A$3-'Anchor Points'!$A$2)*('Anchor Points'!$B$3-'Anchor Points'!$B$2),IF(A118&lt;=25,'Anchor Points'!$B$3+(A118-'Anchor Points'!$A$3)/('Anchor Points'!$A$4-'Anchor Points'!$A$3)*('Anchor Points'!$B$4-'Anchor Points'!$B$3),IF(A118&lt;=40,'Anchor Points'!$B$4+(A118-'Anchor Points'!$A$4)/('Anchor Points'!$A$5-'Anchor Points'!$A$4)*('Anchor Points'!$B$5-'Anchor Points'!$B$4),IF(A118&lt;=55,'Anchor Points'!$B$5+(A118-'Anchor Points'!$A$5)/('Anchor Points'!$A$6-'Anchor Points'!$A$5)*('Anchor Points'!$B$6-'Anchor Points'!$B$5),IF(A118&lt;=70,'Anchor Points'!$B$6+(A118-'Anchor Points'!$A$6)/('Anchor Points'!$A$7-'Anchor Points'!$A$6)*('Anchor Points'!$B$7-'Anchor Points'!$B$6),IF(A118&lt;=90,'Anchor Points'!$B$7+(A118-'Anchor Points'!$A$7)/('Anchor Points'!$A$8-'Anchor Points'!$A$7)*('Anchor Points'!$B$8-'Anchor Points'!$B$7),'Anchor Points'!$B$8+(A118-'Anchor Points'!$A$8)/('Anchor Points'!$A$9-'Anchor Points'!$A$8)*('Anchor Points'!$B$9-'Anchor Points'!$B$8)))))))</x:f>
        <x:v>88.93333333333334</x:v>
      </x:c>
      <x:c r="D118" s="28" t="n">
        <x:f>IF(A118&lt;=15,'Anchor Points'!$C$2+(A118-'Anchor Points'!$A$2)/('Anchor Points'!$A$3-'Anchor Points'!$A$2)*('Anchor Points'!$C$3-'Anchor Points'!$C$2),IF(A118&lt;=25,'Anchor Points'!$C$3+(A118-'Anchor Points'!$A$3)/('Anchor Points'!$A$4-'Anchor Points'!$A$3)*('Anchor Points'!$C$4-'Anchor Points'!$C$3),IF(A118&lt;=40,'Anchor Points'!$C$4+(A118-'Anchor Points'!$A$4)/('Anchor Points'!$A$5-'Anchor Points'!$A$4)*('Anchor Points'!$C$5-'Anchor Points'!$C$4),IF(A118&lt;=55,'Anchor Points'!$C$5+(A118-'Anchor Points'!$A$5)/('Anchor Points'!$A$6-'Anchor Points'!$A$5)*('Anchor Points'!$C$6-'Anchor Points'!$C$5),IF(A118&lt;=70,'Anchor Points'!$C$6+(A118-'Anchor Points'!$A$6)/('Anchor Points'!$A$7-'Anchor Points'!$A$6)*('Anchor Points'!$C$7-'Anchor Points'!$C$6),IF(A118&lt;=90,'Anchor Points'!$C$7+(A118-'Anchor Points'!$A$7)/('Anchor Points'!$A$8-'Anchor Points'!$A$7)*('Anchor Points'!$C$8-'Anchor Points'!$C$7),'Anchor Points'!$C$8+(A118-'Anchor Points'!$A$8)/('Anchor Points'!$A$9-'Anchor Points'!$A$8)*('Anchor Points'!$C$9-'Anchor Points'!$C$8)))))))</x:f>
        <x:v>98</x:v>
      </x:c>
      <x:c r="E118" s="28" t="n">
        <x:f>IF(A118&lt;=15,'Anchor Points'!$D$2+(A118-'Anchor Points'!$A$2)/('Anchor Points'!$A$3-'Anchor Points'!$A$2)*('Anchor Points'!$D$3-'Anchor Points'!$D$2),IF(A118&lt;=25,'Anchor Points'!$D$3+(A118-'Anchor Points'!$A$3)/('Anchor Points'!$A$4-'Anchor Points'!$A$3)*('Anchor Points'!$D$4-'Anchor Points'!$D$3),IF(A118&lt;=40,'Anchor Points'!$D$4+(A118-'Anchor Points'!$A$4)/('Anchor Points'!$A$5-'Anchor Points'!$A$4)*('Anchor Points'!$D$5-'Anchor Points'!$D$4),IF(A118&lt;=55,'Anchor Points'!$D$5+(A118-'Anchor Points'!$A$5)/('Anchor Points'!$A$6-'Anchor Points'!$A$5)*('Anchor Points'!$D$6-'Anchor Points'!$D$5),IF(A118&lt;=70,'Anchor Points'!$D$6+(A118-'Anchor Points'!$A$6)/('Anchor Points'!$A$7-'Anchor Points'!$A$6)*('Anchor Points'!$D$7-'Anchor Points'!$D$6),IF(A118&lt;=90,'Anchor Points'!$D$7+(A118-'Anchor Points'!$A$7)/('Anchor Points'!$A$8-'Anchor Points'!$A$7)*('Anchor Points'!$D$8-'Anchor Points'!$D$7),'Anchor Points'!$D$8+(A118-'Anchor Points'!$A$8)/('Anchor Points'!$A$9-'Anchor Points'!$A$8)*('Anchor Points'!$D$9-'Anchor Points'!$D$8)))))))</x:f>
        <x:v>5.4</x:v>
      </x:c>
      <x:c r="F118" s="30" t="n">
        <x:f>ROUND(E118,0)</x:f>
        <x:v>5</x:v>
      </x:c>
      <x:c r="G118" s="28" t="n">
        <x:f>IF(A118&lt;=15,'Anchor Points'!$E$2+(A118-'Anchor Points'!$A$2)/('Anchor Points'!$A$3-'Anchor Points'!$A$2)*('Anchor Points'!$E$3-'Anchor Points'!$E$2),IF(A118&lt;=25,'Anchor Points'!$E$3+(A118-'Anchor Points'!$A$3)/('Anchor Points'!$A$4-'Anchor Points'!$A$3)*('Anchor Points'!$E$4-'Anchor Points'!$E$3),IF(A118&lt;=40,'Anchor Points'!$E$4+(A118-'Anchor Points'!$A$4)/('Anchor Points'!$A$5-'Anchor Points'!$A$4)*('Anchor Points'!$E$5-'Anchor Points'!$E$4),IF(A118&lt;=55,'Anchor Points'!$E$5+(A118-'Anchor Points'!$A$5)/('Anchor Points'!$A$6-'Anchor Points'!$A$5)*('Anchor Points'!$E$6-'Anchor Points'!$E$5),IF(A118&lt;=70,'Anchor Points'!$E$6+(A118-'Anchor Points'!$A$6)/('Anchor Points'!$A$7-'Anchor Points'!$A$6)*('Anchor Points'!$E$7-'Anchor Points'!$E$6),IF(A118&lt;=90,'Anchor Points'!$E$7+(A118-'Anchor Points'!$A$7)/('Anchor Points'!$A$8-'Anchor Points'!$A$7)*('Anchor Points'!$E$8-'Anchor Points'!$E$7),'Anchor Points'!$E$8+(A118-'Anchor Points'!$A$8)/('Anchor Points'!$A$9-'Anchor Points'!$A$8)*('Anchor Points'!$E$9-'Anchor Points'!$E$8)))))))</x:f>
        <x:v>11.733333333333334</x:v>
      </x:c>
      <x:c r="H118" s="30" t="n">
        <x:f>ROUND(G118,0)</x:f>
        <x:v>12</x:v>
      </x:c>
      <x:c r="I118" s="28" t="n">
        <x:f>IF(A118&lt;=15,'Anchor Points'!$F$2+(A118-'Anchor Points'!$A$2)/('Anchor Points'!$A$3-'Anchor Points'!$A$2)*('Anchor Points'!$F$3-'Anchor Points'!$F$2),IF(A118&lt;=25,'Anchor Points'!$F$3+(A118-'Anchor Points'!$A$3)/('Anchor Points'!$A$4-'Anchor Points'!$A$3)*('Anchor Points'!$F$4-'Anchor Points'!$F$3),IF(A118&lt;=40,'Anchor Points'!$F$4+(A118-'Anchor Points'!$A$4)/('Anchor Points'!$A$5-'Anchor Points'!$A$4)*('Anchor Points'!$F$5-'Anchor Points'!$F$4),IF(A118&lt;=55,'Anchor Points'!$F$5+(A118-'Anchor Points'!$A$5)/('Anchor Points'!$A$6-'Anchor Points'!$A$5)*('Anchor Points'!$F$6-'Anchor Points'!$F$5),IF(A118&lt;=70,'Anchor Points'!$F$6+(A118-'Anchor Points'!$A$6)/('Anchor Points'!$A$7-'Anchor Points'!$A$6)*('Anchor Points'!$F$7-'Anchor Points'!$F$6),IF(A118&lt;=90,'Anchor Points'!$F$7+(A118-'Anchor Points'!$A$7)/('Anchor Points'!$A$8-'Anchor Points'!$A$7)*('Anchor Points'!$F$8-'Anchor Points'!$F$7),'Anchor Points'!$F$8+(A118-'Anchor Points'!$A$8)/('Anchor Points'!$A$9-'Anchor Points'!$A$8)*('Anchor Points'!$F$9-'Anchor Points'!$F$8)))))))</x:f>
        <x:v>54.333333333333336</x:v>
      </x:c>
      <x:c r="J118" s="28" t="n">
        <x:v>8</x:v>
      </x:c>
      <x:c r="K118" s="56" t="n">
        <x:v>9</x:v>
      </x:c>
      <x:c r="L118" s="52" t="n">
        <x:v>10</x:v>
      </x:c>
      <x:c r="M118" s="52" t="n">
        <x:v>55</x:v>
      </x:c>
      <x:c r="N118" s="56" t="n">
        <x:v>62</x:v>
      </x:c>
      <x:c r="O118" s="28" t="n">
        <x:v>70</x:v>
      </x:c>
      <x:c r="P118" s="28" t="n">
        <x:v>60</x:v>
      </x:c>
      <x:c r="Q118" s="55" t="n">
        <x:v>70</x:v>
      </x:c>
      <x:c r="R118" s="28" t="n">
        <x:v>80</x:v>
      </x:c>
      <x:c r="S118" s="28" t="n">
        <x:v>12</x:v>
      </x:c>
      <x:c r="T118" s="28" t="n">
        <x:v>15</x:v>
      </x:c>
      <x:c r="U118" s="55" t="n">
        <x:v>18</x:v>
      </x:c>
      <x:c r="V118" s="28" t="n">
        <x:v>1297</x:v>
      </x:c>
      <x:c r="W118" s="55" t="n">
        <x:v>1645</x:v>
      </x:c>
      <x:c r="X118" s="28" t="n">
        <x:v>1978</x:v>
      </x:c>
    </x:row>
    <x:row r="119">
      <x:c r="A119" s="30" t="n">
        <x:v>117</x:v>
      </x:c>
      <x:c r="B119" s="11" t="str">
        <x:f>IF(A119&lt;=15,"Seedling",IF(A119&lt;=25,"Establishment",IF(A119&lt;=40,"Vegetative Growth",IF(A119&lt;=55,"Flowering &amp; Initial Fruit Set",IF(A119&lt;=80,"Fruit Enlargement",IF(A119&lt;=95,"Ripening","Harvesting"))))))</x:f>
        <x:v>Harvesting</x:v>
      </x:c>
      <x:c r="C119" s="28" t="n">
        <x:f>IF(A119&lt;=15,'Anchor Points'!$B$2+(A119-'Anchor Points'!$A$2)/('Anchor Points'!$A$3-'Anchor Points'!$A$2)*('Anchor Points'!$B$3-'Anchor Points'!$B$2),IF(A119&lt;=25,'Anchor Points'!$B$3+(A119-'Anchor Points'!$A$3)/('Anchor Points'!$A$4-'Anchor Points'!$A$3)*('Anchor Points'!$B$4-'Anchor Points'!$B$3),IF(A119&lt;=40,'Anchor Points'!$B$4+(A119-'Anchor Points'!$A$4)/('Anchor Points'!$A$5-'Anchor Points'!$A$4)*('Anchor Points'!$B$5-'Anchor Points'!$B$4),IF(A119&lt;=55,'Anchor Points'!$B$5+(A119-'Anchor Points'!$A$5)/('Anchor Points'!$A$6-'Anchor Points'!$A$5)*('Anchor Points'!$B$6-'Anchor Points'!$B$5),IF(A119&lt;=70,'Anchor Points'!$B$6+(A119-'Anchor Points'!$A$6)/('Anchor Points'!$A$7-'Anchor Points'!$A$6)*('Anchor Points'!$B$7-'Anchor Points'!$B$6),IF(A119&lt;=90,'Anchor Points'!$B$7+(A119-'Anchor Points'!$A$7)/('Anchor Points'!$A$8-'Anchor Points'!$A$7)*('Anchor Points'!$B$8-'Anchor Points'!$B$7),'Anchor Points'!$B$8+(A119-'Anchor Points'!$A$8)/('Anchor Points'!$A$9-'Anchor Points'!$A$8)*('Anchor Points'!$B$9-'Anchor Points'!$B$8)))))))</x:f>
        <x:v>89.2</x:v>
      </x:c>
      <x:c r="D119" s="28" t="n">
        <x:f>IF(A119&lt;=15,'Anchor Points'!$C$2+(A119-'Anchor Points'!$A$2)/('Anchor Points'!$A$3-'Anchor Points'!$A$2)*('Anchor Points'!$C$3-'Anchor Points'!$C$2),IF(A119&lt;=25,'Anchor Points'!$C$3+(A119-'Anchor Points'!$A$3)/('Anchor Points'!$A$4-'Anchor Points'!$A$3)*('Anchor Points'!$C$4-'Anchor Points'!$C$3),IF(A119&lt;=40,'Anchor Points'!$C$4+(A119-'Anchor Points'!$A$4)/('Anchor Points'!$A$5-'Anchor Points'!$A$4)*('Anchor Points'!$C$5-'Anchor Points'!$C$4),IF(A119&lt;=55,'Anchor Points'!$C$5+(A119-'Anchor Points'!$A$5)/('Anchor Points'!$A$6-'Anchor Points'!$A$5)*('Anchor Points'!$C$6-'Anchor Points'!$C$5),IF(A119&lt;=70,'Anchor Points'!$C$6+(A119-'Anchor Points'!$A$6)/('Anchor Points'!$A$7-'Anchor Points'!$A$6)*('Anchor Points'!$C$7-'Anchor Points'!$C$6),IF(A119&lt;=90,'Anchor Points'!$C$7+(A119-'Anchor Points'!$A$7)/('Anchor Points'!$A$8-'Anchor Points'!$A$7)*('Anchor Points'!$C$8-'Anchor Points'!$C$7),'Anchor Points'!$C$8+(A119-'Anchor Points'!$A$8)/('Anchor Points'!$A$9-'Anchor Points'!$A$8)*('Anchor Points'!$C$9-'Anchor Points'!$C$8)))))))</x:f>
        <x:v>98.5</x:v>
      </x:c>
      <x:c r="E119" s="28" t="n">
        <x:f>IF(A119&lt;=15,'Anchor Points'!$D$2+(A119-'Anchor Points'!$A$2)/('Anchor Points'!$A$3-'Anchor Points'!$A$2)*('Anchor Points'!$D$3-'Anchor Points'!$D$2),IF(A119&lt;=25,'Anchor Points'!$D$3+(A119-'Anchor Points'!$A$3)/('Anchor Points'!$A$4-'Anchor Points'!$A$3)*('Anchor Points'!$D$4-'Anchor Points'!$D$3),IF(A119&lt;=40,'Anchor Points'!$D$4+(A119-'Anchor Points'!$A$4)/('Anchor Points'!$A$5-'Anchor Points'!$A$4)*('Anchor Points'!$D$5-'Anchor Points'!$D$4),IF(A119&lt;=55,'Anchor Points'!$D$5+(A119-'Anchor Points'!$A$5)/('Anchor Points'!$A$6-'Anchor Points'!$A$5)*('Anchor Points'!$D$6-'Anchor Points'!$D$5),IF(A119&lt;=70,'Anchor Points'!$D$6+(A119-'Anchor Points'!$A$6)/('Anchor Points'!$A$7-'Anchor Points'!$A$6)*('Anchor Points'!$D$7-'Anchor Points'!$D$6),IF(A119&lt;=90,'Anchor Points'!$D$7+(A119-'Anchor Points'!$A$7)/('Anchor Points'!$A$8-'Anchor Points'!$A$7)*('Anchor Points'!$D$8-'Anchor Points'!$D$7),'Anchor Points'!$D$8+(A119-'Anchor Points'!$A$8)/('Anchor Points'!$A$9-'Anchor Points'!$A$8)*('Anchor Points'!$D$9-'Anchor Points'!$D$8)))))))</x:f>
        <x:v>5.3</x:v>
      </x:c>
      <x:c r="F119" s="30" t="n">
        <x:f>ROUND(E119,0)</x:f>
        <x:v>5</x:v>
      </x:c>
      <x:c r="G119" s="28" t="n">
        <x:f>IF(A119&lt;=15,'Anchor Points'!$E$2+(A119-'Anchor Points'!$A$2)/('Anchor Points'!$A$3-'Anchor Points'!$A$2)*('Anchor Points'!$E$3-'Anchor Points'!$E$2),IF(A119&lt;=25,'Anchor Points'!$E$3+(A119-'Anchor Points'!$A$3)/('Anchor Points'!$A$4-'Anchor Points'!$A$3)*('Anchor Points'!$E$4-'Anchor Points'!$E$3),IF(A119&lt;=40,'Anchor Points'!$E$4+(A119-'Anchor Points'!$A$4)/('Anchor Points'!$A$5-'Anchor Points'!$A$4)*('Anchor Points'!$E$5-'Anchor Points'!$E$4),IF(A119&lt;=55,'Anchor Points'!$E$5+(A119-'Anchor Points'!$A$5)/('Anchor Points'!$A$6-'Anchor Points'!$A$5)*('Anchor Points'!$E$6-'Anchor Points'!$E$5),IF(A119&lt;=70,'Anchor Points'!$E$6+(A119-'Anchor Points'!$A$6)/('Anchor Points'!$A$7-'Anchor Points'!$A$6)*('Anchor Points'!$E$7-'Anchor Points'!$E$6),IF(A119&lt;=90,'Anchor Points'!$E$7+(A119-'Anchor Points'!$A$7)/('Anchor Points'!$A$8-'Anchor Points'!$A$7)*('Anchor Points'!$E$8-'Anchor Points'!$E$7),'Anchor Points'!$E$8+(A119-'Anchor Points'!$A$8)/('Anchor Points'!$A$9-'Anchor Points'!$A$8)*('Anchor Points'!$E$9-'Anchor Points'!$E$8)))))))</x:f>
        <x:v>11.8</x:v>
      </x:c>
      <x:c r="H119" s="30" t="n">
        <x:f>ROUND(G119,0)</x:f>
        <x:v>12</x:v>
      </x:c>
      <x:c r="I119" s="28" t="n">
        <x:f>IF(A119&lt;=15,'Anchor Points'!$F$2+(A119-'Anchor Points'!$A$2)/('Anchor Points'!$A$3-'Anchor Points'!$A$2)*('Anchor Points'!$F$3-'Anchor Points'!$F$2),IF(A119&lt;=25,'Anchor Points'!$F$3+(A119-'Anchor Points'!$A$3)/('Anchor Points'!$A$4-'Anchor Points'!$A$3)*('Anchor Points'!$F$4-'Anchor Points'!$F$3),IF(A119&lt;=40,'Anchor Points'!$F$4+(A119-'Anchor Points'!$A$4)/('Anchor Points'!$A$5-'Anchor Points'!$A$4)*('Anchor Points'!$F$5-'Anchor Points'!$F$4),IF(A119&lt;=55,'Anchor Points'!$F$5+(A119-'Anchor Points'!$A$5)/('Anchor Points'!$A$6-'Anchor Points'!$A$5)*('Anchor Points'!$F$6-'Anchor Points'!$F$5),IF(A119&lt;=70,'Anchor Points'!$F$6+(A119-'Anchor Points'!$A$6)/('Anchor Points'!$A$7-'Anchor Points'!$A$6)*('Anchor Points'!$F$7-'Anchor Points'!$F$6),IF(A119&lt;=90,'Anchor Points'!$F$7+(A119-'Anchor Points'!$A$7)/('Anchor Points'!$A$8-'Anchor Points'!$A$7)*('Anchor Points'!$F$8-'Anchor Points'!$F$7),'Anchor Points'!$F$8+(A119-'Anchor Points'!$A$8)/('Anchor Points'!$A$9-'Anchor Points'!$A$8)*('Anchor Points'!$F$9-'Anchor Points'!$F$8)))))))</x:f>
        <x:v>54.5</x:v>
      </x:c>
      <x:c r="J119" s="28" t="n">
        <x:v>8</x:v>
      </x:c>
      <x:c r="K119" s="56" t="n">
        <x:v>9</x:v>
      </x:c>
      <x:c r="L119" s="52" t="n">
        <x:v>10</x:v>
      </x:c>
      <x:c r="M119" s="52" t="n">
        <x:v>55</x:v>
      </x:c>
      <x:c r="N119" s="56" t="n">
        <x:v>62</x:v>
      </x:c>
      <x:c r="O119" s="28" t="n">
        <x:v>70</x:v>
      </x:c>
      <x:c r="P119" s="28" t="n">
        <x:v>60</x:v>
      </x:c>
      <x:c r="Q119" s="55" t="n">
        <x:v>70</x:v>
      </x:c>
      <x:c r="R119" s="28" t="n">
        <x:v>80</x:v>
      </x:c>
      <x:c r="S119" s="28" t="n">
        <x:v>12</x:v>
      </x:c>
      <x:c r="T119" s="28" t="n">
        <x:v>15</x:v>
      </x:c>
      <x:c r="U119" s="55" t="n">
        <x:v>18</x:v>
      </x:c>
      <x:c r="V119" s="28" t="n">
        <x:v>1309</x:v>
      </x:c>
      <x:c r="W119" s="55" t="n">
        <x:v>1660</x:v>
      </x:c>
      <x:c r="X119" s="28" t="n">
        <x:v>1996</x:v>
      </x:c>
    </x:row>
    <x:row r="120">
      <x:c r="A120" s="30" t="n">
        <x:v>118</x:v>
      </x:c>
      <x:c r="B120" s="11" t="str">
        <x:f>IF(A120&lt;=15,"Seedling",IF(A120&lt;=25,"Establishment",IF(A120&lt;=40,"Vegetative Growth",IF(A120&lt;=55,"Flowering &amp; Initial Fruit Set",IF(A120&lt;=80,"Fruit Enlargement",IF(A120&lt;=95,"Ripening","Harvesting"))))))</x:f>
        <x:v>Harvesting</x:v>
      </x:c>
      <x:c r="C120" s="28" t="n">
        <x:f>IF(A120&lt;=15,'Anchor Points'!$B$2+(A120-'Anchor Points'!$A$2)/('Anchor Points'!$A$3-'Anchor Points'!$A$2)*('Anchor Points'!$B$3-'Anchor Points'!$B$2),IF(A120&lt;=25,'Anchor Points'!$B$3+(A120-'Anchor Points'!$A$3)/('Anchor Points'!$A$4-'Anchor Points'!$A$3)*('Anchor Points'!$B$4-'Anchor Points'!$B$3),IF(A120&lt;=40,'Anchor Points'!$B$4+(A120-'Anchor Points'!$A$4)/('Anchor Points'!$A$5-'Anchor Points'!$A$4)*('Anchor Points'!$B$5-'Anchor Points'!$B$4),IF(A120&lt;=55,'Anchor Points'!$B$5+(A120-'Anchor Points'!$A$5)/('Anchor Points'!$A$6-'Anchor Points'!$A$5)*('Anchor Points'!$B$6-'Anchor Points'!$B$5),IF(A120&lt;=70,'Anchor Points'!$B$6+(A120-'Anchor Points'!$A$6)/('Anchor Points'!$A$7-'Anchor Points'!$A$6)*('Anchor Points'!$B$7-'Anchor Points'!$B$6),IF(A120&lt;=90,'Anchor Points'!$B$7+(A120-'Anchor Points'!$A$7)/('Anchor Points'!$A$8-'Anchor Points'!$A$7)*('Anchor Points'!$B$8-'Anchor Points'!$B$7),'Anchor Points'!$B$8+(A120-'Anchor Points'!$A$8)/('Anchor Points'!$A$9-'Anchor Points'!$A$8)*('Anchor Points'!$B$9-'Anchor Points'!$B$8)))))))</x:f>
        <x:v>89.46666666666667</x:v>
      </x:c>
      <x:c r="D120" s="28" t="n">
        <x:f>IF(A120&lt;=15,'Anchor Points'!$C$2+(A120-'Anchor Points'!$A$2)/('Anchor Points'!$A$3-'Anchor Points'!$A$2)*('Anchor Points'!$C$3-'Anchor Points'!$C$2),IF(A120&lt;=25,'Anchor Points'!$C$3+(A120-'Anchor Points'!$A$3)/('Anchor Points'!$A$4-'Anchor Points'!$A$3)*('Anchor Points'!$C$4-'Anchor Points'!$C$3),IF(A120&lt;=40,'Anchor Points'!$C$4+(A120-'Anchor Points'!$A$4)/('Anchor Points'!$A$5-'Anchor Points'!$A$4)*('Anchor Points'!$C$5-'Anchor Points'!$C$4),IF(A120&lt;=55,'Anchor Points'!$C$5+(A120-'Anchor Points'!$A$5)/('Anchor Points'!$A$6-'Anchor Points'!$A$5)*('Anchor Points'!$C$6-'Anchor Points'!$C$5),IF(A120&lt;=70,'Anchor Points'!$C$6+(A120-'Anchor Points'!$A$6)/('Anchor Points'!$A$7-'Anchor Points'!$A$6)*('Anchor Points'!$C$7-'Anchor Points'!$C$6),IF(A120&lt;=90,'Anchor Points'!$C$7+(A120-'Anchor Points'!$A$7)/('Anchor Points'!$A$8-'Anchor Points'!$A$7)*('Anchor Points'!$C$8-'Anchor Points'!$C$7),'Anchor Points'!$C$8+(A120-'Anchor Points'!$A$8)/('Anchor Points'!$A$9-'Anchor Points'!$A$8)*('Anchor Points'!$C$9-'Anchor Points'!$C$8)))))))</x:f>
        <x:v>99</x:v>
      </x:c>
      <x:c r="E120" s="28" t="n">
        <x:f>IF(A120&lt;=15,'Anchor Points'!$D$2+(A120-'Anchor Points'!$A$2)/('Anchor Points'!$A$3-'Anchor Points'!$A$2)*('Anchor Points'!$D$3-'Anchor Points'!$D$2),IF(A120&lt;=25,'Anchor Points'!$D$3+(A120-'Anchor Points'!$A$3)/('Anchor Points'!$A$4-'Anchor Points'!$A$3)*('Anchor Points'!$D$4-'Anchor Points'!$D$3),IF(A120&lt;=40,'Anchor Points'!$D$4+(A120-'Anchor Points'!$A$4)/('Anchor Points'!$A$5-'Anchor Points'!$A$4)*('Anchor Points'!$D$5-'Anchor Points'!$D$4),IF(A120&lt;=55,'Anchor Points'!$D$5+(A120-'Anchor Points'!$A$5)/('Anchor Points'!$A$6-'Anchor Points'!$A$5)*('Anchor Points'!$D$6-'Anchor Points'!$D$5),IF(A120&lt;=70,'Anchor Points'!$D$6+(A120-'Anchor Points'!$A$6)/('Anchor Points'!$A$7-'Anchor Points'!$A$6)*('Anchor Points'!$D$7-'Anchor Points'!$D$6),IF(A120&lt;=90,'Anchor Points'!$D$7+(A120-'Anchor Points'!$A$7)/('Anchor Points'!$A$8-'Anchor Points'!$A$7)*('Anchor Points'!$D$8-'Anchor Points'!$D$7),'Anchor Points'!$D$8+(A120-'Anchor Points'!$A$8)/('Anchor Points'!$A$9-'Anchor Points'!$A$8)*('Anchor Points'!$D$9-'Anchor Points'!$D$8)))))))</x:f>
        <x:v>5.2</x:v>
      </x:c>
      <x:c r="F120" s="30" t="n">
        <x:f>ROUND(E120,0)</x:f>
        <x:v>5</x:v>
      </x:c>
      <x:c r="G120" s="28" t="n">
        <x:f>IF(A120&lt;=15,'Anchor Points'!$E$2+(A120-'Anchor Points'!$A$2)/('Anchor Points'!$A$3-'Anchor Points'!$A$2)*('Anchor Points'!$E$3-'Anchor Points'!$E$2),IF(A120&lt;=25,'Anchor Points'!$E$3+(A120-'Anchor Points'!$A$3)/('Anchor Points'!$A$4-'Anchor Points'!$A$3)*('Anchor Points'!$E$4-'Anchor Points'!$E$3),IF(A120&lt;=40,'Anchor Points'!$E$4+(A120-'Anchor Points'!$A$4)/('Anchor Points'!$A$5-'Anchor Points'!$A$4)*('Anchor Points'!$E$5-'Anchor Points'!$E$4),IF(A120&lt;=55,'Anchor Points'!$E$5+(A120-'Anchor Points'!$A$5)/('Anchor Points'!$A$6-'Anchor Points'!$A$5)*('Anchor Points'!$E$6-'Anchor Points'!$E$5),IF(A120&lt;=70,'Anchor Points'!$E$6+(A120-'Anchor Points'!$A$6)/('Anchor Points'!$A$7-'Anchor Points'!$A$6)*('Anchor Points'!$E$7-'Anchor Points'!$E$6),IF(A120&lt;=90,'Anchor Points'!$E$7+(A120-'Anchor Points'!$A$7)/('Anchor Points'!$A$8-'Anchor Points'!$A$7)*('Anchor Points'!$E$8-'Anchor Points'!$E$7),'Anchor Points'!$E$8+(A120-'Anchor Points'!$A$8)/('Anchor Points'!$A$9-'Anchor Points'!$A$8)*('Anchor Points'!$E$9-'Anchor Points'!$E$8)))))))</x:f>
        <x:v>11.866666666666667</x:v>
      </x:c>
      <x:c r="H120" s="30" t="n">
        <x:f>ROUND(G120,0)</x:f>
        <x:v>12</x:v>
      </x:c>
      <x:c r="I120" s="28" t="n">
        <x:f>IF(A120&lt;=15,'Anchor Points'!$F$2+(A120-'Anchor Points'!$A$2)/('Anchor Points'!$A$3-'Anchor Points'!$A$2)*('Anchor Points'!$F$3-'Anchor Points'!$F$2),IF(A120&lt;=25,'Anchor Points'!$F$3+(A120-'Anchor Points'!$A$3)/('Anchor Points'!$A$4-'Anchor Points'!$A$3)*('Anchor Points'!$F$4-'Anchor Points'!$F$3),IF(A120&lt;=40,'Anchor Points'!$F$4+(A120-'Anchor Points'!$A$4)/('Anchor Points'!$A$5-'Anchor Points'!$A$4)*('Anchor Points'!$F$5-'Anchor Points'!$F$4),IF(A120&lt;=55,'Anchor Points'!$F$5+(A120-'Anchor Points'!$A$5)/('Anchor Points'!$A$6-'Anchor Points'!$A$5)*('Anchor Points'!$F$6-'Anchor Points'!$F$5),IF(A120&lt;=70,'Anchor Points'!$F$6+(A120-'Anchor Points'!$A$6)/('Anchor Points'!$A$7-'Anchor Points'!$A$6)*('Anchor Points'!$F$7-'Anchor Points'!$F$6),IF(A120&lt;=90,'Anchor Points'!$F$7+(A120-'Anchor Points'!$A$7)/('Anchor Points'!$A$8-'Anchor Points'!$A$7)*('Anchor Points'!$F$8-'Anchor Points'!$F$7),'Anchor Points'!$F$8+(A120-'Anchor Points'!$A$8)/('Anchor Points'!$A$9-'Anchor Points'!$A$8)*('Anchor Points'!$F$9-'Anchor Points'!$F$8)))))))</x:f>
        <x:v>54.666666666666664</x:v>
      </x:c>
      <x:c r="J120" s="28" t="n">
        <x:v>8</x:v>
      </x:c>
      <x:c r="K120" s="56" t="n">
        <x:v>9</x:v>
      </x:c>
      <x:c r="L120" s="52" t="n">
        <x:v>10</x:v>
      </x:c>
      <x:c r="M120" s="52" t="n">
        <x:v>55</x:v>
      </x:c>
      <x:c r="N120" s="56" t="n">
        <x:v>62</x:v>
      </x:c>
      <x:c r="O120" s="28" t="n">
        <x:v>70</x:v>
      </x:c>
      <x:c r="P120" s="28" t="n">
        <x:v>60</x:v>
      </x:c>
      <x:c r="Q120" s="55" t="n">
        <x:v>70</x:v>
      </x:c>
      <x:c r="R120" s="28" t="n">
        <x:v>80</x:v>
      </x:c>
      <x:c r="S120" s="28" t="n">
        <x:v>12</x:v>
      </x:c>
      <x:c r="T120" s="28" t="n">
        <x:v>15</x:v>
      </x:c>
      <x:c r="U120" s="55" t="n">
        <x:v>18</x:v>
      </x:c>
      <x:c r="V120" s="28" t="n">
        <x:v>1321</x:v>
      </x:c>
      <x:c r="W120" s="55" t="n">
        <x:v>1675</x:v>
      </x:c>
      <x:c r="X120" s="28" t="n">
        <x:v>2014</x:v>
      </x:c>
    </x:row>
    <x:row r="121">
      <x:c r="A121" s="30" t="n">
        <x:v>119</x:v>
      </x:c>
      <x:c r="B121" s="11" t="str">
        <x:f>IF(A121&lt;=15,"Seedling",IF(A121&lt;=25,"Establishment",IF(A121&lt;=40,"Vegetative Growth",IF(A121&lt;=55,"Flowering &amp; Initial Fruit Set",IF(A121&lt;=80,"Fruit Enlargement",IF(A121&lt;=95,"Ripening","Harvesting"))))))</x:f>
        <x:v>Harvesting</x:v>
      </x:c>
      <x:c r="C121" s="28" t="n">
        <x:f>IF(A121&lt;=15,'Anchor Points'!$B$2+(A121-'Anchor Points'!$A$2)/('Anchor Points'!$A$3-'Anchor Points'!$A$2)*('Anchor Points'!$B$3-'Anchor Points'!$B$2),IF(A121&lt;=25,'Anchor Points'!$B$3+(A121-'Anchor Points'!$A$3)/('Anchor Points'!$A$4-'Anchor Points'!$A$3)*('Anchor Points'!$B$4-'Anchor Points'!$B$3),IF(A121&lt;=40,'Anchor Points'!$B$4+(A121-'Anchor Points'!$A$4)/('Anchor Points'!$A$5-'Anchor Points'!$A$4)*('Anchor Points'!$B$5-'Anchor Points'!$B$4),IF(A121&lt;=55,'Anchor Points'!$B$5+(A121-'Anchor Points'!$A$5)/('Anchor Points'!$A$6-'Anchor Points'!$A$5)*('Anchor Points'!$B$6-'Anchor Points'!$B$5),IF(A121&lt;=70,'Anchor Points'!$B$6+(A121-'Anchor Points'!$A$6)/('Anchor Points'!$A$7-'Anchor Points'!$A$6)*('Anchor Points'!$B$7-'Anchor Points'!$B$6),IF(A121&lt;=90,'Anchor Points'!$B$7+(A121-'Anchor Points'!$A$7)/('Anchor Points'!$A$8-'Anchor Points'!$A$7)*('Anchor Points'!$B$8-'Anchor Points'!$B$7),'Anchor Points'!$B$8+(A121-'Anchor Points'!$A$8)/('Anchor Points'!$A$9-'Anchor Points'!$A$8)*('Anchor Points'!$B$9-'Anchor Points'!$B$8)))))))</x:f>
        <x:v>89.73333333333333</x:v>
      </x:c>
      <x:c r="D121" s="28" t="n">
        <x:f>IF(A121&lt;=15,'Anchor Points'!$C$2+(A121-'Anchor Points'!$A$2)/('Anchor Points'!$A$3-'Anchor Points'!$A$2)*('Anchor Points'!$C$3-'Anchor Points'!$C$2),IF(A121&lt;=25,'Anchor Points'!$C$3+(A121-'Anchor Points'!$A$3)/('Anchor Points'!$A$4-'Anchor Points'!$A$3)*('Anchor Points'!$C$4-'Anchor Points'!$C$3),IF(A121&lt;=40,'Anchor Points'!$C$4+(A121-'Anchor Points'!$A$4)/('Anchor Points'!$A$5-'Anchor Points'!$A$4)*('Anchor Points'!$C$5-'Anchor Points'!$C$4),IF(A121&lt;=55,'Anchor Points'!$C$5+(A121-'Anchor Points'!$A$5)/('Anchor Points'!$A$6-'Anchor Points'!$A$5)*('Anchor Points'!$C$6-'Anchor Points'!$C$5),IF(A121&lt;=70,'Anchor Points'!$C$6+(A121-'Anchor Points'!$A$6)/('Anchor Points'!$A$7-'Anchor Points'!$A$6)*('Anchor Points'!$C$7-'Anchor Points'!$C$6),IF(A121&lt;=90,'Anchor Points'!$C$7+(A121-'Anchor Points'!$A$7)/('Anchor Points'!$A$8-'Anchor Points'!$A$7)*('Anchor Points'!$C$8-'Anchor Points'!$C$7),'Anchor Points'!$C$8+(A121-'Anchor Points'!$A$8)/('Anchor Points'!$A$9-'Anchor Points'!$A$8)*('Anchor Points'!$C$9-'Anchor Points'!$C$8)))))))</x:f>
        <x:v>99.5</x:v>
      </x:c>
      <x:c r="E121" s="28" t="n">
        <x:f>IF(A121&lt;=15,'Anchor Points'!$D$2+(A121-'Anchor Points'!$A$2)/('Anchor Points'!$A$3-'Anchor Points'!$A$2)*('Anchor Points'!$D$3-'Anchor Points'!$D$2),IF(A121&lt;=25,'Anchor Points'!$D$3+(A121-'Anchor Points'!$A$3)/('Anchor Points'!$A$4-'Anchor Points'!$A$3)*('Anchor Points'!$D$4-'Anchor Points'!$D$3),IF(A121&lt;=40,'Anchor Points'!$D$4+(A121-'Anchor Points'!$A$4)/('Anchor Points'!$A$5-'Anchor Points'!$A$4)*('Anchor Points'!$D$5-'Anchor Points'!$D$4),IF(A121&lt;=55,'Anchor Points'!$D$5+(A121-'Anchor Points'!$A$5)/('Anchor Points'!$A$6-'Anchor Points'!$A$5)*('Anchor Points'!$D$6-'Anchor Points'!$D$5),IF(A121&lt;=70,'Anchor Points'!$D$6+(A121-'Anchor Points'!$A$6)/('Anchor Points'!$A$7-'Anchor Points'!$A$6)*('Anchor Points'!$D$7-'Anchor Points'!$D$6),IF(A121&lt;=90,'Anchor Points'!$D$7+(A121-'Anchor Points'!$A$7)/('Anchor Points'!$A$8-'Anchor Points'!$A$7)*('Anchor Points'!$D$8-'Anchor Points'!$D$7),'Anchor Points'!$D$8+(A121-'Anchor Points'!$A$8)/('Anchor Points'!$A$9-'Anchor Points'!$A$8)*('Anchor Points'!$D$9-'Anchor Points'!$D$8)))))))</x:f>
        <x:v>5.1</x:v>
      </x:c>
      <x:c r="F121" s="30" t="n">
        <x:f>ROUND(E121,0)</x:f>
        <x:v>5</x:v>
      </x:c>
      <x:c r="G121" s="28" t="n">
        <x:f>IF(A121&lt;=15,'Anchor Points'!$E$2+(A121-'Anchor Points'!$A$2)/('Anchor Points'!$A$3-'Anchor Points'!$A$2)*('Anchor Points'!$E$3-'Anchor Points'!$E$2),IF(A121&lt;=25,'Anchor Points'!$E$3+(A121-'Anchor Points'!$A$3)/('Anchor Points'!$A$4-'Anchor Points'!$A$3)*('Anchor Points'!$E$4-'Anchor Points'!$E$3),IF(A121&lt;=40,'Anchor Points'!$E$4+(A121-'Anchor Points'!$A$4)/('Anchor Points'!$A$5-'Anchor Points'!$A$4)*('Anchor Points'!$E$5-'Anchor Points'!$E$4),IF(A121&lt;=55,'Anchor Points'!$E$5+(A121-'Anchor Points'!$A$5)/('Anchor Points'!$A$6-'Anchor Points'!$A$5)*('Anchor Points'!$E$6-'Anchor Points'!$E$5),IF(A121&lt;=70,'Anchor Points'!$E$6+(A121-'Anchor Points'!$A$6)/('Anchor Points'!$A$7-'Anchor Points'!$A$6)*('Anchor Points'!$E$7-'Anchor Points'!$E$6),IF(A121&lt;=90,'Anchor Points'!$E$7+(A121-'Anchor Points'!$A$7)/('Anchor Points'!$A$8-'Anchor Points'!$A$7)*('Anchor Points'!$E$8-'Anchor Points'!$E$7),'Anchor Points'!$E$8+(A121-'Anchor Points'!$A$8)/('Anchor Points'!$A$9-'Anchor Points'!$A$8)*('Anchor Points'!$E$9-'Anchor Points'!$E$8)))))))</x:f>
        <x:v>11.933333333333334</x:v>
      </x:c>
      <x:c r="H121" s="30" t="n">
        <x:f>ROUND(G121,0)</x:f>
        <x:v>12</x:v>
      </x:c>
      <x:c r="I121" s="28" t="n">
        <x:f>IF(A121&lt;=15,'Anchor Points'!$F$2+(A121-'Anchor Points'!$A$2)/('Anchor Points'!$A$3-'Anchor Points'!$A$2)*('Anchor Points'!$F$3-'Anchor Points'!$F$2),IF(A121&lt;=25,'Anchor Points'!$F$3+(A121-'Anchor Points'!$A$3)/('Anchor Points'!$A$4-'Anchor Points'!$A$3)*('Anchor Points'!$F$4-'Anchor Points'!$F$3),IF(A121&lt;=40,'Anchor Points'!$F$4+(A121-'Anchor Points'!$A$4)/('Anchor Points'!$A$5-'Anchor Points'!$A$4)*('Anchor Points'!$F$5-'Anchor Points'!$F$4),IF(A121&lt;=55,'Anchor Points'!$F$5+(A121-'Anchor Points'!$A$5)/('Anchor Points'!$A$6-'Anchor Points'!$A$5)*('Anchor Points'!$F$6-'Anchor Points'!$F$5),IF(A121&lt;=70,'Anchor Points'!$F$6+(A121-'Anchor Points'!$A$6)/('Anchor Points'!$A$7-'Anchor Points'!$A$6)*('Anchor Points'!$F$7-'Anchor Points'!$F$6),IF(A121&lt;=90,'Anchor Points'!$F$7+(A121-'Anchor Points'!$A$7)/('Anchor Points'!$A$8-'Anchor Points'!$A$7)*('Anchor Points'!$F$8-'Anchor Points'!$F$7),'Anchor Points'!$F$8+(A121-'Anchor Points'!$A$8)/('Anchor Points'!$A$9-'Anchor Points'!$A$8)*('Anchor Points'!$F$9-'Anchor Points'!$F$8)))))))</x:f>
        <x:v>54.833333333333336</x:v>
      </x:c>
      <x:c r="J121" s="28" t="n">
        <x:v>8</x:v>
      </x:c>
      <x:c r="K121" s="56" t="n">
        <x:v>9</x:v>
      </x:c>
      <x:c r="L121" s="52" t="n">
        <x:v>10</x:v>
      </x:c>
      <x:c r="M121" s="52" t="n">
        <x:v>55</x:v>
      </x:c>
      <x:c r="N121" s="56" t="n">
        <x:v>62</x:v>
      </x:c>
      <x:c r="O121" s="28" t="n">
        <x:v>70</x:v>
      </x:c>
      <x:c r="P121" s="28" t="n">
        <x:v>60</x:v>
      </x:c>
      <x:c r="Q121" s="55" t="n">
        <x:v>70</x:v>
      </x:c>
      <x:c r="R121" s="28" t="n">
        <x:v>80</x:v>
      </x:c>
      <x:c r="S121" s="28" t="n">
        <x:v>12</x:v>
      </x:c>
      <x:c r="T121" s="28" t="n">
        <x:v>15</x:v>
      </x:c>
      <x:c r="U121" s="55" t="n">
        <x:v>18</x:v>
      </x:c>
      <x:c r="V121" s="28" t="n">
        <x:v>1333</x:v>
      </x:c>
      <x:c r="W121" s="55" t="n">
        <x:v>1690</x:v>
      </x:c>
      <x:c r="X121" s="28" t="n">
        <x:v>2032</x:v>
      </x:c>
    </x:row>
    <x:row r="122">
      <x:c r="A122" s="30" t="n">
        <x:v>120</x:v>
      </x:c>
      <x:c r="B122" s="11" t="str">
        <x:f>IF(A122&lt;=15,"Seedling",IF(A122&lt;=25,"Establishment",IF(A122&lt;=40,"Vegetative Growth",IF(A122&lt;=55,"Flowering &amp; Initial Fruit Set",IF(A122&lt;=80,"Fruit Enlargement",IF(A122&lt;=95,"Ripening","Harvesting"))))))</x:f>
        <x:v>Harvesting</x:v>
      </x:c>
      <x:c r="C122" s="28" t="n">
        <x:f>IF(A122&lt;=15,'Anchor Points'!$B$2+(A122-'Anchor Points'!$A$2)/('Anchor Points'!$A$3-'Anchor Points'!$A$2)*('Anchor Points'!$B$3-'Anchor Points'!$B$2),IF(A122&lt;=25,'Anchor Points'!$B$3+(A122-'Anchor Points'!$A$3)/('Anchor Points'!$A$4-'Anchor Points'!$A$3)*('Anchor Points'!$B$4-'Anchor Points'!$B$3),IF(A122&lt;=40,'Anchor Points'!$B$4+(A122-'Anchor Points'!$A$4)/('Anchor Points'!$A$5-'Anchor Points'!$A$4)*('Anchor Points'!$B$5-'Anchor Points'!$B$4),IF(A122&lt;=55,'Anchor Points'!$B$5+(A122-'Anchor Points'!$A$5)/('Anchor Points'!$A$6-'Anchor Points'!$A$5)*('Anchor Points'!$B$6-'Anchor Points'!$B$5),IF(A122&lt;=70,'Anchor Points'!$B$6+(A122-'Anchor Points'!$A$6)/('Anchor Points'!$A$7-'Anchor Points'!$A$6)*('Anchor Points'!$B$7-'Anchor Points'!$B$6),IF(A122&lt;=90,'Anchor Points'!$B$7+(A122-'Anchor Points'!$A$7)/('Anchor Points'!$A$8-'Anchor Points'!$A$7)*('Anchor Points'!$B$8-'Anchor Points'!$B$7),'Anchor Points'!$B$8+(A122-'Anchor Points'!$A$8)/('Anchor Points'!$A$9-'Anchor Points'!$A$8)*('Anchor Points'!$B$9-'Anchor Points'!$B$8)))))))</x:f>
        <x:v>90</x:v>
      </x:c>
      <x:c r="D122" s="28" t="n">
        <x:f>IF(A122&lt;=15,'Anchor Points'!$C$2+(A122-'Anchor Points'!$A$2)/('Anchor Points'!$A$3-'Anchor Points'!$A$2)*('Anchor Points'!$C$3-'Anchor Points'!$C$2),IF(A122&lt;=25,'Anchor Points'!$C$3+(A122-'Anchor Points'!$A$3)/('Anchor Points'!$A$4-'Anchor Points'!$A$3)*('Anchor Points'!$C$4-'Anchor Points'!$C$3),IF(A122&lt;=40,'Anchor Points'!$C$4+(A122-'Anchor Points'!$A$4)/('Anchor Points'!$A$5-'Anchor Points'!$A$4)*('Anchor Points'!$C$5-'Anchor Points'!$C$4),IF(A122&lt;=55,'Anchor Points'!$C$5+(A122-'Anchor Points'!$A$5)/('Anchor Points'!$A$6-'Anchor Points'!$A$5)*('Anchor Points'!$C$6-'Anchor Points'!$C$5),IF(A122&lt;=70,'Anchor Points'!$C$6+(A122-'Anchor Points'!$A$6)/('Anchor Points'!$A$7-'Anchor Points'!$A$6)*('Anchor Points'!$C$7-'Anchor Points'!$C$6),IF(A122&lt;=90,'Anchor Points'!$C$7+(A122-'Anchor Points'!$A$7)/('Anchor Points'!$A$8-'Anchor Points'!$A$7)*('Anchor Points'!$C$8-'Anchor Points'!$C$7),'Anchor Points'!$C$8+(A122-'Anchor Points'!$A$8)/('Anchor Points'!$A$9-'Anchor Points'!$A$8)*('Anchor Points'!$C$9-'Anchor Points'!$C$8)))))))</x:f>
        <x:v>100</x:v>
      </x:c>
      <x:c r="E122" s="28" t="n">
        <x:f>IF(A122&lt;=15,'Anchor Points'!$D$2+(A122-'Anchor Points'!$A$2)/('Anchor Points'!$A$3-'Anchor Points'!$A$2)*('Anchor Points'!$D$3-'Anchor Points'!$D$2),IF(A122&lt;=25,'Anchor Points'!$D$3+(A122-'Anchor Points'!$A$3)/('Anchor Points'!$A$4-'Anchor Points'!$A$3)*('Anchor Points'!$D$4-'Anchor Points'!$D$3),IF(A122&lt;=40,'Anchor Points'!$D$4+(A122-'Anchor Points'!$A$4)/('Anchor Points'!$A$5-'Anchor Points'!$A$4)*('Anchor Points'!$D$5-'Anchor Points'!$D$4),IF(A122&lt;=55,'Anchor Points'!$D$5+(A122-'Anchor Points'!$A$5)/('Anchor Points'!$A$6-'Anchor Points'!$A$5)*('Anchor Points'!$D$6-'Anchor Points'!$D$5),IF(A122&lt;=70,'Anchor Points'!$D$6+(A122-'Anchor Points'!$A$6)/('Anchor Points'!$A$7-'Anchor Points'!$A$6)*('Anchor Points'!$D$7-'Anchor Points'!$D$6),IF(A122&lt;=90,'Anchor Points'!$D$7+(A122-'Anchor Points'!$A$7)/('Anchor Points'!$A$8-'Anchor Points'!$A$7)*('Anchor Points'!$D$8-'Anchor Points'!$D$7),'Anchor Points'!$D$8+(A122-'Anchor Points'!$A$8)/('Anchor Points'!$A$9-'Anchor Points'!$A$8)*('Anchor Points'!$D$9-'Anchor Points'!$D$8)))))))</x:f>
        <x:v>5</x:v>
      </x:c>
      <x:c r="F122" s="30" t="n">
        <x:f>ROUND(E122,0)</x:f>
        <x:v>5</x:v>
      </x:c>
      <x:c r="G122" s="28" t="n">
        <x:f>IF(A122&lt;=15,'Anchor Points'!$E$2+(A122-'Anchor Points'!$A$2)/('Anchor Points'!$A$3-'Anchor Points'!$A$2)*('Anchor Points'!$E$3-'Anchor Points'!$E$2),IF(A122&lt;=25,'Anchor Points'!$E$3+(A122-'Anchor Points'!$A$3)/('Anchor Points'!$A$4-'Anchor Points'!$A$3)*('Anchor Points'!$E$4-'Anchor Points'!$E$3),IF(A122&lt;=40,'Anchor Points'!$E$4+(A122-'Anchor Points'!$A$4)/('Anchor Points'!$A$5-'Anchor Points'!$A$4)*('Anchor Points'!$E$5-'Anchor Points'!$E$4),IF(A122&lt;=55,'Anchor Points'!$E$5+(A122-'Anchor Points'!$A$5)/('Anchor Points'!$A$6-'Anchor Points'!$A$5)*('Anchor Points'!$E$6-'Anchor Points'!$E$5),IF(A122&lt;=70,'Anchor Points'!$E$6+(A122-'Anchor Points'!$A$6)/('Anchor Points'!$A$7-'Anchor Points'!$A$6)*('Anchor Points'!$E$7-'Anchor Points'!$E$6),IF(A122&lt;=90,'Anchor Points'!$E$7+(A122-'Anchor Points'!$A$7)/('Anchor Points'!$A$8-'Anchor Points'!$A$7)*('Anchor Points'!$E$8-'Anchor Points'!$E$7),'Anchor Points'!$E$8+(A122-'Anchor Points'!$A$8)/('Anchor Points'!$A$9-'Anchor Points'!$A$8)*('Anchor Points'!$E$9-'Anchor Points'!$E$8)))))))</x:f>
        <x:v>12</x:v>
      </x:c>
      <x:c r="H122" s="30" t="n">
        <x:f>ROUND(G122,0)</x:f>
        <x:v>12</x:v>
      </x:c>
      <x:c r="I122" s="28" t="n">
        <x:f>IF(A122&lt;=15,'Anchor Points'!$F$2+(A122-'Anchor Points'!$A$2)/('Anchor Points'!$A$3-'Anchor Points'!$A$2)*('Anchor Points'!$F$3-'Anchor Points'!$F$2),IF(A122&lt;=25,'Anchor Points'!$F$3+(A122-'Anchor Points'!$A$3)/('Anchor Points'!$A$4-'Anchor Points'!$A$3)*('Anchor Points'!$F$4-'Anchor Points'!$F$3),IF(A122&lt;=40,'Anchor Points'!$F$4+(A122-'Anchor Points'!$A$4)/('Anchor Points'!$A$5-'Anchor Points'!$A$4)*('Anchor Points'!$F$5-'Anchor Points'!$F$4),IF(A122&lt;=55,'Anchor Points'!$F$5+(A122-'Anchor Points'!$A$5)/('Anchor Points'!$A$6-'Anchor Points'!$A$5)*('Anchor Points'!$F$6-'Anchor Points'!$F$5),IF(A122&lt;=70,'Anchor Points'!$F$6+(A122-'Anchor Points'!$A$6)/('Anchor Points'!$A$7-'Anchor Points'!$A$6)*('Anchor Points'!$F$7-'Anchor Points'!$F$6),IF(A122&lt;=90,'Anchor Points'!$F$7+(A122-'Anchor Points'!$A$7)/('Anchor Points'!$A$8-'Anchor Points'!$A$7)*('Anchor Points'!$F$8-'Anchor Points'!$F$7),'Anchor Points'!$F$8+(A122-'Anchor Points'!$A$8)/('Anchor Points'!$A$9-'Anchor Points'!$A$8)*('Anchor Points'!$F$9-'Anchor Points'!$F$8)))))))</x:f>
        <x:v>55</x:v>
      </x:c>
      <x:c r="J122" s="28" t="n">
        <x:v>8</x:v>
      </x:c>
      <x:c r="K122" s="56" t="n">
        <x:v>9</x:v>
      </x:c>
      <x:c r="L122" s="52" t="n">
        <x:v>10</x:v>
      </x:c>
      <x:c r="M122" s="52" t="n">
        <x:v>55</x:v>
      </x:c>
      <x:c r="N122" s="56" t="n">
        <x:v>62</x:v>
      </x:c>
      <x:c r="O122" s="28" t="n">
        <x:v>70</x:v>
      </x:c>
      <x:c r="P122" s="28" t="n">
        <x:v>60</x:v>
      </x:c>
      <x:c r="Q122" s="55" t="n">
        <x:v>70</x:v>
      </x:c>
      <x:c r="R122" s="28" t="n">
        <x:v>80</x:v>
      </x:c>
      <x:c r="S122" s="28" t="n">
        <x:v>12</x:v>
      </x:c>
      <x:c r="T122" s="28" t="n">
        <x:v>15</x:v>
      </x:c>
      <x:c r="U122" s="55" t="n">
        <x:v>18</x:v>
      </x:c>
      <x:c r="V122" s="28" t="n">
        <x:v>1345</x:v>
      </x:c>
      <x:c r="W122" s="55" t="n">
        <x:v>1705</x:v>
      </x:c>
      <x:c r="X122" s="28" t="n">
        <x:v>2050</x:v>
      </x:c>
    </x:row>
    <x:row r="123">
      <x:c r="K123" s="36" t="n">
        <x:f>A99</x:f>
        <x:v>97</x:v>
      </x:c>
      <x:c r="L123" s="36" t="n">
        <x:f>E99</x:f>
        <x:v>7.3</x:v>
      </x:c>
      <x:c r="M123" s="36" t="n">
        <x:f>G99</x:f>
        <x:v>10.466666666666667</x:v>
      </x:c>
      <x:c r="N123" s="36" t="n">
        <x:f>I99</x:f>
        <x:v>51.166666666666664</x:v>
      </x:c>
    </x:row>
    <x:row r="124">
      <x:c r="K124" s="36" t="n">
        <x:f>A100</x:f>
        <x:v>98</x:v>
      </x:c>
      <x:c r="L124" s="36" t="n">
        <x:f>E100</x:f>
        <x:v>7.2</x:v>
      </x:c>
      <x:c r="M124" s="36" t="n">
        <x:f>G100</x:f>
        <x:v>10.533333333333333</x:v>
      </x:c>
      <x:c r="N124" s="36" t="n">
        <x:f>I100</x:f>
        <x:v>51.333333333333336</x:v>
      </x:c>
    </x:row>
    <x:row r="125">
      <x:c r="K125" s="36" t="n">
        <x:f>A101</x:f>
        <x:v>99</x:v>
      </x:c>
      <x:c r="L125" s="36" t="n">
        <x:f>E101</x:f>
        <x:v>7.1</x:v>
      </x:c>
      <x:c r="M125" s="36" t="n">
        <x:f>G101</x:f>
        <x:v>10.6</x:v>
      </x:c>
      <x:c r="N125" s="36" t="n">
        <x:f>I101</x:f>
        <x:v>51.5</x:v>
      </x:c>
    </x:row>
    <x:row r="126">
      <x:c r="K126" s="36" t="n">
        <x:f>A102</x:f>
        <x:v>100</x:v>
      </x:c>
      <x:c r="L126" s="36" t="n">
        <x:f>E102</x:f>
        <x:v>7</x:v>
      </x:c>
      <x:c r="M126" s="36" t="n">
        <x:f>G102</x:f>
        <x:v>10.666666666666666</x:v>
      </x:c>
      <x:c r="N126" s="36" t="n">
        <x:f>I102</x:f>
        <x:v>51.666666666666664</x:v>
      </x:c>
    </x:row>
    <x:row r="127">
      <x:c r="K127" s="36" t="n">
        <x:f>A103</x:f>
        <x:v>101</x:v>
      </x:c>
      <x:c r="L127" s="36" t="n">
        <x:f>E103</x:f>
        <x:v>6.9</x:v>
      </x:c>
      <x:c r="M127" s="36" t="n">
        <x:f>G103</x:f>
        <x:v>10.733333333333333</x:v>
      </x:c>
      <x:c r="N127" s="36" t="n">
        <x:f>I103</x:f>
        <x:v>51.833333333333336</x:v>
      </x:c>
    </x:row>
    <x:row r="128">
      <x:c r="K128" s="36" t="n">
        <x:f>A104</x:f>
        <x:v>102</x:v>
      </x:c>
      <x:c r="L128" s="36" t="n">
        <x:f>E104</x:f>
        <x:v>6.8</x:v>
      </x:c>
      <x:c r="M128" s="36" t="n">
        <x:f>G104</x:f>
        <x:v>10.8</x:v>
      </x:c>
      <x:c r="N128" s="36" t="n">
        <x:f>I104</x:f>
        <x:v>52</x:v>
      </x:c>
    </x:row>
    <x:row r="129">
      <x:c r="K129" s="36" t="n">
        <x:f>A105</x:f>
        <x:v>103</x:v>
      </x:c>
      <x:c r="L129" s="36" t="n">
        <x:f>E105</x:f>
        <x:v>6.7</x:v>
      </x:c>
      <x:c r="M129" s="36" t="n">
        <x:f>G105</x:f>
        <x:v>10.866666666666667</x:v>
      </x:c>
      <x:c r="N129" s="36" t="n">
        <x:f>I105</x:f>
        <x:v>52.166666666666664</x:v>
      </x:c>
    </x:row>
    <x:row r="130">
      <x:c r="K130" s="36" t="n">
        <x:f>A106</x:f>
        <x:v>104</x:v>
      </x:c>
      <x:c r="L130" s="36" t="n">
        <x:f>E106</x:f>
        <x:v>6.6</x:v>
      </x:c>
      <x:c r="M130" s="36" t="n">
        <x:f>G106</x:f>
        <x:v>10.933333333333334</x:v>
      </x:c>
      <x:c r="N130" s="36" t="n">
        <x:f>I106</x:f>
        <x:v>52.333333333333336</x:v>
      </x:c>
    </x:row>
    <x:row r="131">
      <x:c r="K131" s="36" t="n">
        <x:f>A107</x:f>
        <x:v>105</x:v>
      </x:c>
      <x:c r="L131" s="36" t="n">
        <x:f>E107</x:f>
        <x:v>6.5</x:v>
      </x:c>
      <x:c r="M131" s="36" t="n">
        <x:f>G107</x:f>
        <x:v>11</x:v>
      </x:c>
      <x:c r="N131" s="36" t="n">
        <x:f>I107</x:f>
        <x:v>52.5</x:v>
      </x:c>
    </x:row>
    <x:row r="132">
      <x:c r="K132" s="36" t="n">
        <x:f>A108</x:f>
        <x:v>106</x:v>
      </x:c>
      <x:c r="L132" s="36" t="n">
        <x:f>E108</x:f>
        <x:v>6.4</x:v>
      </x:c>
      <x:c r="M132" s="36" t="n">
        <x:f>G108</x:f>
        <x:v>11.066666666666666</x:v>
      </x:c>
      <x:c r="N132" s="36" t="n">
        <x:f>I108</x:f>
        <x:v>52.666666666666664</x:v>
      </x:c>
    </x:row>
    <x:row r="133">
      <x:c r="K133" s="36" t="n">
        <x:f>A109</x:f>
        <x:v>107</x:v>
      </x:c>
      <x:c r="L133" s="36" t="n">
        <x:f>E109</x:f>
        <x:v>6.3</x:v>
      </x:c>
      <x:c r="M133" s="36" t="n">
        <x:f>G109</x:f>
        <x:v>11.133333333333333</x:v>
      </x:c>
      <x:c r="N133" s="36" t="n">
        <x:f>I109</x:f>
        <x:v>52.833333333333336</x:v>
      </x:c>
    </x:row>
    <x:row r="134">
      <x:c r="K134" s="36" t="n">
        <x:f>A110</x:f>
        <x:v>108</x:v>
      </x:c>
      <x:c r="L134" s="36" t="n">
        <x:f>E110</x:f>
        <x:v>6.2</x:v>
      </x:c>
      <x:c r="M134" s="36" t="n">
        <x:f>G110</x:f>
        <x:v>11.2</x:v>
      </x:c>
      <x:c r="N134" s="36" t="n">
        <x:f>I110</x:f>
        <x:v>53</x:v>
      </x:c>
    </x:row>
    <x:row r="135">
      <x:c r="K135" s="36" t="n">
        <x:f>A111</x:f>
        <x:v>109</x:v>
      </x:c>
      <x:c r="L135" s="36" t="n">
        <x:f>E111</x:f>
        <x:v>6.1</x:v>
      </x:c>
      <x:c r="M135" s="36" t="n">
        <x:f>G111</x:f>
        <x:v>11.266666666666666</x:v>
      </x:c>
      <x:c r="N135" s="36" t="n">
        <x:f>I111</x:f>
        <x:v>53.166666666666664</x:v>
      </x:c>
    </x:row>
    <x:row r="136">
      <x:c r="K136" s="36" t="n">
        <x:f>A112</x:f>
        <x:v>110</x:v>
      </x:c>
      <x:c r="L136" s="36" t="n">
        <x:f>E112</x:f>
        <x:v>6</x:v>
      </x:c>
      <x:c r="M136" s="36" t="n">
        <x:f>G112</x:f>
        <x:v>11.333333333333334</x:v>
      </x:c>
      <x:c r="N136" s="36" t="n">
        <x:f>I112</x:f>
        <x:v>53.333333333333336</x:v>
      </x:c>
    </x:row>
    <x:row r="137">
      <x:c r="K137" s="36" t="n">
        <x:f>A113</x:f>
        <x:v>111</x:v>
      </x:c>
      <x:c r="L137" s="36" t="n">
        <x:f>E113</x:f>
        <x:v>5.9</x:v>
      </x:c>
      <x:c r="M137" s="36" t="n">
        <x:f>G113</x:f>
        <x:v>11.4</x:v>
      </x:c>
      <x:c r="N137" s="36" t="n">
        <x:f>I113</x:f>
        <x:v>53.5</x:v>
      </x:c>
    </x:row>
    <x:row r="138">
      <x:c r="K138" s="36" t="n">
        <x:f>A114</x:f>
        <x:v>112</x:v>
      </x:c>
      <x:c r="L138" s="36" t="n">
        <x:f>E114</x:f>
        <x:v>5.800000000000001</x:v>
      </x:c>
      <x:c r="M138" s="36" t="n">
        <x:f>G114</x:f>
        <x:v>11.466666666666667</x:v>
      </x:c>
      <x:c r="N138" s="36" t="n">
        <x:f>I114</x:f>
        <x:v>53.666666666666664</x:v>
      </x:c>
    </x:row>
    <x:row r="139">
      <x:c r="K139" s="36" t="n">
        <x:f>A115</x:f>
        <x:v>113</x:v>
      </x:c>
      <x:c r="L139" s="36" t="n">
        <x:f>E115</x:f>
        <x:v>5.699999999999999</x:v>
      </x:c>
      <x:c r="M139" s="36" t="n">
        <x:f>G115</x:f>
        <x:v>11.533333333333333</x:v>
      </x:c>
      <x:c r="N139" s="36" t="n">
        <x:f>I115</x:f>
        <x:v>53.833333333333336</x:v>
      </x:c>
    </x:row>
    <x:row r="140">
      <x:c r="K140" s="36" t="n">
        <x:f>A116</x:f>
        <x:v>114</x:v>
      </x:c>
      <x:c r="L140" s="36" t="n">
        <x:f>E116</x:f>
        <x:v>5.6</x:v>
      </x:c>
      <x:c r="M140" s="36" t="n">
        <x:f>G116</x:f>
        <x:v>11.6</x:v>
      </x:c>
      <x:c r="N140" s="36" t="n">
        <x:f>I116</x:f>
        <x:v>54</x:v>
      </x:c>
    </x:row>
    <x:row r="141">
      <x:c r="K141" s="36" t="n">
        <x:f>A117</x:f>
        <x:v>115</x:v>
      </x:c>
      <x:c r="L141" s="36" t="n">
        <x:f>E117</x:f>
        <x:v>5.5</x:v>
      </x:c>
      <x:c r="M141" s="36" t="n">
        <x:f>G117</x:f>
        <x:v>11.666666666666666</x:v>
      </x:c>
      <x:c r="N141" s="36" t="n">
        <x:f>I117</x:f>
        <x:v>54.166666666666664</x:v>
      </x:c>
    </x:row>
    <x:row r="142">
      <x:c r="K142" s="36" t="n">
        <x:f>A118</x:f>
        <x:v>116</x:v>
      </x:c>
      <x:c r="L142" s="36" t="n">
        <x:f>E118</x:f>
        <x:v>5.4</x:v>
      </x:c>
      <x:c r="M142" s="36" t="n">
        <x:f>G118</x:f>
        <x:v>11.733333333333334</x:v>
      </x:c>
      <x:c r="N142" s="36" t="n">
        <x:f>I118</x:f>
        <x:v>54.333333333333336</x:v>
      </x:c>
    </x:row>
    <x:row r="143">
      <x:c r="K143" s="36" t="n">
        <x:f>A119</x:f>
        <x:v>117</x:v>
      </x:c>
      <x:c r="L143" s="36" t="n">
        <x:f>E119</x:f>
        <x:v>5.3</x:v>
      </x:c>
      <x:c r="M143" s="36" t="n">
        <x:f>G119</x:f>
        <x:v>11.8</x:v>
      </x:c>
      <x:c r="N143" s="36" t="n">
        <x:f>I119</x:f>
        <x:v>54.5</x:v>
      </x:c>
    </x:row>
    <x:row r="144">
      <x:c r="K144" s="36" t="n">
        <x:f>A120</x:f>
        <x:v>118</x:v>
      </x:c>
      <x:c r="L144" s="36" t="n">
        <x:f>E120</x:f>
        <x:v>5.2</x:v>
      </x:c>
      <x:c r="M144" s="36" t="n">
        <x:f>G120</x:f>
        <x:v>11.866666666666667</x:v>
      </x:c>
      <x:c r="N144" s="36" t="n">
        <x:f>I120</x:f>
        <x:v>54.666666666666664</x:v>
      </x:c>
    </x:row>
    <x:row r="145">
      <x:c r="K145" s="36" t="n">
        <x:f>A121</x:f>
        <x:v>119</x:v>
      </x:c>
      <x:c r="L145" s="36" t="n">
        <x:f>E121</x:f>
        <x:v>5.1</x:v>
      </x:c>
      <x:c r="M145" s="36" t="n">
        <x:f>G121</x:f>
        <x:v>11.933333333333334</x:v>
      </x:c>
      <x:c r="N145" s="36" t="n">
        <x:f>I121</x:f>
        <x:v>54.833333333333336</x:v>
      </x:c>
    </x:row>
    <x:row r="146">
      <x:c r="K146" s="36" t="n">
        <x:f>A122</x:f>
        <x:v>120</x:v>
      </x:c>
      <x:c r="L146" s="36" t="n">
        <x:f>E122</x:f>
        <x:v>5</x:v>
      </x:c>
      <x:c r="M146" s="36" t="n">
        <x:f>G122</x:f>
        <x:v>12</x:v>
      </x:c>
      <x:c r="N146" s="36" t="n">
        <x:f>I122</x:f>
        <x:v>55</x:v>
      </x:c>
    </x:row>
  </x:sheetData>
  <x:mergeCells>
    <x:mergeCell ref="K1:N1"/>
    <x:mergeCell ref="L2:N2"/>
    <x:mergeCell ref="L3:N3"/>
    <x:mergeCell ref="L4:N4"/>
    <x:mergeCell ref="L5:N5"/>
  </x:mergeCells>
  <x:conditionalFormatting sqref="C2:C12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{2F0A67D9-0187-336D-91D5-DE8BF13BBCB1}</x14:id>
        </x:ext>
      </x:extLst>
    </x:cfRule>
  </x:conditionalFormatting>
  <x:conditionalFormatting sqref="D2:D122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{272B820B-2A61-3CA1-509E-8BE9DD1A2C9D}</x14:id>
        </x:ext>
      </x:extLst>
    </x:cfRule>
  </x:conditionalFormatting>
  <x:conditionalFormatting sqref="I2:I122">
    <x:cfRule type="dataBar" priority="3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{A40374BB-5F61-8C19-99D8-08C2CBB56D8A}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e1d32b43ad040ea"/>
  <x:tableParts count="1">
    <x:tablePart xmlns:r="http://schemas.openxmlformats.org/officeDocument/2006/relationships" r:id="R544e1ba057df412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F0A67D9-0187-336D-91D5-DE8BF13BBCB1}">
            <x14:dataBar gradient="1">
              <x14:cfvo type="min"/>
              <x14:cfvo type="max"/>
              <x14:fillColor rgb="FFA02B93"/>
            </x14:dataBar>
          </x14:cfRule>
          <xm:sqref>C2:C122</xm:sqref>
        </x14:conditionalFormatting>
        <x14:conditionalFormatting>
          <x14:cfRule type="dataBar" priority="2" id="{272B820B-2A61-3CA1-509E-8BE9DD1A2C9D}">
            <x14:dataBar gradient="1">
              <x14:cfvo type="min"/>
              <x14:cfvo type="max"/>
              <x14:fillColor rgb="FF0F9ED5"/>
            </x14:dataBar>
          </x14:cfRule>
          <xm:sqref>D2:D122</xm:sqref>
        </x14:conditionalFormatting>
        <x14:conditionalFormatting>
          <x14:cfRule type="dataBar" priority="3" id="{A40374BB-5F61-8C19-99D8-08C2CBB56D8A}">
            <x14:dataBar gradient="1">
              <x14:cfvo type="min"/>
              <x14:cfvo type="max"/>
              <x14:fillColor rgb="FF4EA72E"/>
            </x14:dataBar>
          </x14:cfRule>
          <xm:sqref>I2:I122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74.5" hidden="0" customWidth="1"/>
    <x:col min="3" max="3" width="11.5" hidden="0" customWidth="1"/>
    <x:col min="4" max="4" width="6.5" hidden="0" customWidth="1"/>
    <x:col min="5" max="5" width="4.880000114440918" hidden="0" customWidth="1"/>
    <x:col min="6" max="6" width="16.1299991607666" hidden="0" customWidth="1"/>
  </x:cols>
  <x:sheetData>
    <x:row r="1">
      <x:c r="A1" s="5" t="str">
        <x:v>DAS</x:v>
      </x:c>
      <x:c r="B1" s="5" t="str">
        <x:v>Height (cm)</x:v>
      </x:c>
      <x:c r="C1" s="5" t="str">
        <x:v>Biomass Index</x:v>
      </x:c>
      <x:c r="D1" s="5" t="str">
        <x:v>Flowers</x:v>
      </x:c>
      <x:c r="E1" s="5" t="str">
        <x:v>Fruits</x:v>
      </x:c>
      <x:c r="F1" s="5" t="str">
        <x:v>Fruit Diameter (mm)</x:v>
      </x:c>
    </x:row>
    <x:row r="2">
      <x:c r="A2" s="11" t="n">
        <x:v>0</x:v>
      </x:c>
      <x:c r="B2" s="11" t="n">
        <x:v>0</x:v>
      </x:c>
      <x:c r="C2" s="11" t="n">
        <x:v>0</x:v>
      </x:c>
      <x:c r="D2" s="11" t="n">
        <x:v>0</x:v>
      </x:c>
      <x:c r="E2" s="11" t="n">
        <x:v>0</x:v>
      </x:c>
      <x:c r="F2" s="11" t="n">
        <x:v>0</x:v>
      </x:c>
    </x:row>
    <x:row r="3">
      <x:c r="A3" s="11" t="n">
        <x:v>15</x:v>
      </x:c>
      <x:c r="B3" s="11" t="n">
        <x:v>9</x:v>
      </x:c>
      <x:c r="C3" s="11" t="n">
        <x:v>5</x:v>
      </x:c>
      <x:c r="D3" s="11" t="n">
        <x:v>0</x:v>
      </x:c>
      <x:c r="E3" s="11" t="n">
        <x:v>0</x:v>
      </x:c>
      <x:c r="F3" s="11" t="n">
        <x:v>0</x:v>
      </x:c>
    </x:row>
    <x:row r="4">
      <x:c r="A4" s="11" t="n">
        <x:v>25</x:v>
      </x:c>
      <x:c r="B4" s="11" t="n">
        <x:v>20</x:v>
      </x:c>
      <x:c r="C4" s="11" t="n">
        <x:v>10</x:v>
      </x:c>
      <x:c r="D4" s="11" t="n">
        <x:v>0</x:v>
      </x:c>
      <x:c r="E4" s="11" t="n">
        <x:v>0</x:v>
      </x:c>
      <x:c r="F4" s="11" t="n">
        <x:v>0</x:v>
      </x:c>
    </x:row>
    <x:row r="5">
      <x:c r="A5" s="11" t="n">
        <x:v>40</x:v>
      </x:c>
      <x:c r="B5" s="11" t="n">
        <x:v>38</x:v>
      </x:c>
      <x:c r="C5" s="11" t="n">
        <x:v>25</x:v>
      </x:c>
      <x:c r="D5" s="11" t="n">
        <x:v>2</x:v>
      </x:c>
      <x:c r="E5" s="11" t="n">
        <x:v>0</x:v>
      </x:c>
      <x:c r="F5" s="11" t="n">
        <x:v>0</x:v>
      </x:c>
    </x:row>
    <x:row r="6">
      <x:c r="A6" s="11" t="n">
        <x:v>55</x:v>
      </x:c>
      <x:c r="B6" s="11" t="n">
        <x:v>58</x:v>
      </x:c>
      <x:c r="C6" s="11" t="n">
        <x:v>45</x:v>
      </x:c>
      <x:c r="D6" s="11" t="n">
        <x:v>7</x:v>
      </x:c>
      <x:c r="E6" s="11" t="n">
        <x:v>1</x:v>
      </x:c>
      <x:c r="F6" s="11" t="n">
        <x:v>8</x:v>
      </x:c>
    </x:row>
    <x:row r="7">
      <x:c r="A7" s="11" t="n">
        <x:v>70</x:v>
      </x:c>
      <x:c r="B7" s="11" t="n">
        <x:v>72</x:v>
      </x:c>
      <x:c r="C7" s="11" t="n">
        <x:v>65</x:v>
      </x:c>
      <x:c r="D7" s="11" t="n">
        <x:v>12</x:v>
      </x:c>
      <x:c r="E7" s="11" t="n">
        <x:v>5</x:v>
      </x:c>
      <x:c r="F7" s="11" t="n">
        <x:v>25</x:v>
      </x:c>
    </x:row>
    <x:row r="8">
      <x:c r="A8" s="11" t="n">
        <x:v>90</x:v>
      </x:c>
      <x:c r="B8" s="11" t="n">
        <x:v>82</x:v>
      </x:c>
      <x:c r="C8" s="11" t="n">
        <x:v>85</x:v>
      </x:c>
      <x:c r="D8" s="11" t="n">
        <x:v>8</x:v>
      </x:c>
      <x:c r="E8" s="11" t="n">
        <x:v>10</x:v>
      </x:c>
      <x:c r="F8" s="11" t="n">
        <x:v>50</x:v>
      </x:c>
    </x:row>
    <x:row r="9">
      <x:c r="A9" s="11" t="n">
        <x:v>120</x:v>
      </x:c>
      <x:c r="B9" s="11" t="n">
        <x:v>90</x:v>
      </x:c>
      <x:c r="C9" s="11" t="n">
        <x:v>100</x:v>
      </x:c>
      <x:c r="D9" s="11" t="n">
        <x:v>5</x:v>
      </x:c>
      <x:c r="E9" s="11" t="n">
        <x:v>12</x:v>
      </x:c>
      <x:c r="F9" s="11" t="n">
        <x:v>55</x:v>
      </x:c>
    </x:row>
    <x:row r="11">
      <x:c r="A11" s="15" t="str">
        <x:v>Note</x:v>
      </x:c>
      <x:c r="B11" s="15" t="str"/>
      <x:c r="C11" s="15" t="str"/>
      <x:c r="D11" s="15" t="str"/>
      <x:c r="E11" s="15" t="str"/>
      <x:c r="F11" s="15" t="str"/>
    </x:row>
    <x:row r="12">
      <x:c r="A12" s="18" t="str">
        <x:v>Method</x:v>
      </x:c>
      <x:c r="B12" s="20" t="str">
        <x:v>Daily values are generated by linear interpolation between consecutive anchor points.</x:v>
      </x:c>
      <x:c r="C12" s="20" t="str"/>
      <x:c r="D12" s="20" t="str"/>
      <x:c r="E12" s="20" t="str"/>
      <x:c r="F12" s="20" t="str"/>
    </x:row>
    <x:row r="13">
      <x:c r="A13" s="18" t="str">
        <x:v>Usage</x:v>
      </x:c>
      <x:c r="B13" s="20" t="str">
        <x:v>Flowers and fruits may be fractional as model averages; round them for display on one virtual plant.</x:v>
      </x:c>
      <x:c r="C13" s="20" t="str"/>
      <x:c r="D13" s="20" t="str"/>
      <x:c r="E13" s="20" t="str"/>
      <x:c r="F13" s="20" t="str"/>
    </x:row>
  </x:sheetData>
  <x:mergeCells>
    <x:mergeCell ref="B12:F12"/>
    <x:mergeCell ref="B13:F13"/>
  </x:mergeCells>
  <x:pageMargins left="0.7" right="0.7" top="0.75" bottom="0.75" header="0.3" footer="0.3"/>
  <x:tableParts count="1">
    <x:tablePart xmlns:r="http://schemas.openxmlformats.org/officeDocument/2006/relationships" r:id="Rb13b112293c246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1" hidden="0" customWidth="1"/>
    <x:col min="14" max="14" width="21" hidden="0" customWidth="1"/>
    <x:col min="15" max="15" width="2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0" hidden="0" customWidth="1"/>
    <x:col min="21" max="21" width="20" hidden="0" customWidth="1"/>
    <x:col min="22" max="22" width="20" hidden="0" customWidth="1"/>
  </x:cols>
  <x:sheetData>
    <x:row r="1" ht="28" customHeight="1">
      <x:c r="A1" s="62" t="str">
        <x:v>Tomato Daily Parameters by DAS (0–120)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</x:row>
    <x:row r="2" ht="34" customHeight="1">
      <x:c r="A2" s="65" t="str">
        <x:v>The optimal environmental inputs are included for every day. Soil moisture is Plant-Available Water (PAW%), not raw sensor VWC. GDD uses a 10°C base and 30°C upper cutoff.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</x:row>
    <x:row r="4" ht="44" customHeight="1">
      <x:c r="A4" s="70" t="str">
        <x:v>DAS</x:v>
      </x:c>
      <x:c r="B4" s="70" t="str">
        <x:v>Stage</x:v>
      </x:c>
      <x:c r="C4" s="70" t="str">
        <x:v>Height (cm)</x:v>
      </x:c>
      <x:c r="D4" s="70" t="str">
        <x:v>Biomass Index</x:v>
      </x:c>
      <x:c r="E4" s="70" t="str">
        <x:v>Flowers</x:v>
      </x:c>
      <x:c r="F4" s="70" t="str">
        <x:v>Fruits</x:v>
      </x:c>
      <x:c r="G4" s="70" t="str">
        <x:v>Fruit Diameter (mm)</x:v>
      </x:c>
      <x:c r="H4" s="70" t="str">
        <x:v>Sun Min (h)</x:v>
      </x:c>
      <x:c r="I4" s="53" t="str">
        <x:v>Sun Target (h)</x:v>
      </x:c>
      <x:c r="J4" s="70" t="str">
        <x:v>Sun Max (h)</x:v>
      </x:c>
      <x:c r="K4" s="70" t="str">
        <x:v>RH Min (%)</x:v>
      </x:c>
      <x:c r="L4" s="53" t="str">
        <x:v>RH Target (%)</x:v>
      </x:c>
      <x:c r="M4" s="70" t="str">
        <x:v>RH Max (%)</x:v>
      </x:c>
      <x:c r="N4" s="70" t="str">
        <x:v>Soil Moisture Min (PAW%)</x:v>
      </x:c>
      <x:c r="O4" s="53" t="str">
        <x:v>Soil Moisture Target (PAW%)</x:v>
      </x:c>
      <x:c r="P4" s="70" t="str">
        <x:v>Soil Moisture Max (PAW%)</x:v>
      </x:c>
      <x:c r="Q4" s="70" t="str">
        <x:v>Daily GDD Min</x:v>
      </x:c>
      <x:c r="R4" s="70" t="str">
        <x:v>Daily GDD Target</x:v>
      </x:c>
      <x:c r="S4" s="53" t="str">
        <x:v>Daily GDD Max</x:v>
      </x:c>
      <x:c r="T4" s="70" t="str">
        <x:v>Cumulative GDD Min</x:v>
      </x:c>
      <x:c r="U4" s="53" t="str">
        <x:v>Cumulative GDD Target</x:v>
      </x:c>
      <x:c r="V4" s="70" t="str">
        <x:v>Cumulative GDD Max</x:v>
      </x:c>
    </x:row>
    <x:row r="5">
      <x:c r="A5" s="30" t="n">
        <x:f>'Daily Baseline'!A2</x:f>
        <x:v>0</x:v>
      </x:c>
      <x:c r="B5" s="11" t="str">
        <x:f>'Daily Baseline'!B2</x:f>
        <x:v>Seedling</x:v>
      </x:c>
      <x:c r="C5" s="28" t="n">
        <x:f>'Daily Baseline'!C2</x:f>
        <x:v>0</x:v>
      </x:c>
      <x:c r="D5" s="28" t="n">
        <x:f>'Daily Baseline'!D2</x:f>
        <x:v>0</x:v>
      </x:c>
      <x:c r="E5" s="30" t="n">
        <x:f>'Daily Baseline'!F2</x:f>
        <x:v>0</x:v>
      </x:c>
      <x:c r="F5" s="30" t="n">
        <x:f>'Daily Baseline'!H2</x:f>
        <x:v>0</x:v>
      </x:c>
      <x:c r="G5" s="28" t="n">
        <x:f>'Daily Baseline'!I2</x:f>
        <x:v>0</x:v>
      </x:c>
      <x:c r="H5" s="28" t="n">
        <x:f>'Daily Baseline'!J2</x:f>
        <x:v>6</x:v>
      </x:c>
      <x:c r="I5" s="55" t="n">
        <x:f>'Daily Baseline'!K2</x:f>
        <x:v>7</x:v>
      </x:c>
      <x:c r="J5" s="28" t="n">
        <x:f>'Daily Baseline'!L2</x:f>
        <x:v>8</x:v>
      </x:c>
      <x:c r="K5" s="28" t="n">
        <x:f>'Daily Baseline'!M2</x:f>
        <x:v>65</x:v>
      </x:c>
      <x:c r="L5" s="55" t="n">
        <x:f>'Daily Baseline'!N2</x:f>
        <x:v>70</x:v>
      </x:c>
      <x:c r="M5" s="28" t="n">
        <x:f>'Daily Baseline'!O2</x:f>
        <x:v>75</x:v>
      </x:c>
      <x:c r="N5" s="28" t="n">
        <x:f>'Daily Baseline'!P2</x:f>
        <x:v>70</x:v>
      </x:c>
      <x:c r="O5" s="55" t="n">
        <x:f>'Daily Baseline'!Q2</x:f>
        <x:v>80</x:v>
      </x:c>
      <x:c r="P5" s="28" t="n">
        <x:f>'Daily Baseline'!R2</x:f>
        <x:v>90</x:v>
      </x:c>
      <x:c r="Q5" s="28" t="n">
        <x:f>'Daily Baseline'!S2</x:f>
        <x:v>8</x:v>
      </x:c>
      <x:c r="R5" s="28" t="n">
        <x:f>'Daily Baseline'!T2</x:f>
        <x:v>11</x:v>
      </x:c>
      <x:c r="S5" s="55" t="n">
        <x:f>'Daily Baseline'!U2</x:f>
        <x:v>14</x:v>
      </x:c>
      <x:c r="T5" s="28" t="n">
        <x:f>'Daily Baseline'!V2</x:f>
        <x:v>0</x:v>
      </x:c>
      <x:c r="U5" s="55" t="n">
        <x:f>'Daily Baseline'!W2</x:f>
        <x:v>0</x:v>
      </x:c>
      <x:c r="V5" s="28" t="n">
        <x:f>'Daily Baseline'!X2</x:f>
        <x:v>0</x:v>
      </x:c>
    </x:row>
    <x:row r="6">
      <x:c r="A6" s="30" t="n">
        <x:f>'Daily Baseline'!A3</x:f>
        <x:v>1</x:v>
      </x:c>
      <x:c r="B6" s="11" t="str">
        <x:f>'Daily Baseline'!B3</x:f>
        <x:v>Seedling</x:v>
      </x:c>
      <x:c r="C6" s="28" t="n">
        <x:f>'Daily Baseline'!C3</x:f>
        <x:v>0.6</x:v>
      </x:c>
      <x:c r="D6" s="28" t="n">
        <x:f>'Daily Baseline'!D3</x:f>
        <x:v>0.3333333333333333</x:v>
      </x:c>
      <x:c r="E6" s="30" t="n">
        <x:f>'Daily Baseline'!F3</x:f>
        <x:v>0</x:v>
      </x:c>
      <x:c r="F6" s="30" t="n">
        <x:f>'Daily Baseline'!H3</x:f>
        <x:v>0</x:v>
      </x:c>
      <x:c r="G6" s="28" t="n">
        <x:f>'Daily Baseline'!I3</x:f>
        <x:v>0</x:v>
      </x:c>
      <x:c r="H6" s="28" t="n">
        <x:f>'Daily Baseline'!J3</x:f>
        <x:v>6</x:v>
      </x:c>
      <x:c r="I6" s="55" t="n">
        <x:f>'Daily Baseline'!K3</x:f>
        <x:v>7</x:v>
      </x:c>
      <x:c r="J6" s="28" t="n">
        <x:f>'Daily Baseline'!L3</x:f>
        <x:v>8</x:v>
      </x:c>
      <x:c r="K6" s="28" t="n">
        <x:f>'Daily Baseline'!M3</x:f>
        <x:v>65</x:v>
      </x:c>
      <x:c r="L6" s="55" t="n">
        <x:f>'Daily Baseline'!N3</x:f>
        <x:v>70</x:v>
      </x:c>
      <x:c r="M6" s="28" t="n">
        <x:f>'Daily Baseline'!O3</x:f>
        <x:v>75</x:v>
      </x:c>
      <x:c r="N6" s="28" t="n">
        <x:f>'Daily Baseline'!P3</x:f>
        <x:v>70</x:v>
      </x:c>
      <x:c r="O6" s="55" t="n">
        <x:f>'Daily Baseline'!Q3</x:f>
        <x:v>80</x:v>
      </x:c>
      <x:c r="P6" s="28" t="n">
        <x:f>'Daily Baseline'!R3</x:f>
        <x:v>90</x:v>
      </x:c>
      <x:c r="Q6" s="28" t="n">
        <x:f>'Daily Baseline'!S3</x:f>
        <x:v>8</x:v>
      </x:c>
      <x:c r="R6" s="28" t="n">
        <x:f>'Daily Baseline'!T3</x:f>
        <x:v>11</x:v>
      </x:c>
      <x:c r="S6" s="55" t="n">
        <x:f>'Daily Baseline'!U3</x:f>
        <x:v>14</x:v>
      </x:c>
      <x:c r="T6" s="28" t="n">
        <x:f>'Daily Baseline'!V3</x:f>
        <x:v>8</x:v>
      </x:c>
      <x:c r="U6" s="55" t="n">
        <x:f>'Daily Baseline'!W3</x:f>
        <x:v>11</x:v>
      </x:c>
      <x:c r="V6" s="28" t="n">
        <x:f>'Daily Baseline'!X3</x:f>
        <x:v>14</x:v>
      </x:c>
    </x:row>
    <x:row r="7">
      <x:c r="A7" s="30" t="n">
        <x:f>'Daily Baseline'!A4</x:f>
        <x:v>2</x:v>
      </x:c>
      <x:c r="B7" s="11" t="str">
        <x:f>'Daily Baseline'!B4</x:f>
        <x:v>Seedling</x:v>
      </x:c>
      <x:c r="C7" s="28" t="n">
        <x:f>'Daily Baseline'!C4</x:f>
        <x:v>1.2</x:v>
      </x:c>
      <x:c r="D7" s="28" t="n">
        <x:f>'Daily Baseline'!D4</x:f>
        <x:v>0.6666666666666666</x:v>
      </x:c>
      <x:c r="E7" s="30" t="n">
        <x:f>'Daily Baseline'!F4</x:f>
        <x:v>0</x:v>
      </x:c>
      <x:c r="F7" s="30" t="n">
        <x:f>'Daily Baseline'!H4</x:f>
        <x:v>0</x:v>
      </x:c>
      <x:c r="G7" s="28" t="n">
        <x:f>'Daily Baseline'!I4</x:f>
        <x:v>0</x:v>
      </x:c>
      <x:c r="H7" s="28" t="n">
        <x:f>'Daily Baseline'!J4</x:f>
        <x:v>6</x:v>
      </x:c>
      <x:c r="I7" s="55" t="n">
        <x:f>'Daily Baseline'!K4</x:f>
        <x:v>7</x:v>
      </x:c>
      <x:c r="J7" s="28" t="n">
        <x:f>'Daily Baseline'!L4</x:f>
        <x:v>8</x:v>
      </x:c>
      <x:c r="K7" s="28" t="n">
        <x:f>'Daily Baseline'!M4</x:f>
        <x:v>65</x:v>
      </x:c>
      <x:c r="L7" s="55" t="n">
        <x:f>'Daily Baseline'!N4</x:f>
        <x:v>70</x:v>
      </x:c>
      <x:c r="M7" s="28" t="n">
        <x:f>'Daily Baseline'!O4</x:f>
        <x:v>75</x:v>
      </x:c>
      <x:c r="N7" s="28" t="n">
        <x:f>'Daily Baseline'!P4</x:f>
        <x:v>70</x:v>
      </x:c>
      <x:c r="O7" s="55" t="n">
        <x:f>'Daily Baseline'!Q4</x:f>
        <x:v>80</x:v>
      </x:c>
      <x:c r="P7" s="28" t="n">
        <x:f>'Daily Baseline'!R4</x:f>
        <x:v>90</x:v>
      </x:c>
      <x:c r="Q7" s="28" t="n">
        <x:f>'Daily Baseline'!S4</x:f>
        <x:v>8</x:v>
      </x:c>
      <x:c r="R7" s="28" t="n">
        <x:f>'Daily Baseline'!T4</x:f>
        <x:v>11</x:v>
      </x:c>
      <x:c r="S7" s="55" t="n">
        <x:f>'Daily Baseline'!U4</x:f>
        <x:v>14</x:v>
      </x:c>
      <x:c r="T7" s="28" t="n">
        <x:f>'Daily Baseline'!V4</x:f>
        <x:v>16</x:v>
      </x:c>
      <x:c r="U7" s="55" t="n">
        <x:f>'Daily Baseline'!W4</x:f>
        <x:v>22</x:v>
      </x:c>
      <x:c r="V7" s="28" t="n">
        <x:f>'Daily Baseline'!X4</x:f>
        <x:v>28</x:v>
      </x:c>
    </x:row>
    <x:row r="8">
      <x:c r="A8" s="30" t="n">
        <x:f>'Daily Baseline'!A5</x:f>
        <x:v>3</x:v>
      </x:c>
      <x:c r="B8" s="11" t="str">
        <x:f>'Daily Baseline'!B5</x:f>
        <x:v>Seedling</x:v>
      </x:c>
      <x:c r="C8" s="28" t="n">
        <x:f>'Daily Baseline'!C5</x:f>
        <x:v>1.8</x:v>
      </x:c>
      <x:c r="D8" s="28" t="n">
        <x:f>'Daily Baseline'!D5</x:f>
        <x:v>1</x:v>
      </x:c>
      <x:c r="E8" s="30" t="n">
        <x:f>'Daily Baseline'!F5</x:f>
        <x:v>0</x:v>
      </x:c>
      <x:c r="F8" s="30" t="n">
        <x:f>'Daily Baseline'!H5</x:f>
        <x:v>0</x:v>
      </x:c>
      <x:c r="G8" s="28" t="n">
        <x:f>'Daily Baseline'!I5</x:f>
        <x:v>0</x:v>
      </x:c>
      <x:c r="H8" s="28" t="n">
        <x:f>'Daily Baseline'!J5</x:f>
        <x:v>6</x:v>
      </x:c>
      <x:c r="I8" s="55" t="n">
        <x:f>'Daily Baseline'!K5</x:f>
        <x:v>7</x:v>
      </x:c>
      <x:c r="J8" s="28" t="n">
        <x:f>'Daily Baseline'!L5</x:f>
        <x:v>8</x:v>
      </x:c>
      <x:c r="K8" s="28" t="n">
        <x:f>'Daily Baseline'!M5</x:f>
        <x:v>65</x:v>
      </x:c>
      <x:c r="L8" s="55" t="n">
        <x:f>'Daily Baseline'!N5</x:f>
        <x:v>70</x:v>
      </x:c>
      <x:c r="M8" s="28" t="n">
        <x:f>'Daily Baseline'!O5</x:f>
        <x:v>75</x:v>
      </x:c>
      <x:c r="N8" s="28" t="n">
        <x:f>'Daily Baseline'!P5</x:f>
        <x:v>70</x:v>
      </x:c>
      <x:c r="O8" s="55" t="n">
        <x:f>'Daily Baseline'!Q5</x:f>
        <x:v>80</x:v>
      </x:c>
      <x:c r="P8" s="28" t="n">
        <x:f>'Daily Baseline'!R5</x:f>
        <x:v>90</x:v>
      </x:c>
      <x:c r="Q8" s="28" t="n">
        <x:f>'Daily Baseline'!S5</x:f>
        <x:v>8</x:v>
      </x:c>
      <x:c r="R8" s="28" t="n">
        <x:f>'Daily Baseline'!T5</x:f>
        <x:v>11</x:v>
      </x:c>
      <x:c r="S8" s="55" t="n">
        <x:f>'Daily Baseline'!U5</x:f>
        <x:v>14</x:v>
      </x:c>
      <x:c r="T8" s="28" t="n">
        <x:f>'Daily Baseline'!V5</x:f>
        <x:v>24</x:v>
      </x:c>
      <x:c r="U8" s="55" t="n">
        <x:f>'Daily Baseline'!W5</x:f>
        <x:v>33</x:v>
      </x:c>
      <x:c r="V8" s="28" t="n">
        <x:f>'Daily Baseline'!X5</x:f>
        <x:v>42</x:v>
      </x:c>
    </x:row>
    <x:row r="9">
      <x:c r="A9" s="30" t="n">
        <x:f>'Daily Baseline'!A6</x:f>
        <x:v>4</x:v>
      </x:c>
      <x:c r="B9" s="11" t="str">
        <x:f>'Daily Baseline'!B6</x:f>
        <x:v>Seedling</x:v>
      </x:c>
      <x:c r="C9" s="28" t="n">
        <x:f>'Daily Baseline'!C6</x:f>
        <x:v>2.4</x:v>
      </x:c>
      <x:c r="D9" s="28" t="n">
        <x:f>'Daily Baseline'!D6</x:f>
        <x:v>1.3333333333333333</x:v>
      </x:c>
      <x:c r="E9" s="30" t="n">
        <x:f>'Daily Baseline'!F6</x:f>
        <x:v>0</x:v>
      </x:c>
      <x:c r="F9" s="30" t="n">
        <x:f>'Daily Baseline'!H6</x:f>
        <x:v>0</x:v>
      </x:c>
      <x:c r="G9" s="28" t="n">
        <x:f>'Daily Baseline'!I6</x:f>
        <x:v>0</x:v>
      </x:c>
      <x:c r="H9" s="28" t="n">
        <x:f>'Daily Baseline'!J6</x:f>
        <x:v>6</x:v>
      </x:c>
      <x:c r="I9" s="55" t="n">
        <x:f>'Daily Baseline'!K6</x:f>
        <x:v>7</x:v>
      </x:c>
      <x:c r="J9" s="28" t="n">
        <x:f>'Daily Baseline'!L6</x:f>
        <x:v>8</x:v>
      </x:c>
      <x:c r="K9" s="28" t="n">
        <x:f>'Daily Baseline'!M6</x:f>
        <x:v>65</x:v>
      </x:c>
      <x:c r="L9" s="55" t="n">
        <x:f>'Daily Baseline'!N6</x:f>
        <x:v>70</x:v>
      </x:c>
      <x:c r="M9" s="28" t="n">
        <x:f>'Daily Baseline'!O6</x:f>
        <x:v>75</x:v>
      </x:c>
      <x:c r="N9" s="28" t="n">
        <x:f>'Daily Baseline'!P6</x:f>
        <x:v>70</x:v>
      </x:c>
      <x:c r="O9" s="55" t="n">
        <x:f>'Daily Baseline'!Q6</x:f>
        <x:v>80</x:v>
      </x:c>
      <x:c r="P9" s="28" t="n">
        <x:f>'Daily Baseline'!R6</x:f>
        <x:v>90</x:v>
      </x:c>
      <x:c r="Q9" s="28" t="n">
        <x:f>'Daily Baseline'!S6</x:f>
        <x:v>8</x:v>
      </x:c>
      <x:c r="R9" s="28" t="n">
        <x:f>'Daily Baseline'!T6</x:f>
        <x:v>11</x:v>
      </x:c>
      <x:c r="S9" s="55" t="n">
        <x:f>'Daily Baseline'!U6</x:f>
        <x:v>14</x:v>
      </x:c>
      <x:c r="T9" s="28" t="n">
        <x:f>'Daily Baseline'!V6</x:f>
        <x:v>32</x:v>
      </x:c>
      <x:c r="U9" s="55" t="n">
        <x:f>'Daily Baseline'!W6</x:f>
        <x:v>44</x:v>
      </x:c>
      <x:c r="V9" s="28" t="n">
        <x:f>'Daily Baseline'!X6</x:f>
        <x:v>56</x:v>
      </x:c>
    </x:row>
    <x:row r="10">
      <x:c r="A10" s="30" t="n">
        <x:f>'Daily Baseline'!A7</x:f>
        <x:v>5</x:v>
      </x:c>
      <x:c r="B10" s="11" t="str">
        <x:f>'Daily Baseline'!B7</x:f>
        <x:v>Seedling</x:v>
      </x:c>
      <x:c r="C10" s="28" t="n">
        <x:f>'Daily Baseline'!C7</x:f>
        <x:v>3</x:v>
      </x:c>
      <x:c r="D10" s="28" t="n">
        <x:f>'Daily Baseline'!D7</x:f>
        <x:v>1.6666666666666665</x:v>
      </x:c>
      <x:c r="E10" s="30" t="n">
        <x:f>'Daily Baseline'!F7</x:f>
        <x:v>0</x:v>
      </x:c>
      <x:c r="F10" s="30" t="n">
        <x:f>'Daily Baseline'!H7</x:f>
        <x:v>0</x:v>
      </x:c>
      <x:c r="G10" s="28" t="n">
        <x:f>'Daily Baseline'!I7</x:f>
        <x:v>0</x:v>
      </x:c>
      <x:c r="H10" s="28" t="n">
        <x:f>'Daily Baseline'!J7</x:f>
        <x:v>6</x:v>
      </x:c>
      <x:c r="I10" s="55" t="n">
        <x:f>'Daily Baseline'!K7</x:f>
        <x:v>7</x:v>
      </x:c>
      <x:c r="J10" s="28" t="n">
        <x:f>'Daily Baseline'!L7</x:f>
        <x:v>8</x:v>
      </x:c>
      <x:c r="K10" s="28" t="n">
        <x:f>'Daily Baseline'!M7</x:f>
        <x:v>65</x:v>
      </x:c>
      <x:c r="L10" s="55" t="n">
        <x:f>'Daily Baseline'!N7</x:f>
        <x:v>70</x:v>
      </x:c>
      <x:c r="M10" s="28" t="n">
        <x:f>'Daily Baseline'!O7</x:f>
        <x:v>75</x:v>
      </x:c>
      <x:c r="N10" s="28" t="n">
        <x:f>'Daily Baseline'!P7</x:f>
        <x:v>70</x:v>
      </x:c>
      <x:c r="O10" s="55" t="n">
        <x:f>'Daily Baseline'!Q7</x:f>
        <x:v>80</x:v>
      </x:c>
      <x:c r="P10" s="28" t="n">
        <x:f>'Daily Baseline'!R7</x:f>
        <x:v>90</x:v>
      </x:c>
      <x:c r="Q10" s="28" t="n">
        <x:f>'Daily Baseline'!S7</x:f>
        <x:v>8</x:v>
      </x:c>
      <x:c r="R10" s="28" t="n">
        <x:f>'Daily Baseline'!T7</x:f>
        <x:v>11</x:v>
      </x:c>
      <x:c r="S10" s="55" t="n">
        <x:f>'Daily Baseline'!U7</x:f>
        <x:v>14</x:v>
      </x:c>
      <x:c r="T10" s="28" t="n">
        <x:f>'Daily Baseline'!V7</x:f>
        <x:v>40</x:v>
      </x:c>
      <x:c r="U10" s="55" t="n">
        <x:f>'Daily Baseline'!W7</x:f>
        <x:v>55</x:v>
      </x:c>
      <x:c r="V10" s="28" t="n">
        <x:f>'Daily Baseline'!X7</x:f>
        <x:v>70</x:v>
      </x:c>
    </x:row>
    <x:row r="11">
      <x:c r="A11" s="30" t="n">
        <x:f>'Daily Baseline'!A8</x:f>
        <x:v>6</x:v>
      </x:c>
      <x:c r="B11" s="11" t="str">
        <x:f>'Daily Baseline'!B8</x:f>
        <x:v>Seedling</x:v>
      </x:c>
      <x:c r="C11" s="28" t="n">
        <x:f>'Daily Baseline'!C8</x:f>
        <x:v>3.6</x:v>
      </x:c>
      <x:c r="D11" s="28" t="n">
        <x:f>'Daily Baseline'!D8</x:f>
        <x:v>2</x:v>
      </x:c>
      <x:c r="E11" s="30" t="n">
        <x:f>'Daily Baseline'!F8</x:f>
        <x:v>0</x:v>
      </x:c>
      <x:c r="F11" s="30" t="n">
        <x:f>'Daily Baseline'!H8</x:f>
        <x:v>0</x:v>
      </x:c>
      <x:c r="G11" s="28" t="n">
        <x:f>'Daily Baseline'!I8</x:f>
        <x:v>0</x:v>
      </x:c>
      <x:c r="H11" s="28" t="n">
        <x:f>'Daily Baseline'!J8</x:f>
        <x:v>6</x:v>
      </x:c>
      <x:c r="I11" s="55" t="n">
        <x:f>'Daily Baseline'!K8</x:f>
        <x:v>7</x:v>
      </x:c>
      <x:c r="J11" s="28" t="n">
        <x:f>'Daily Baseline'!L8</x:f>
        <x:v>8</x:v>
      </x:c>
      <x:c r="K11" s="28" t="n">
        <x:f>'Daily Baseline'!M8</x:f>
        <x:v>65</x:v>
      </x:c>
      <x:c r="L11" s="55" t="n">
        <x:f>'Daily Baseline'!N8</x:f>
        <x:v>70</x:v>
      </x:c>
      <x:c r="M11" s="28" t="n">
        <x:f>'Daily Baseline'!O8</x:f>
        <x:v>75</x:v>
      </x:c>
      <x:c r="N11" s="28" t="n">
        <x:f>'Daily Baseline'!P8</x:f>
        <x:v>70</x:v>
      </x:c>
      <x:c r="O11" s="55" t="n">
        <x:f>'Daily Baseline'!Q8</x:f>
        <x:v>80</x:v>
      </x:c>
      <x:c r="P11" s="28" t="n">
        <x:f>'Daily Baseline'!R8</x:f>
        <x:v>90</x:v>
      </x:c>
      <x:c r="Q11" s="28" t="n">
        <x:f>'Daily Baseline'!S8</x:f>
        <x:v>8</x:v>
      </x:c>
      <x:c r="R11" s="28" t="n">
        <x:f>'Daily Baseline'!T8</x:f>
        <x:v>11</x:v>
      </x:c>
      <x:c r="S11" s="55" t="n">
        <x:f>'Daily Baseline'!U8</x:f>
        <x:v>14</x:v>
      </x:c>
      <x:c r="T11" s="28" t="n">
        <x:f>'Daily Baseline'!V8</x:f>
        <x:v>48</x:v>
      </x:c>
      <x:c r="U11" s="55" t="n">
        <x:f>'Daily Baseline'!W8</x:f>
        <x:v>66</x:v>
      </x:c>
      <x:c r="V11" s="28" t="n">
        <x:f>'Daily Baseline'!X8</x:f>
        <x:v>84</x:v>
      </x:c>
    </x:row>
    <x:row r="12">
      <x:c r="A12" s="30" t="n">
        <x:f>'Daily Baseline'!A9</x:f>
        <x:v>7</x:v>
      </x:c>
      <x:c r="B12" s="11" t="str">
        <x:f>'Daily Baseline'!B9</x:f>
        <x:v>Seedling</x:v>
      </x:c>
      <x:c r="C12" s="28" t="n">
        <x:f>'Daily Baseline'!C9</x:f>
        <x:v>4.2</x:v>
      </x:c>
      <x:c r="D12" s="28" t="n">
        <x:f>'Daily Baseline'!D9</x:f>
        <x:v>2.3333333333333335</x:v>
      </x:c>
      <x:c r="E12" s="30" t="n">
        <x:f>'Daily Baseline'!F9</x:f>
        <x:v>0</x:v>
      </x:c>
      <x:c r="F12" s="30" t="n">
        <x:f>'Daily Baseline'!H9</x:f>
        <x:v>0</x:v>
      </x:c>
      <x:c r="G12" s="28" t="n">
        <x:f>'Daily Baseline'!I9</x:f>
        <x:v>0</x:v>
      </x:c>
      <x:c r="H12" s="28" t="n">
        <x:f>'Daily Baseline'!J9</x:f>
        <x:v>6</x:v>
      </x:c>
      <x:c r="I12" s="55" t="n">
        <x:f>'Daily Baseline'!K9</x:f>
        <x:v>7</x:v>
      </x:c>
      <x:c r="J12" s="28" t="n">
        <x:f>'Daily Baseline'!L9</x:f>
        <x:v>8</x:v>
      </x:c>
      <x:c r="K12" s="28" t="n">
        <x:f>'Daily Baseline'!M9</x:f>
        <x:v>65</x:v>
      </x:c>
      <x:c r="L12" s="55" t="n">
        <x:f>'Daily Baseline'!N9</x:f>
        <x:v>70</x:v>
      </x:c>
      <x:c r="M12" s="28" t="n">
        <x:f>'Daily Baseline'!O9</x:f>
        <x:v>75</x:v>
      </x:c>
      <x:c r="N12" s="28" t="n">
        <x:f>'Daily Baseline'!P9</x:f>
        <x:v>70</x:v>
      </x:c>
      <x:c r="O12" s="55" t="n">
        <x:f>'Daily Baseline'!Q9</x:f>
        <x:v>80</x:v>
      </x:c>
      <x:c r="P12" s="28" t="n">
        <x:f>'Daily Baseline'!R9</x:f>
        <x:v>90</x:v>
      </x:c>
      <x:c r="Q12" s="28" t="n">
        <x:f>'Daily Baseline'!S9</x:f>
        <x:v>8</x:v>
      </x:c>
      <x:c r="R12" s="28" t="n">
        <x:f>'Daily Baseline'!T9</x:f>
        <x:v>11</x:v>
      </x:c>
      <x:c r="S12" s="55" t="n">
        <x:f>'Daily Baseline'!U9</x:f>
        <x:v>14</x:v>
      </x:c>
      <x:c r="T12" s="28" t="n">
        <x:f>'Daily Baseline'!V9</x:f>
        <x:v>56</x:v>
      </x:c>
      <x:c r="U12" s="55" t="n">
        <x:f>'Daily Baseline'!W9</x:f>
        <x:v>77</x:v>
      </x:c>
      <x:c r="V12" s="28" t="n">
        <x:f>'Daily Baseline'!X9</x:f>
        <x:v>98</x:v>
      </x:c>
    </x:row>
    <x:row r="13">
      <x:c r="A13" s="30" t="n">
        <x:f>'Daily Baseline'!A10</x:f>
        <x:v>8</x:v>
      </x:c>
      <x:c r="B13" s="11" t="str">
        <x:f>'Daily Baseline'!B10</x:f>
        <x:v>Seedling</x:v>
      </x:c>
      <x:c r="C13" s="28" t="n">
        <x:f>'Daily Baseline'!C10</x:f>
        <x:v>4.8</x:v>
      </x:c>
      <x:c r="D13" s="28" t="n">
        <x:f>'Daily Baseline'!D10</x:f>
        <x:v>2.6666666666666665</x:v>
      </x:c>
      <x:c r="E13" s="30" t="n">
        <x:f>'Daily Baseline'!F10</x:f>
        <x:v>0</x:v>
      </x:c>
      <x:c r="F13" s="30" t="n">
        <x:f>'Daily Baseline'!H10</x:f>
        <x:v>0</x:v>
      </x:c>
      <x:c r="G13" s="28" t="n">
        <x:f>'Daily Baseline'!I10</x:f>
        <x:v>0</x:v>
      </x:c>
      <x:c r="H13" s="28" t="n">
        <x:f>'Daily Baseline'!J10</x:f>
        <x:v>6</x:v>
      </x:c>
      <x:c r="I13" s="55" t="n">
        <x:f>'Daily Baseline'!K10</x:f>
        <x:v>7</x:v>
      </x:c>
      <x:c r="J13" s="28" t="n">
        <x:f>'Daily Baseline'!L10</x:f>
        <x:v>8</x:v>
      </x:c>
      <x:c r="K13" s="28" t="n">
        <x:f>'Daily Baseline'!M10</x:f>
        <x:v>65</x:v>
      </x:c>
      <x:c r="L13" s="55" t="n">
        <x:f>'Daily Baseline'!N10</x:f>
        <x:v>70</x:v>
      </x:c>
      <x:c r="M13" s="28" t="n">
        <x:f>'Daily Baseline'!O10</x:f>
        <x:v>75</x:v>
      </x:c>
      <x:c r="N13" s="28" t="n">
        <x:f>'Daily Baseline'!P10</x:f>
        <x:v>70</x:v>
      </x:c>
      <x:c r="O13" s="55" t="n">
        <x:f>'Daily Baseline'!Q10</x:f>
        <x:v>80</x:v>
      </x:c>
      <x:c r="P13" s="28" t="n">
        <x:f>'Daily Baseline'!R10</x:f>
        <x:v>90</x:v>
      </x:c>
      <x:c r="Q13" s="28" t="n">
        <x:f>'Daily Baseline'!S10</x:f>
        <x:v>8</x:v>
      </x:c>
      <x:c r="R13" s="28" t="n">
        <x:f>'Daily Baseline'!T10</x:f>
        <x:v>11</x:v>
      </x:c>
      <x:c r="S13" s="55" t="n">
        <x:f>'Daily Baseline'!U10</x:f>
        <x:v>14</x:v>
      </x:c>
      <x:c r="T13" s="28" t="n">
        <x:f>'Daily Baseline'!V10</x:f>
        <x:v>64</x:v>
      </x:c>
      <x:c r="U13" s="55" t="n">
        <x:f>'Daily Baseline'!W10</x:f>
        <x:v>88</x:v>
      </x:c>
      <x:c r="V13" s="28" t="n">
        <x:f>'Daily Baseline'!X10</x:f>
        <x:v>112</x:v>
      </x:c>
    </x:row>
    <x:row r="14">
      <x:c r="A14" s="30" t="n">
        <x:f>'Daily Baseline'!A11</x:f>
        <x:v>9</x:v>
      </x:c>
      <x:c r="B14" s="11" t="str">
        <x:f>'Daily Baseline'!B11</x:f>
        <x:v>Seedling</x:v>
      </x:c>
      <x:c r="C14" s="28" t="n">
        <x:f>'Daily Baseline'!C11</x:f>
        <x:v>5.3999999999999995</x:v>
      </x:c>
      <x:c r="D14" s="28" t="n">
        <x:f>'Daily Baseline'!D11</x:f>
        <x:v>3</x:v>
      </x:c>
      <x:c r="E14" s="30" t="n">
        <x:f>'Daily Baseline'!F11</x:f>
        <x:v>0</x:v>
      </x:c>
      <x:c r="F14" s="30" t="n">
        <x:f>'Daily Baseline'!H11</x:f>
        <x:v>0</x:v>
      </x:c>
      <x:c r="G14" s="28" t="n">
        <x:f>'Daily Baseline'!I11</x:f>
        <x:v>0</x:v>
      </x:c>
      <x:c r="H14" s="28" t="n">
        <x:f>'Daily Baseline'!J11</x:f>
        <x:v>6</x:v>
      </x:c>
      <x:c r="I14" s="55" t="n">
        <x:f>'Daily Baseline'!K11</x:f>
        <x:v>7</x:v>
      </x:c>
      <x:c r="J14" s="28" t="n">
        <x:f>'Daily Baseline'!L11</x:f>
        <x:v>8</x:v>
      </x:c>
      <x:c r="K14" s="28" t="n">
        <x:f>'Daily Baseline'!M11</x:f>
        <x:v>65</x:v>
      </x:c>
      <x:c r="L14" s="55" t="n">
        <x:f>'Daily Baseline'!N11</x:f>
        <x:v>70</x:v>
      </x:c>
      <x:c r="M14" s="28" t="n">
        <x:f>'Daily Baseline'!O11</x:f>
        <x:v>75</x:v>
      </x:c>
      <x:c r="N14" s="28" t="n">
        <x:f>'Daily Baseline'!P11</x:f>
        <x:v>70</x:v>
      </x:c>
      <x:c r="O14" s="55" t="n">
        <x:f>'Daily Baseline'!Q11</x:f>
        <x:v>80</x:v>
      </x:c>
      <x:c r="P14" s="28" t="n">
        <x:f>'Daily Baseline'!R11</x:f>
        <x:v>90</x:v>
      </x:c>
      <x:c r="Q14" s="28" t="n">
        <x:f>'Daily Baseline'!S11</x:f>
        <x:v>8</x:v>
      </x:c>
      <x:c r="R14" s="28" t="n">
        <x:f>'Daily Baseline'!T11</x:f>
        <x:v>11</x:v>
      </x:c>
      <x:c r="S14" s="55" t="n">
        <x:f>'Daily Baseline'!U11</x:f>
        <x:v>14</x:v>
      </x:c>
      <x:c r="T14" s="28" t="n">
        <x:f>'Daily Baseline'!V11</x:f>
        <x:v>72</x:v>
      </x:c>
      <x:c r="U14" s="55" t="n">
        <x:f>'Daily Baseline'!W11</x:f>
        <x:v>99</x:v>
      </x:c>
      <x:c r="V14" s="28" t="n">
        <x:f>'Daily Baseline'!X11</x:f>
        <x:v>126</x:v>
      </x:c>
    </x:row>
    <x:row r="15">
      <x:c r="A15" s="30" t="n">
        <x:f>'Daily Baseline'!A12</x:f>
        <x:v>10</x:v>
      </x:c>
      <x:c r="B15" s="11" t="str">
        <x:f>'Daily Baseline'!B12</x:f>
        <x:v>Seedling</x:v>
      </x:c>
      <x:c r="C15" s="28" t="n">
        <x:f>'Daily Baseline'!C12</x:f>
        <x:v>6</x:v>
      </x:c>
      <x:c r="D15" s="28" t="n">
        <x:f>'Daily Baseline'!D12</x:f>
        <x:v>3.333333333333333</x:v>
      </x:c>
      <x:c r="E15" s="30" t="n">
        <x:f>'Daily Baseline'!F12</x:f>
        <x:v>0</x:v>
      </x:c>
      <x:c r="F15" s="30" t="n">
        <x:f>'Daily Baseline'!H12</x:f>
        <x:v>0</x:v>
      </x:c>
      <x:c r="G15" s="28" t="n">
        <x:f>'Daily Baseline'!I12</x:f>
        <x:v>0</x:v>
      </x:c>
      <x:c r="H15" s="28" t="n">
        <x:f>'Daily Baseline'!J12</x:f>
        <x:v>6</x:v>
      </x:c>
      <x:c r="I15" s="55" t="n">
        <x:f>'Daily Baseline'!K12</x:f>
        <x:v>7</x:v>
      </x:c>
      <x:c r="J15" s="28" t="n">
        <x:f>'Daily Baseline'!L12</x:f>
        <x:v>8</x:v>
      </x:c>
      <x:c r="K15" s="28" t="n">
        <x:f>'Daily Baseline'!M12</x:f>
        <x:v>65</x:v>
      </x:c>
      <x:c r="L15" s="55" t="n">
        <x:f>'Daily Baseline'!N12</x:f>
        <x:v>70</x:v>
      </x:c>
      <x:c r="M15" s="28" t="n">
        <x:f>'Daily Baseline'!O12</x:f>
        <x:v>75</x:v>
      </x:c>
      <x:c r="N15" s="28" t="n">
        <x:f>'Daily Baseline'!P12</x:f>
        <x:v>70</x:v>
      </x:c>
      <x:c r="O15" s="55" t="n">
        <x:f>'Daily Baseline'!Q12</x:f>
        <x:v>80</x:v>
      </x:c>
      <x:c r="P15" s="28" t="n">
        <x:f>'Daily Baseline'!R12</x:f>
        <x:v>90</x:v>
      </x:c>
      <x:c r="Q15" s="28" t="n">
        <x:f>'Daily Baseline'!S12</x:f>
        <x:v>8</x:v>
      </x:c>
      <x:c r="R15" s="28" t="n">
        <x:f>'Daily Baseline'!T12</x:f>
        <x:v>11</x:v>
      </x:c>
      <x:c r="S15" s="55" t="n">
        <x:f>'Daily Baseline'!U12</x:f>
        <x:v>14</x:v>
      </x:c>
      <x:c r="T15" s="28" t="n">
        <x:f>'Daily Baseline'!V12</x:f>
        <x:v>80</x:v>
      </x:c>
      <x:c r="U15" s="55" t="n">
        <x:f>'Daily Baseline'!W12</x:f>
        <x:v>110</x:v>
      </x:c>
      <x:c r="V15" s="28" t="n">
        <x:f>'Daily Baseline'!X12</x:f>
        <x:v>140</x:v>
      </x:c>
    </x:row>
    <x:row r="16">
      <x:c r="A16" s="30" t="n">
        <x:f>'Daily Baseline'!A13</x:f>
        <x:v>11</x:v>
      </x:c>
      <x:c r="B16" s="11" t="str">
        <x:f>'Daily Baseline'!B13</x:f>
        <x:v>Seedling</x:v>
      </x:c>
      <x:c r="C16" s="28" t="n">
        <x:f>'Daily Baseline'!C13</x:f>
        <x:v>6.6</x:v>
      </x:c>
      <x:c r="D16" s="28" t="n">
        <x:f>'Daily Baseline'!D13</x:f>
        <x:v>3.6666666666666665</x:v>
      </x:c>
      <x:c r="E16" s="30" t="n">
        <x:f>'Daily Baseline'!F13</x:f>
        <x:v>0</x:v>
      </x:c>
      <x:c r="F16" s="30" t="n">
        <x:f>'Daily Baseline'!H13</x:f>
        <x:v>0</x:v>
      </x:c>
      <x:c r="G16" s="28" t="n">
        <x:f>'Daily Baseline'!I13</x:f>
        <x:v>0</x:v>
      </x:c>
      <x:c r="H16" s="28" t="n">
        <x:f>'Daily Baseline'!J13</x:f>
        <x:v>6</x:v>
      </x:c>
      <x:c r="I16" s="55" t="n">
        <x:f>'Daily Baseline'!K13</x:f>
        <x:v>7</x:v>
      </x:c>
      <x:c r="J16" s="28" t="n">
        <x:f>'Daily Baseline'!L13</x:f>
        <x:v>8</x:v>
      </x:c>
      <x:c r="K16" s="28" t="n">
        <x:f>'Daily Baseline'!M13</x:f>
        <x:v>65</x:v>
      </x:c>
      <x:c r="L16" s="55" t="n">
        <x:f>'Daily Baseline'!N13</x:f>
        <x:v>70</x:v>
      </x:c>
      <x:c r="M16" s="28" t="n">
        <x:f>'Daily Baseline'!O13</x:f>
        <x:v>75</x:v>
      </x:c>
      <x:c r="N16" s="28" t="n">
        <x:f>'Daily Baseline'!P13</x:f>
        <x:v>70</x:v>
      </x:c>
      <x:c r="O16" s="55" t="n">
        <x:f>'Daily Baseline'!Q13</x:f>
        <x:v>80</x:v>
      </x:c>
      <x:c r="P16" s="28" t="n">
        <x:f>'Daily Baseline'!R13</x:f>
        <x:v>90</x:v>
      </x:c>
      <x:c r="Q16" s="28" t="n">
        <x:f>'Daily Baseline'!S13</x:f>
        <x:v>8</x:v>
      </x:c>
      <x:c r="R16" s="28" t="n">
        <x:f>'Daily Baseline'!T13</x:f>
        <x:v>11</x:v>
      </x:c>
      <x:c r="S16" s="55" t="n">
        <x:f>'Daily Baseline'!U13</x:f>
        <x:v>14</x:v>
      </x:c>
      <x:c r="T16" s="28" t="n">
        <x:f>'Daily Baseline'!V13</x:f>
        <x:v>88</x:v>
      </x:c>
      <x:c r="U16" s="55" t="n">
        <x:f>'Daily Baseline'!W13</x:f>
        <x:v>121</x:v>
      </x:c>
      <x:c r="V16" s="28" t="n">
        <x:f>'Daily Baseline'!X13</x:f>
        <x:v>154</x:v>
      </x:c>
    </x:row>
    <x:row r="17">
      <x:c r="A17" s="30" t="n">
        <x:f>'Daily Baseline'!A14</x:f>
        <x:v>12</x:v>
      </x:c>
      <x:c r="B17" s="11" t="str">
        <x:f>'Daily Baseline'!B14</x:f>
        <x:v>Seedling</x:v>
      </x:c>
      <x:c r="C17" s="28" t="n">
        <x:f>'Daily Baseline'!C14</x:f>
        <x:v>7.2</x:v>
      </x:c>
      <x:c r="D17" s="28" t="n">
        <x:f>'Daily Baseline'!D14</x:f>
        <x:v>4</x:v>
      </x:c>
      <x:c r="E17" s="30" t="n">
        <x:f>'Daily Baseline'!F14</x:f>
        <x:v>0</x:v>
      </x:c>
      <x:c r="F17" s="30" t="n">
        <x:f>'Daily Baseline'!H14</x:f>
        <x:v>0</x:v>
      </x:c>
      <x:c r="G17" s="28" t="n">
        <x:f>'Daily Baseline'!I14</x:f>
        <x:v>0</x:v>
      </x:c>
      <x:c r="H17" s="28" t="n">
        <x:f>'Daily Baseline'!J14</x:f>
        <x:v>6</x:v>
      </x:c>
      <x:c r="I17" s="55" t="n">
        <x:f>'Daily Baseline'!K14</x:f>
        <x:v>7</x:v>
      </x:c>
      <x:c r="J17" s="28" t="n">
        <x:f>'Daily Baseline'!L14</x:f>
        <x:v>8</x:v>
      </x:c>
      <x:c r="K17" s="28" t="n">
        <x:f>'Daily Baseline'!M14</x:f>
        <x:v>65</x:v>
      </x:c>
      <x:c r="L17" s="55" t="n">
        <x:f>'Daily Baseline'!N14</x:f>
        <x:v>70</x:v>
      </x:c>
      <x:c r="M17" s="28" t="n">
        <x:f>'Daily Baseline'!O14</x:f>
        <x:v>75</x:v>
      </x:c>
      <x:c r="N17" s="28" t="n">
        <x:f>'Daily Baseline'!P14</x:f>
        <x:v>70</x:v>
      </x:c>
      <x:c r="O17" s="55" t="n">
        <x:f>'Daily Baseline'!Q14</x:f>
        <x:v>80</x:v>
      </x:c>
      <x:c r="P17" s="28" t="n">
        <x:f>'Daily Baseline'!R14</x:f>
        <x:v>90</x:v>
      </x:c>
      <x:c r="Q17" s="28" t="n">
        <x:f>'Daily Baseline'!S14</x:f>
        <x:v>8</x:v>
      </x:c>
      <x:c r="R17" s="28" t="n">
        <x:f>'Daily Baseline'!T14</x:f>
        <x:v>11</x:v>
      </x:c>
      <x:c r="S17" s="55" t="n">
        <x:f>'Daily Baseline'!U14</x:f>
        <x:v>14</x:v>
      </x:c>
      <x:c r="T17" s="28" t="n">
        <x:f>'Daily Baseline'!V14</x:f>
        <x:v>96</x:v>
      </x:c>
      <x:c r="U17" s="55" t="n">
        <x:f>'Daily Baseline'!W14</x:f>
        <x:v>132</x:v>
      </x:c>
      <x:c r="V17" s="28" t="n">
        <x:f>'Daily Baseline'!X14</x:f>
        <x:v>168</x:v>
      </x:c>
    </x:row>
    <x:row r="18">
      <x:c r="A18" s="30" t="n">
        <x:f>'Daily Baseline'!A15</x:f>
        <x:v>13</x:v>
      </x:c>
      <x:c r="B18" s="11" t="str">
        <x:f>'Daily Baseline'!B15</x:f>
        <x:v>Seedling</x:v>
      </x:c>
      <x:c r="C18" s="28" t="n">
        <x:f>'Daily Baseline'!C15</x:f>
        <x:v>7.800000000000001</x:v>
      </x:c>
      <x:c r="D18" s="28" t="n">
        <x:f>'Daily Baseline'!D15</x:f>
        <x:v>4.333333333333334</x:v>
      </x:c>
      <x:c r="E18" s="30" t="n">
        <x:f>'Daily Baseline'!F15</x:f>
        <x:v>0</x:v>
      </x:c>
      <x:c r="F18" s="30" t="n">
        <x:f>'Daily Baseline'!H15</x:f>
        <x:v>0</x:v>
      </x:c>
      <x:c r="G18" s="28" t="n">
        <x:f>'Daily Baseline'!I15</x:f>
        <x:v>0</x:v>
      </x:c>
      <x:c r="H18" s="28" t="n">
        <x:f>'Daily Baseline'!J15</x:f>
        <x:v>6</x:v>
      </x:c>
      <x:c r="I18" s="55" t="n">
        <x:f>'Daily Baseline'!K15</x:f>
        <x:v>7</x:v>
      </x:c>
      <x:c r="J18" s="28" t="n">
        <x:f>'Daily Baseline'!L15</x:f>
        <x:v>8</x:v>
      </x:c>
      <x:c r="K18" s="28" t="n">
        <x:f>'Daily Baseline'!M15</x:f>
        <x:v>65</x:v>
      </x:c>
      <x:c r="L18" s="55" t="n">
        <x:f>'Daily Baseline'!N15</x:f>
        <x:v>70</x:v>
      </x:c>
      <x:c r="M18" s="28" t="n">
        <x:f>'Daily Baseline'!O15</x:f>
        <x:v>75</x:v>
      </x:c>
      <x:c r="N18" s="28" t="n">
        <x:f>'Daily Baseline'!P15</x:f>
        <x:v>70</x:v>
      </x:c>
      <x:c r="O18" s="55" t="n">
        <x:f>'Daily Baseline'!Q15</x:f>
        <x:v>80</x:v>
      </x:c>
      <x:c r="P18" s="28" t="n">
        <x:f>'Daily Baseline'!R15</x:f>
        <x:v>90</x:v>
      </x:c>
      <x:c r="Q18" s="28" t="n">
        <x:f>'Daily Baseline'!S15</x:f>
        <x:v>8</x:v>
      </x:c>
      <x:c r="R18" s="28" t="n">
        <x:f>'Daily Baseline'!T15</x:f>
        <x:v>11</x:v>
      </x:c>
      <x:c r="S18" s="55" t="n">
        <x:f>'Daily Baseline'!U15</x:f>
        <x:v>14</x:v>
      </x:c>
      <x:c r="T18" s="28" t="n">
        <x:f>'Daily Baseline'!V15</x:f>
        <x:v>104</x:v>
      </x:c>
      <x:c r="U18" s="55" t="n">
        <x:f>'Daily Baseline'!W15</x:f>
        <x:v>143</x:v>
      </x:c>
      <x:c r="V18" s="28" t="n">
        <x:f>'Daily Baseline'!X15</x:f>
        <x:v>182</x:v>
      </x:c>
    </x:row>
    <x:row r="19">
      <x:c r="A19" s="30" t="n">
        <x:f>'Daily Baseline'!A16</x:f>
        <x:v>14</x:v>
      </x:c>
      <x:c r="B19" s="11" t="str">
        <x:f>'Daily Baseline'!B16</x:f>
        <x:v>Seedling</x:v>
      </x:c>
      <x:c r="C19" s="28" t="n">
        <x:f>'Daily Baseline'!C16</x:f>
        <x:v>8.4</x:v>
      </x:c>
      <x:c r="D19" s="28" t="n">
        <x:f>'Daily Baseline'!D16</x:f>
        <x:v>4.666666666666667</x:v>
      </x:c>
      <x:c r="E19" s="30" t="n">
        <x:f>'Daily Baseline'!F16</x:f>
        <x:v>0</x:v>
      </x:c>
      <x:c r="F19" s="30" t="n">
        <x:f>'Daily Baseline'!H16</x:f>
        <x:v>0</x:v>
      </x:c>
      <x:c r="G19" s="28" t="n">
        <x:f>'Daily Baseline'!I16</x:f>
        <x:v>0</x:v>
      </x:c>
      <x:c r="H19" s="28" t="n">
        <x:f>'Daily Baseline'!J16</x:f>
        <x:v>6</x:v>
      </x:c>
      <x:c r="I19" s="55" t="n">
        <x:f>'Daily Baseline'!K16</x:f>
        <x:v>7</x:v>
      </x:c>
      <x:c r="J19" s="28" t="n">
        <x:f>'Daily Baseline'!L16</x:f>
        <x:v>8</x:v>
      </x:c>
      <x:c r="K19" s="28" t="n">
        <x:f>'Daily Baseline'!M16</x:f>
        <x:v>65</x:v>
      </x:c>
      <x:c r="L19" s="55" t="n">
        <x:f>'Daily Baseline'!N16</x:f>
        <x:v>70</x:v>
      </x:c>
      <x:c r="M19" s="28" t="n">
        <x:f>'Daily Baseline'!O16</x:f>
        <x:v>75</x:v>
      </x:c>
      <x:c r="N19" s="28" t="n">
        <x:f>'Daily Baseline'!P16</x:f>
        <x:v>70</x:v>
      </x:c>
      <x:c r="O19" s="55" t="n">
        <x:f>'Daily Baseline'!Q16</x:f>
        <x:v>80</x:v>
      </x:c>
      <x:c r="P19" s="28" t="n">
        <x:f>'Daily Baseline'!R16</x:f>
        <x:v>90</x:v>
      </x:c>
      <x:c r="Q19" s="28" t="n">
        <x:f>'Daily Baseline'!S16</x:f>
        <x:v>8</x:v>
      </x:c>
      <x:c r="R19" s="28" t="n">
        <x:f>'Daily Baseline'!T16</x:f>
        <x:v>11</x:v>
      </x:c>
      <x:c r="S19" s="55" t="n">
        <x:f>'Daily Baseline'!U16</x:f>
        <x:v>14</x:v>
      </x:c>
      <x:c r="T19" s="28" t="n">
        <x:f>'Daily Baseline'!V16</x:f>
        <x:v>112</x:v>
      </x:c>
      <x:c r="U19" s="55" t="n">
        <x:f>'Daily Baseline'!W16</x:f>
        <x:v>154</x:v>
      </x:c>
      <x:c r="V19" s="28" t="n">
        <x:f>'Daily Baseline'!X16</x:f>
        <x:v>196</x:v>
      </x:c>
    </x:row>
    <x:row r="20">
      <x:c r="A20" s="30" t="n">
        <x:f>'Daily Baseline'!A17</x:f>
        <x:v>15</x:v>
      </x:c>
      <x:c r="B20" s="11" t="str">
        <x:f>'Daily Baseline'!B17</x:f>
        <x:v>Seedling</x:v>
      </x:c>
      <x:c r="C20" s="28" t="n">
        <x:f>'Daily Baseline'!C17</x:f>
        <x:v>9</x:v>
      </x:c>
      <x:c r="D20" s="28" t="n">
        <x:f>'Daily Baseline'!D17</x:f>
        <x:v>5</x:v>
      </x:c>
      <x:c r="E20" s="30" t="n">
        <x:f>'Daily Baseline'!F17</x:f>
        <x:v>0</x:v>
      </x:c>
      <x:c r="F20" s="30" t="n">
        <x:f>'Daily Baseline'!H17</x:f>
        <x:v>0</x:v>
      </x:c>
      <x:c r="G20" s="28" t="n">
        <x:f>'Daily Baseline'!I17</x:f>
        <x:v>0</x:v>
      </x:c>
      <x:c r="H20" s="28" t="n">
        <x:f>'Daily Baseline'!J17</x:f>
        <x:v>6</x:v>
      </x:c>
      <x:c r="I20" s="55" t="n">
        <x:f>'Daily Baseline'!K17</x:f>
        <x:v>7</x:v>
      </x:c>
      <x:c r="J20" s="28" t="n">
        <x:f>'Daily Baseline'!L17</x:f>
        <x:v>8</x:v>
      </x:c>
      <x:c r="K20" s="28" t="n">
        <x:f>'Daily Baseline'!M17</x:f>
        <x:v>65</x:v>
      </x:c>
      <x:c r="L20" s="55" t="n">
        <x:f>'Daily Baseline'!N17</x:f>
        <x:v>70</x:v>
      </x:c>
      <x:c r="M20" s="28" t="n">
        <x:f>'Daily Baseline'!O17</x:f>
        <x:v>75</x:v>
      </x:c>
      <x:c r="N20" s="28" t="n">
        <x:f>'Daily Baseline'!P17</x:f>
        <x:v>70</x:v>
      </x:c>
      <x:c r="O20" s="55" t="n">
        <x:f>'Daily Baseline'!Q17</x:f>
        <x:v>80</x:v>
      </x:c>
      <x:c r="P20" s="28" t="n">
        <x:f>'Daily Baseline'!R17</x:f>
        <x:v>90</x:v>
      </x:c>
      <x:c r="Q20" s="28" t="n">
        <x:f>'Daily Baseline'!S17</x:f>
        <x:v>8</x:v>
      </x:c>
      <x:c r="R20" s="28" t="n">
        <x:f>'Daily Baseline'!T17</x:f>
        <x:v>11</x:v>
      </x:c>
      <x:c r="S20" s="55" t="n">
        <x:f>'Daily Baseline'!U17</x:f>
        <x:v>14</x:v>
      </x:c>
      <x:c r="T20" s="28" t="n">
        <x:f>'Daily Baseline'!V17</x:f>
        <x:v>120</x:v>
      </x:c>
      <x:c r="U20" s="55" t="n">
        <x:f>'Daily Baseline'!W17</x:f>
        <x:v>165</x:v>
      </x:c>
      <x:c r="V20" s="28" t="n">
        <x:f>'Daily Baseline'!X17</x:f>
        <x:v>210</x:v>
      </x:c>
    </x:row>
    <x:row r="21">
      <x:c r="A21" s="30" t="n">
        <x:f>'Daily Baseline'!A18</x:f>
        <x:v>16</x:v>
      </x:c>
      <x:c r="B21" s="11" t="str">
        <x:f>'Daily Baseline'!B18</x:f>
        <x:v>Establishment</x:v>
      </x:c>
      <x:c r="C21" s="28" t="n">
        <x:f>'Daily Baseline'!C18</x:f>
        <x:v>10.1</x:v>
      </x:c>
      <x:c r="D21" s="28" t="n">
        <x:f>'Daily Baseline'!D18</x:f>
        <x:v>5.5</x:v>
      </x:c>
      <x:c r="E21" s="30" t="n">
        <x:f>'Daily Baseline'!F18</x:f>
        <x:v>0</x:v>
      </x:c>
      <x:c r="F21" s="30" t="n">
        <x:f>'Daily Baseline'!H18</x:f>
        <x:v>0</x:v>
      </x:c>
      <x:c r="G21" s="28" t="n">
        <x:f>'Daily Baseline'!I18</x:f>
        <x:v>0</x:v>
      </x:c>
      <x:c r="H21" s="28" t="n">
        <x:f>'Daily Baseline'!J18</x:f>
        <x:v>7</x:v>
      </x:c>
      <x:c r="I21" s="55" t="n">
        <x:f>'Daily Baseline'!K18</x:f>
        <x:v>8</x:v>
      </x:c>
      <x:c r="J21" s="28" t="n">
        <x:f>'Daily Baseline'!L18</x:f>
        <x:v>9</x:v>
      </x:c>
      <x:c r="K21" s="28" t="n">
        <x:f>'Daily Baseline'!M18</x:f>
        <x:v>60</x:v>
      </x:c>
      <x:c r="L21" s="55" t="n">
        <x:f>'Daily Baseline'!N18</x:f>
        <x:v>68</x:v>
      </x:c>
      <x:c r="M21" s="28" t="n">
        <x:f>'Daily Baseline'!O18</x:f>
        <x:v>75</x:v>
      </x:c>
      <x:c r="N21" s="28" t="n">
        <x:f>'Daily Baseline'!P18</x:f>
        <x:v>70</x:v>
      </x:c>
      <x:c r="O21" s="55" t="n">
        <x:f>'Daily Baseline'!Q18</x:f>
        <x:v>80</x:v>
      </x:c>
      <x:c r="P21" s="28" t="n">
        <x:f>'Daily Baseline'!R18</x:f>
        <x:v>90</x:v>
      </x:c>
      <x:c r="Q21" s="28" t="n">
        <x:f>'Daily Baseline'!S18</x:f>
        <x:v>10</x:v>
      </x:c>
      <x:c r="R21" s="28" t="n">
        <x:f>'Daily Baseline'!T18</x:f>
        <x:v>13</x:v>
      </x:c>
      <x:c r="S21" s="55" t="n">
        <x:f>'Daily Baseline'!U18</x:f>
        <x:v>16</x:v>
      </x:c>
      <x:c r="T21" s="28" t="n">
        <x:f>'Daily Baseline'!V18</x:f>
        <x:v>130</x:v>
      </x:c>
      <x:c r="U21" s="55" t="n">
        <x:f>'Daily Baseline'!W18</x:f>
        <x:v>178</x:v>
      </x:c>
      <x:c r="V21" s="28" t="n">
        <x:f>'Daily Baseline'!X18</x:f>
        <x:v>226</x:v>
      </x:c>
    </x:row>
    <x:row r="22">
      <x:c r="A22" s="30" t="n">
        <x:f>'Daily Baseline'!A19</x:f>
        <x:v>17</x:v>
      </x:c>
      <x:c r="B22" s="11" t="str">
        <x:f>'Daily Baseline'!B19</x:f>
        <x:v>Establishment</x:v>
      </x:c>
      <x:c r="C22" s="28" t="n">
        <x:f>'Daily Baseline'!C19</x:f>
        <x:v>11.2</x:v>
      </x:c>
      <x:c r="D22" s="28" t="n">
        <x:f>'Daily Baseline'!D19</x:f>
        <x:v>6</x:v>
      </x:c>
      <x:c r="E22" s="30" t="n">
        <x:f>'Daily Baseline'!F19</x:f>
        <x:v>0</x:v>
      </x:c>
      <x:c r="F22" s="30" t="n">
        <x:f>'Daily Baseline'!H19</x:f>
        <x:v>0</x:v>
      </x:c>
      <x:c r="G22" s="28" t="n">
        <x:f>'Daily Baseline'!I19</x:f>
        <x:v>0</x:v>
      </x:c>
      <x:c r="H22" s="28" t="n">
        <x:f>'Daily Baseline'!J19</x:f>
        <x:v>7</x:v>
      </x:c>
      <x:c r="I22" s="55" t="n">
        <x:f>'Daily Baseline'!K19</x:f>
        <x:v>8</x:v>
      </x:c>
      <x:c r="J22" s="28" t="n">
        <x:f>'Daily Baseline'!L19</x:f>
        <x:v>9</x:v>
      </x:c>
      <x:c r="K22" s="28" t="n">
        <x:f>'Daily Baseline'!M19</x:f>
        <x:v>60</x:v>
      </x:c>
      <x:c r="L22" s="55" t="n">
        <x:f>'Daily Baseline'!N19</x:f>
        <x:v>68</x:v>
      </x:c>
      <x:c r="M22" s="28" t="n">
        <x:f>'Daily Baseline'!O19</x:f>
        <x:v>75</x:v>
      </x:c>
      <x:c r="N22" s="28" t="n">
        <x:f>'Daily Baseline'!P19</x:f>
        <x:v>70</x:v>
      </x:c>
      <x:c r="O22" s="55" t="n">
        <x:f>'Daily Baseline'!Q19</x:f>
        <x:v>80</x:v>
      </x:c>
      <x:c r="P22" s="28" t="n">
        <x:f>'Daily Baseline'!R19</x:f>
        <x:v>90</x:v>
      </x:c>
      <x:c r="Q22" s="28" t="n">
        <x:f>'Daily Baseline'!S19</x:f>
        <x:v>10</x:v>
      </x:c>
      <x:c r="R22" s="28" t="n">
        <x:f>'Daily Baseline'!T19</x:f>
        <x:v>13</x:v>
      </x:c>
      <x:c r="S22" s="55" t="n">
        <x:f>'Daily Baseline'!U19</x:f>
        <x:v>16</x:v>
      </x:c>
      <x:c r="T22" s="28" t="n">
        <x:f>'Daily Baseline'!V19</x:f>
        <x:v>140</x:v>
      </x:c>
      <x:c r="U22" s="55" t="n">
        <x:f>'Daily Baseline'!W19</x:f>
        <x:v>191</x:v>
      </x:c>
      <x:c r="V22" s="28" t="n">
        <x:f>'Daily Baseline'!X19</x:f>
        <x:v>242</x:v>
      </x:c>
    </x:row>
    <x:row r="23">
      <x:c r="A23" s="30" t="n">
        <x:f>'Daily Baseline'!A20</x:f>
        <x:v>18</x:v>
      </x:c>
      <x:c r="B23" s="11" t="str">
        <x:f>'Daily Baseline'!B20</x:f>
        <x:v>Establishment</x:v>
      </x:c>
      <x:c r="C23" s="28" t="n">
        <x:f>'Daily Baseline'!C20</x:f>
        <x:v>12.3</x:v>
      </x:c>
      <x:c r="D23" s="28" t="n">
        <x:f>'Daily Baseline'!D20</x:f>
        <x:v>6.5</x:v>
      </x:c>
      <x:c r="E23" s="30" t="n">
        <x:f>'Daily Baseline'!F20</x:f>
        <x:v>0</x:v>
      </x:c>
      <x:c r="F23" s="30" t="n">
        <x:f>'Daily Baseline'!H20</x:f>
        <x:v>0</x:v>
      </x:c>
      <x:c r="G23" s="28" t="n">
        <x:f>'Daily Baseline'!I20</x:f>
        <x:v>0</x:v>
      </x:c>
      <x:c r="H23" s="28" t="n">
        <x:f>'Daily Baseline'!J20</x:f>
        <x:v>7</x:v>
      </x:c>
      <x:c r="I23" s="55" t="n">
        <x:f>'Daily Baseline'!K20</x:f>
        <x:v>8</x:v>
      </x:c>
      <x:c r="J23" s="28" t="n">
        <x:f>'Daily Baseline'!L20</x:f>
        <x:v>9</x:v>
      </x:c>
      <x:c r="K23" s="28" t="n">
        <x:f>'Daily Baseline'!M20</x:f>
        <x:v>60</x:v>
      </x:c>
      <x:c r="L23" s="55" t="n">
        <x:f>'Daily Baseline'!N20</x:f>
        <x:v>68</x:v>
      </x:c>
      <x:c r="M23" s="28" t="n">
        <x:f>'Daily Baseline'!O20</x:f>
        <x:v>75</x:v>
      </x:c>
      <x:c r="N23" s="28" t="n">
        <x:f>'Daily Baseline'!P20</x:f>
        <x:v>70</x:v>
      </x:c>
      <x:c r="O23" s="55" t="n">
        <x:f>'Daily Baseline'!Q20</x:f>
        <x:v>80</x:v>
      </x:c>
      <x:c r="P23" s="28" t="n">
        <x:f>'Daily Baseline'!R20</x:f>
        <x:v>90</x:v>
      </x:c>
      <x:c r="Q23" s="28" t="n">
        <x:f>'Daily Baseline'!S20</x:f>
        <x:v>10</x:v>
      </x:c>
      <x:c r="R23" s="28" t="n">
        <x:f>'Daily Baseline'!T20</x:f>
        <x:v>13</x:v>
      </x:c>
      <x:c r="S23" s="55" t="n">
        <x:f>'Daily Baseline'!U20</x:f>
        <x:v>16</x:v>
      </x:c>
      <x:c r="T23" s="28" t="n">
        <x:f>'Daily Baseline'!V20</x:f>
        <x:v>150</x:v>
      </x:c>
      <x:c r="U23" s="55" t="n">
        <x:f>'Daily Baseline'!W20</x:f>
        <x:v>204</x:v>
      </x:c>
      <x:c r="V23" s="28" t="n">
        <x:f>'Daily Baseline'!X20</x:f>
        <x:v>258</x:v>
      </x:c>
    </x:row>
    <x:row r="24">
      <x:c r="A24" s="30" t="n">
        <x:f>'Daily Baseline'!A21</x:f>
        <x:v>19</x:v>
      </x:c>
      <x:c r="B24" s="11" t="str">
        <x:f>'Daily Baseline'!B21</x:f>
        <x:v>Establishment</x:v>
      </x:c>
      <x:c r="C24" s="28" t="n">
        <x:f>'Daily Baseline'!C21</x:f>
        <x:v>13.4</x:v>
      </x:c>
      <x:c r="D24" s="28" t="n">
        <x:f>'Daily Baseline'!D21</x:f>
        <x:v>7</x:v>
      </x:c>
      <x:c r="E24" s="30" t="n">
        <x:f>'Daily Baseline'!F21</x:f>
        <x:v>0</x:v>
      </x:c>
      <x:c r="F24" s="30" t="n">
        <x:f>'Daily Baseline'!H21</x:f>
        <x:v>0</x:v>
      </x:c>
      <x:c r="G24" s="28" t="n">
        <x:f>'Daily Baseline'!I21</x:f>
        <x:v>0</x:v>
      </x:c>
      <x:c r="H24" s="28" t="n">
        <x:f>'Daily Baseline'!J21</x:f>
        <x:v>7</x:v>
      </x:c>
      <x:c r="I24" s="55" t="n">
        <x:f>'Daily Baseline'!K21</x:f>
        <x:v>8</x:v>
      </x:c>
      <x:c r="J24" s="28" t="n">
        <x:f>'Daily Baseline'!L21</x:f>
        <x:v>9</x:v>
      </x:c>
      <x:c r="K24" s="28" t="n">
        <x:f>'Daily Baseline'!M21</x:f>
        <x:v>60</x:v>
      </x:c>
      <x:c r="L24" s="55" t="n">
        <x:f>'Daily Baseline'!N21</x:f>
        <x:v>68</x:v>
      </x:c>
      <x:c r="M24" s="28" t="n">
        <x:f>'Daily Baseline'!O21</x:f>
        <x:v>75</x:v>
      </x:c>
      <x:c r="N24" s="28" t="n">
        <x:f>'Daily Baseline'!P21</x:f>
        <x:v>70</x:v>
      </x:c>
      <x:c r="O24" s="55" t="n">
        <x:f>'Daily Baseline'!Q21</x:f>
        <x:v>80</x:v>
      </x:c>
      <x:c r="P24" s="28" t="n">
        <x:f>'Daily Baseline'!R21</x:f>
        <x:v>90</x:v>
      </x:c>
      <x:c r="Q24" s="28" t="n">
        <x:f>'Daily Baseline'!S21</x:f>
        <x:v>10</x:v>
      </x:c>
      <x:c r="R24" s="28" t="n">
        <x:f>'Daily Baseline'!T21</x:f>
        <x:v>13</x:v>
      </x:c>
      <x:c r="S24" s="55" t="n">
        <x:f>'Daily Baseline'!U21</x:f>
        <x:v>16</x:v>
      </x:c>
      <x:c r="T24" s="28" t="n">
        <x:f>'Daily Baseline'!V21</x:f>
        <x:v>160</x:v>
      </x:c>
      <x:c r="U24" s="55" t="n">
        <x:f>'Daily Baseline'!W21</x:f>
        <x:v>217</x:v>
      </x:c>
      <x:c r="V24" s="28" t="n">
        <x:f>'Daily Baseline'!X21</x:f>
        <x:v>274</x:v>
      </x:c>
    </x:row>
    <x:row r="25">
      <x:c r="A25" s="30" t="n">
        <x:f>'Daily Baseline'!A22</x:f>
        <x:v>20</x:v>
      </x:c>
      <x:c r="B25" s="11" t="str">
        <x:f>'Daily Baseline'!B22</x:f>
        <x:v>Establishment</x:v>
      </x:c>
      <x:c r="C25" s="28" t="n">
        <x:f>'Daily Baseline'!C22</x:f>
        <x:v>14.5</x:v>
      </x:c>
      <x:c r="D25" s="28" t="n">
        <x:f>'Daily Baseline'!D22</x:f>
        <x:v>7.5</x:v>
      </x:c>
      <x:c r="E25" s="30" t="n">
        <x:f>'Daily Baseline'!F22</x:f>
        <x:v>0</x:v>
      </x:c>
      <x:c r="F25" s="30" t="n">
        <x:f>'Daily Baseline'!H22</x:f>
        <x:v>0</x:v>
      </x:c>
      <x:c r="G25" s="28" t="n">
        <x:f>'Daily Baseline'!I22</x:f>
        <x:v>0</x:v>
      </x:c>
      <x:c r="H25" s="28" t="n">
        <x:f>'Daily Baseline'!J22</x:f>
        <x:v>7</x:v>
      </x:c>
      <x:c r="I25" s="55" t="n">
        <x:f>'Daily Baseline'!K22</x:f>
        <x:v>8</x:v>
      </x:c>
      <x:c r="J25" s="28" t="n">
        <x:f>'Daily Baseline'!L22</x:f>
        <x:v>9</x:v>
      </x:c>
      <x:c r="K25" s="28" t="n">
        <x:f>'Daily Baseline'!M22</x:f>
        <x:v>60</x:v>
      </x:c>
      <x:c r="L25" s="55" t="n">
        <x:f>'Daily Baseline'!N22</x:f>
        <x:v>68</x:v>
      </x:c>
      <x:c r="M25" s="28" t="n">
        <x:f>'Daily Baseline'!O22</x:f>
        <x:v>75</x:v>
      </x:c>
      <x:c r="N25" s="28" t="n">
        <x:f>'Daily Baseline'!P22</x:f>
        <x:v>70</x:v>
      </x:c>
      <x:c r="O25" s="55" t="n">
        <x:f>'Daily Baseline'!Q22</x:f>
        <x:v>80</x:v>
      </x:c>
      <x:c r="P25" s="28" t="n">
        <x:f>'Daily Baseline'!R22</x:f>
        <x:v>90</x:v>
      </x:c>
      <x:c r="Q25" s="28" t="n">
        <x:f>'Daily Baseline'!S22</x:f>
        <x:v>10</x:v>
      </x:c>
      <x:c r="R25" s="28" t="n">
        <x:f>'Daily Baseline'!T22</x:f>
        <x:v>13</x:v>
      </x:c>
      <x:c r="S25" s="55" t="n">
        <x:f>'Daily Baseline'!U22</x:f>
        <x:v>16</x:v>
      </x:c>
      <x:c r="T25" s="28" t="n">
        <x:f>'Daily Baseline'!V22</x:f>
        <x:v>170</x:v>
      </x:c>
      <x:c r="U25" s="55" t="n">
        <x:f>'Daily Baseline'!W22</x:f>
        <x:v>230</x:v>
      </x:c>
      <x:c r="V25" s="28" t="n">
        <x:f>'Daily Baseline'!X22</x:f>
        <x:v>290</x:v>
      </x:c>
    </x:row>
    <x:row r="26">
      <x:c r="A26" s="30" t="n">
        <x:f>'Daily Baseline'!A23</x:f>
        <x:v>21</x:v>
      </x:c>
      <x:c r="B26" s="11" t="str">
        <x:f>'Daily Baseline'!B23</x:f>
        <x:v>Establishment</x:v>
      </x:c>
      <x:c r="C26" s="28" t="n">
        <x:f>'Daily Baseline'!C23</x:f>
        <x:v>15.6</x:v>
      </x:c>
      <x:c r="D26" s="28" t="n">
        <x:f>'Daily Baseline'!D23</x:f>
        <x:v>8</x:v>
      </x:c>
      <x:c r="E26" s="30" t="n">
        <x:f>'Daily Baseline'!F23</x:f>
        <x:v>0</x:v>
      </x:c>
      <x:c r="F26" s="30" t="n">
        <x:f>'Daily Baseline'!H23</x:f>
        <x:v>0</x:v>
      </x:c>
      <x:c r="G26" s="28" t="n">
        <x:f>'Daily Baseline'!I23</x:f>
        <x:v>0</x:v>
      </x:c>
      <x:c r="H26" s="28" t="n">
        <x:f>'Daily Baseline'!J23</x:f>
        <x:v>7</x:v>
      </x:c>
      <x:c r="I26" s="55" t="n">
        <x:f>'Daily Baseline'!K23</x:f>
        <x:v>8</x:v>
      </x:c>
      <x:c r="J26" s="28" t="n">
        <x:f>'Daily Baseline'!L23</x:f>
        <x:v>9</x:v>
      </x:c>
      <x:c r="K26" s="28" t="n">
        <x:f>'Daily Baseline'!M23</x:f>
        <x:v>60</x:v>
      </x:c>
      <x:c r="L26" s="55" t="n">
        <x:f>'Daily Baseline'!N23</x:f>
        <x:v>68</x:v>
      </x:c>
      <x:c r="M26" s="28" t="n">
        <x:f>'Daily Baseline'!O23</x:f>
        <x:v>75</x:v>
      </x:c>
      <x:c r="N26" s="28" t="n">
        <x:f>'Daily Baseline'!P23</x:f>
        <x:v>70</x:v>
      </x:c>
      <x:c r="O26" s="55" t="n">
        <x:f>'Daily Baseline'!Q23</x:f>
        <x:v>80</x:v>
      </x:c>
      <x:c r="P26" s="28" t="n">
        <x:f>'Daily Baseline'!R23</x:f>
        <x:v>90</x:v>
      </x:c>
      <x:c r="Q26" s="28" t="n">
        <x:f>'Daily Baseline'!S23</x:f>
        <x:v>10</x:v>
      </x:c>
      <x:c r="R26" s="28" t="n">
        <x:f>'Daily Baseline'!T23</x:f>
        <x:v>13</x:v>
      </x:c>
      <x:c r="S26" s="55" t="n">
        <x:f>'Daily Baseline'!U23</x:f>
        <x:v>16</x:v>
      </x:c>
      <x:c r="T26" s="28" t="n">
        <x:f>'Daily Baseline'!V23</x:f>
        <x:v>180</x:v>
      </x:c>
      <x:c r="U26" s="55" t="n">
        <x:f>'Daily Baseline'!W23</x:f>
        <x:v>243</x:v>
      </x:c>
      <x:c r="V26" s="28" t="n">
        <x:f>'Daily Baseline'!X23</x:f>
        <x:v>306</x:v>
      </x:c>
    </x:row>
    <x:row r="27">
      <x:c r="A27" s="30" t="n">
        <x:f>'Daily Baseline'!A24</x:f>
        <x:v>22</x:v>
      </x:c>
      <x:c r="B27" s="11" t="str">
        <x:f>'Daily Baseline'!B24</x:f>
        <x:v>Establishment</x:v>
      </x:c>
      <x:c r="C27" s="28" t="n">
        <x:f>'Daily Baseline'!C24</x:f>
        <x:v>16.7</x:v>
      </x:c>
      <x:c r="D27" s="28" t="n">
        <x:f>'Daily Baseline'!D24</x:f>
        <x:v>8.5</x:v>
      </x:c>
      <x:c r="E27" s="30" t="n">
        <x:f>'Daily Baseline'!F24</x:f>
        <x:v>0</x:v>
      </x:c>
      <x:c r="F27" s="30" t="n">
        <x:f>'Daily Baseline'!H24</x:f>
        <x:v>0</x:v>
      </x:c>
      <x:c r="G27" s="28" t="n">
        <x:f>'Daily Baseline'!I24</x:f>
        <x:v>0</x:v>
      </x:c>
      <x:c r="H27" s="28" t="n">
        <x:f>'Daily Baseline'!J24</x:f>
        <x:v>7</x:v>
      </x:c>
      <x:c r="I27" s="55" t="n">
        <x:f>'Daily Baseline'!K24</x:f>
        <x:v>8</x:v>
      </x:c>
      <x:c r="J27" s="28" t="n">
        <x:f>'Daily Baseline'!L24</x:f>
        <x:v>9</x:v>
      </x:c>
      <x:c r="K27" s="28" t="n">
        <x:f>'Daily Baseline'!M24</x:f>
        <x:v>60</x:v>
      </x:c>
      <x:c r="L27" s="55" t="n">
        <x:f>'Daily Baseline'!N24</x:f>
        <x:v>68</x:v>
      </x:c>
      <x:c r="M27" s="28" t="n">
        <x:f>'Daily Baseline'!O24</x:f>
        <x:v>75</x:v>
      </x:c>
      <x:c r="N27" s="28" t="n">
        <x:f>'Daily Baseline'!P24</x:f>
        <x:v>70</x:v>
      </x:c>
      <x:c r="O27" s="55" t="n">
        <x:f>'Daily Baseline'!Q24</x:f>
        <x:v>80</x:v>
      </x:c>
      <x:c r="P27" s="28" t="n">
        <x:f>'Daily Baseline'!R24</x:f>
        <x:v>90</x:v>
      </x:c>
      <x:c r="Q27" s="28" t="n">
        <x:f>'Daily Baseline'!S24</x:f>
        <x:v>10</x:v>
      </x:c>
      <x:c r="R27" s="28" t="n">
        <x:f>'Daily Baseline'!T24</x:f>
        <x:v>13</x:v>
      </x:c>
      <x:c r="S27" s="55" t="n">
        <x:f>'Daily Baseline'!U24</x:f>
        <x:v>16</x:v>
      </x:c>
      <x:c r="T27" s="28" t="n">
        <x:f>'Daily Baseline'!V24</x:f>
        <x:v>190</x:v>
      </x:c>
      <x:c r="U27" s="55" t="n">
        <x:f>'Daily Baseline'!W24</x:f>
        <x:v>256</x:v>
      </x:c>
      <x:c r="V27" s="28" t="n">
        <x:f>'Daily Baseline'!X24</x:f>
        <x:v>322</x:v>
      </x:c>
    </x:row>
    <x:row r="28">
      <x:c r="A28" s="30" t="n">
        <x:f>'Daily Baseline'!A25</x:f>
        <x:v>23</x:v>
      </x:c>
      <x:c r="B28" s="11" t="str">
        <x:f>'Daily Baseline'!B25</x:f>
        <x:v>Establishment</x:v>
      </x:c>
      <x:c r="C28" s="28" t="n">
        <x:f>'Daily Baseline'!C25</x:f>
        <x:v>17.8</x:v>
      </x:c>
      <x:c r="D28" s="28" t="n">
        <x:f>'Daily Baseline'!D25</x:f>
        <x:v>9</x:v>
      </x:c>
      <x:c r="E28" s="30" t="n">
        <x:f>'Daily Baseline'!F25</x:f>
        <x:v>0</x:v>
      </x:c>
      <x:c r="F28" s="30" t="n">
        <x:f>'Daily Baseline'!H25</x:f>
        <x:v>0</x:v>
      </x:c>
      <x:c r="G28" s="28" t="n">
        <x:f>'Daily Baseline'!I25</x:f>
        <x:v>0</x:v>
      </x:c>
      <x:c r="H28" s="28" t="n">
        <x:f>'Daily Baseline'!J25</x:f>
        <x:v>7</x:v>
      </x:c>
      <x:c r="I28" s="55" t="n">
        <x:f>'Daily Baseline'!K25</x:f>
        <x:v>8</x:v>
      </x:c>
      <x:c r="J28" s="28" t="n">
        <x:f>'Daily Baseline'!L25</x:f>
        <x:v>9</x:v>
      </x:c>
      <x:c r="K28" s="28" t="n">
        <x:f>'Daily Baseline'!M25</x:f>
        <x:v>60</x:v>
      </x:c>
      <x:c r="L28" s="55" t="n">
        <x:f>'Daily Baseline'!N25</x:f>
        <x:v>68</x:v>
      </x:c>
      <x:c r="M28" s="28" t="n">
        <x:f>'Daily Baseline'!O25</x:f>
        <x:v>75</x:v>
      </x:c>
      <x:c r="N28" s="28" t="n">
        <x:f>'Daily Baseline'!P25</x:f>
        <x:v>70</x:v>
      </x:c>
      <x:c r="O28" s="55" t="n">
        <x:f>'Daily Baseline'!Q25</x:f>
        <x:v>80</x:v>
      </x:c>
      <x:c r="P28" s="28" t="n">
        <x:f>'Daily Baseline'!R25</x:f>
        <x:v>90</x:v>
      </x:c>
      <x:c r="Q28" s="28" t="n">
        <x:f>'Daily Baseline'!S25</x:f>
        <x:v>10</x:v>
      </x:c>
      <x:c r="R28" s="28" t="n">
        <x:f>'Daily Baseline'!T25</x:f>
        <x:v>13</x:v>
      </x:c>
      <x:c r="S28" s="55" t="n">
        <x:f>'Daily Baseline'!U25</x:f>
        <x:v>16</x:v>
      </x:c>
      <x:c r="T28" s="28" t="n">
        <x:f>'Daily Baseline'!V25</x:f>
        <x:v>200</x:v>
      </x:c>
      <x:c r="U28" s="55" t="n">
        <x:f>'Daily Baseline'!W25</x:f>
        <x:v>269</x:v>
      </x:c>
      <x:c r="V28" s="28" t="n">
        <x:f>'Daily Baseline'!X25</x:f>
        <x:v>338</x:v>
      </x:c>
    </x:row>
    <x:row r="29">
      <x:c r="A29" s="30" t="n">
        <x:f>'Daily Baseline'!A26</x:f>
        <x:v>24</x:v>
      </x:c>
      <x:c r="B29" s="11" t="str">
        <x:f>'Daily Baseline'!B26</x:f>
        <x:v>Establishment</x:v>
      </x:c>
      <x:c r="C29" s="28" t="n">
        <x:f>'Daily Baseline'!C26</x:f>
        <x:v>18.9</x:v>
      </x:c>
      <x:c r="D29" s="28" t="n">
        <x:f>'Daily Baseline'!D26</x:f>
        <x:v>9.5</x:v>
      </x:c>
      <x:c r="E29" s="30" t="n">
        <x:f>'Daily Baseline'!F26</x:f>
        <x:v>0</x:v>
      </x:c>
      <x:c r="F29" s="30" t="n">
        <x:f>'Daily Baseline'!H26</x:f>
        <x:v>0</x:v>
      </x:c>
      <x:c r="G29" s="28" t="n">
        <x:f>'Daily Baseline'!I26</x:f>
        <x:v>0</x:v>
      </x:c>
      <x:c r="H29" s="28" t="n">
        <x:f>'Daily Baseline'!J26</x:f>
        <x:v>7</x:v>
      </x:c>
      <x:c r="I29" s="55" t="n">
        <x:f>'Daily Baseline'!K26</x:f>
        <x:v>8</x:v>
      </x:c>
      <x:c r="J29" s="28" t="n">
        <x:f>'Daily Baseline'!L26</x:f>
        <x:v>9</x:v>
      </x:c>
      <x:c r="K29" s="28" t="n">
        <x:f>'Daily Baseline'!M26</x:f>
        <x:v>60</x:v>
      </x:c>
      <x:c r="L29" s="55" t="n">
        <x:f>'Daily Baseline'!N26</x:f>
        <x:v>68</x:v>
      </x:c>
      <x:c r="M29" s="28" t="n">
        <x:f>'Daily Baseline'!O26</x:f>
        <x:v>75</x:v>
      </x:c>
      <x:c r="N29" s="28" t="n">
        <x:f>'Daily Baseline'!P26</x:f>
        <x:v>70</x:v>
      </x:c>
      <x:c r="O29" s="55" t="n">
        <x:f>'Daily Baseline'!Q26</x:f>
        <x:v>80</x:v>
      </x:c>
      <x:c r="P29" s="28" t="n">
        <x:f>'Daily Baseline'!R26</x:f>
        <x:v>90</x:v>
      </x:c>
      <x:c r="Q29" s="28" t="n">
        <x:f>'Daily Baseline'!S26</x:f>
        <x:v>10</x:v>
      </x:c>
      <x:c r="R29" s="28" t="n">
        <x:f>'Daily Baseline'!T26</x:f>
        <x:v>13</x:v>
      </x:c>
      <x:c r="S29" s="55" t="n">
        <x:f>'Daily Baseline'!U26</x:f>
        <x:v>16</x:v>
      </x:c>
      <x:c r="T29" s="28" t="n">
        <x:f>'Daily Baseline'!V26</x:f>
        <x:v>210</x:v>
      </x:c>
      <x:c r="U29" s="55" t="n">
        <x:f>'Daily Baseline'!W26</x:f>
        <x:v>282</x:v>
      </x:c>
      <x:c r="V29" s="28" t="n">
        <x:f>'Daily Baseline'!X26</x:f>
        <x:v>354</x:v>
      </x:c>
    </x:row>
    <x:row r="30">
      <x:c r="A30" s="30" t="n">
        <x:f>'Daily Baseline'!A27</x:f>
        <x:v>25</x:v>
      </x:c>
      <x:c r="B30" s="11" t="str">
        <x:f>'Daily Baseline'!B27</x:f>
        <x:v>Establishment</x:v>
      </x:c>
      <x:c r="C30" s="28" t="n">
        <x:f>'Daily Baseline'!C27</x:f>
        <x:v>20</x:v>
      </x:c>
      <x:c r="D30" s="28" t="n">
        <x:f>'Daily Baseline'!D27</x:f>
        <x:v>10</x:v>
      </x:c>
      <x:c r="E30" s="30" t="n">
        <x:f>'Daily Baseline'!F27</x:f>
        <x:v>0</x:v>
      </x:c>
      <x:c r="F30" s="30" t="n">
        <x:f>'Daily Baseline'!H27</x:f>
        <x:v>0</x:v>
      </x:c>
      <x:c r="G30" s="28" t="n">
        <x:f>'Daily Baseline'!I27</x:f>
        <x:v>0</x:v>
      </x:c>
      <x:c r="H30" s="28" t="n">
        <x:f>'Daily Baseline'!J27</x:f>
        <x:v>7</x:v>
      </x:c>
      <x:c r="I30" s="55" t="n">
        <x:f>'Daily Baseline'!K27</x:f>
        <x:v>8</x:v>
      </x:c>
      <x:c r="J30" s="28" t="n">
        <x:f>'Daily Baseline'!L27</x:f>
        <x:v>9</x:v>
      </x:c>
      <x:c r="K30" s="28" t="n">
        <x:f>'Daily Baseline'!M27</x:f>
        <x:v>60</x:v>
      </x:c>
      <x:c r="L30" s="55" t="n">
        <x:f>'Daily Baseline'!N27</x:f>
        <x:v>68</x:v>
      </x:c>
      <x:c r="M30" s="28" t="n">
        <x:f>'Daily Baseline'!O27</x:f>
        <x:v>75</x:v>
      </x:c>
      <x:c r="N30" s="28" t="n">
        <x:f>'Daily Baseline'!P27</x:f>
        <x:v>70</x:v>
      </x:c>
      <x:c r="O30" s="55" t="n">
        <x:f>'Daily Baseline'!Q27</x:f>
        <x:v>80</x:v>
      </x:c>
      <x:c r="P30" s="28" t="n">
        <x:f>'Daily Baseline'!R27</x:f>
        <x:v>90</x:v>
      </x:c>
      <x:c r="Q30" s="28" t="n">
        <x:f>'Daily Baseline'!S27</x:f>
        <x:v>10</x:v>
      </x:c>
      <x:c r="R30" s="28" t="n">
        <x:f>'Daily Baseline'!T27</x:f>
        <x:v>13</x:v>
      </x:c>
      <x:c r="S30" s="55" t="n">
        <x:f>'Daily Baseline'!U27</x:f>
        <x:v>16</x:v>
      </x:c>
      <x:c r="T30" s="28" t="n">
        <x:f>'Daily Baseline'!V27</x:f>
        <x:v>220</x:v>
      </x:c>
      <x:c r="U30" s="55" t="n">
        <x:f>'Daily Baseline'!W27</x:f>
        <x:v>295</x:v>
      </x:c>
      <x:c r="V30" s="28" t="n">
        <x:f>'Daily Baseline'!X27</x:f>
        <x:v>370</x:v>
      </x:c>
    </x:row>
    <x:row r="31">
      <x:c r="A31" s="30" t="n">
        <x:f>'Daily Baseline'!A28</x:f>
        <x:v>26</x:v>
      </x:c>
      <x:c r="B31" s="11" t="str">
        <x:f>'Daily Baseline'!B28</x:f>
        <x:v>Vegetative Growth</x:v>
      </x:c>
      <x:c r="C31" s="28" t="n">
        <x:f>'Daily Baseline'!C28</x:f>
        <x:v>21.2</x:v>
      </x:c>
      <x:c r="D31" s="28" t="n">
        <x:f>'Daily Baseline'!D28</x:f>
        <x:v>11</x:v>
      </x:c>
      <x:c r="E31" s="30" t="n">
        <x:f>'Daily Baseline'!F28</x:f>
        <x:v>0</x:v>
      </x:c>
      <x:c r="F31" s="30" t="n">
        <x:f>'Daily Baseline'!H28</x:f>
        <x:v>0</x:v>
      </x:c>
      <x:c r="G31" s="28" t="n">
        <x:f>'Daily Baseline'!I28</x:f>
        <x:v>0</x:v>
      </x:c>
      <x:c r="H31" s="28" t="n">
        <x:f>'Daily Baseline'!J28</x:f>
        <x:v>8</x:v>
      </x:c>
      <x:c r="I31" s="55" t="n">
        <x:f>'Daily Baseline'!K28</x:f>
        <x:v>9</x:v>
      </x:c>
      <x:c r="J31" s="28" t="n">
        <x:f>'Daily Baseline'!L28</x:f>
        <x:v>10</x:v>
      </x:c>
      <x:c r="K31" s="28" t="n">
        <x:f>'Daily Baseline'!M28</x:f>
        <x:v>60</x:v>
      </x:c>
      <x:c r="L31" s="55" t="n">
        <x:f>'Daily Baseline'!N28</x:f>
        <x:v>65</x:v>
      </x:c>
      <x:c r="M31" s="28" t="n">
        <x:f>'Daily Baseline'!O28</x:f>
        <x:v>70</x:v>
      </x:c>
      <x:c r="N31" s="28" t="n">
        <x:f>'Daily Baseline'!P28</x:f>
        <x:v>65</x:v>
      </x:c>
      <x:c r="O31" s="55" t="n">
        <x:f>'Daily Baseline'!Q28</x:f>
        <x:v>75</x:v>
      </x:c>
      <x:c r="P31" s="28" t="n">
        <x:f>'Daily Baseline'!R28</x:f>
        <x:v>85</x:v>
      </x:c>
      <x:c r="Q31" s="28" t="n">
        <x:f>'Daily Baseline'!S28</x:f>
        <x:v>12</x:v>
      </x:c>
      <x:c r="R31" s="28" t="n">
        <x:f>'Daily Baseline'!T28</x:f>
        <x:v>15</x:v>
      </x:c>
      <x:c r="S31" s="55" t="n">
        <x:f>'Daily Baseline'!U28</x:f>
        <x:v>18</x:v>
      </x:c>
      <x:c r="T31" s="28" t="n">
        <x:f>'Daily Baseline'!V28</x:f>
        <x:v>232</x:v>
      </x:c>
      <x:c r="U31" s="55" t="n">
        <x:f>'Daily Baseline'!W28</x:f>
        <x:v>310</x:v>
      </x:c>
      <x:c r="V31" s="28" t="n">
        <x:f>'Daily Baseline'!X28</x:f>
        <x:v>388</x:v>
      </x:c>
    </x:row>
    <x:row r="32">
      <x:c r="A32" s="30" t="n">
        <x:f>'Daily Baseline'!A29</x:f>
        <x:v>27</x:v>
      </x:c>
      <x:c r="B32" s="11" t="str">
        <x:f>'Daily Baseline'!B29</x:f>
        <x:v>Vegetative Growth</x:v>
      </x:c>
      <x:c r="C32" s="28" t="n">
        <x:f>'Daily Baseline'!C29</x:f>
        <x:v>22.4</x:v>
      </x:c>
      <x:c r="D32" s="28" t="n">
        <x:f>'Daily Baseline'!D29</x:f>
        <x:v>12</x:v>
      </x:c>
      <x:c r="E32" s="30" t="n">
        <x:f>'Daily Baseline'!F29</x:f>
        <x:v>0</x:v>
      </x:c>
      <x:c r="F32" s="30" t="n">
        <x:f>'Daily Baseline'!H29</x:f>
        <x:v>0</x:v>
      </x:c>
      <x:c r="G32" s="28" t="n">
        <x:f>'Daily Baseline'!I29</x:f>
        <x:v>0</x:v>
      </x:c>
      <x:c r="H32" s="28" t="n">
        <x:f>'Daily Baseline'!J29</x:f>
        <x:v>8</x:v>
      </x:c>
      <x:c r="I32" s="55" t="n">
        <x:f>'Daily Baseline'!K29</x:f>
        <x:v>9</x:v>
      </x:c>
      <x:c r="J32" s="28" t="n">
        <x:f>'Daily Baseline'!L29</x:f>
        <x:v>10</x:v>
      </x:c>
      <x:c r="K32" s="28" t="n">
        <x:f>'Daily Baseline'!M29</x:f>
        <x:v>60</x:v>
      </x:c>
      <x:c r="L32" s="55" t="n">
        <x:f>'Daily Baseline'!N29</x:f>
        <x:v>65</x:v>
      </x:c>
      <x:c r="M32" s="28" t="n">
        <x:f>'Daily Baseline'!O29</x:f>
        <x:v>70</x:v>
      </x:c>
      <x:c r="N32" s="28" t="n">
        <x:f>'Daily Baseline'!P29</x:f>
        <x:v>65</x:v>
      </x:c>
      <x:c r="O32" s="55" t="n">
        <x:f>'Daily Baseline'!Q29</x:f>
        <x:v>75</x:v>
      </x:c>
      <x:c r="P32" s="28" t="n">
        <x:f>'Daily Baseline'!R29</x:f>
        <x:v>85</x:v>
      </x:c>
      <x:c r="Q32" s="28" t="n">
        <x:f>'Daily Baseline'!S29</x:f>
        <x:v>12</x:v>
      </x:c>
      <x:c r="R32" s="28" t="n">
        <x:f>'Daily Baseline'!T29</x:f>
        <x:v>15</x:v>
      </x:c>
      <x:c r="S32" s="55" t="n">
        <x:f>'Daily Baseline'!U29</x:f>
        <x:v>18</x:v>
      </x:c>
      <x:c r="T32" s="28" t="n">
        <x:f>'Daily Baseline'!V29</x:f>
        <x:v>244</x:v>
      </x:c>
      <x:c r="U32" s="55" t="n">
        <x:f>'Daily Baseline'!W29</x:f>
        <x:v>325</x:v>
      </x:c>
      <x:c r="V32" s="28" t="n">
        <x:f>'Daily Baseline'!X29</x:f>
        <x:v>406</x:v>
      </x:c>
    </x:row>
    <x:row r="33">
      <x:c r="A33" s="30" t="n">
        <x:f>'Daily Baseline'!A30</x:f>
        <x:v>28</x:v>
      </x:c>
      <x:c r="B33" s="11" t="str">
        <x:f>'Daily Baseline'!B30</x:f>
        <x:v>Vegetative Growth</x:v>
      </x:c>
      <x:c r="C33" s="28" t="n">
        <x:f>'Daily Baseline'!C30</x:f>
        <x:v>23.6</x:v>
      </x:c>
      <x:c r="D33" s="28" t="n">
        <x:f>'Daily Baseline'!D30</x:f>
        <x:v>13</x:v>
      </x:c>
      <x:c r="E33" s="30" t="n">
        <x:f>'Daily Baseline'!F30</x:f>
        <x:v>0</x:v>
      </x:c>
      <x:c r="F33" s="30" t="n">
        <x:f>'Daily Baseline'!H30</x:f>
        <x:v>0</x:v>
      </x:c>
      <x:c r="G33" s="28" t="n">
        <x:f>'Daily Baseline'!I30</x:f>
        <x:v>0</x:v>
      </x:c>
      <x:c r="H33" s="28" t="n">
        <x:f>'Daily Baseline'!J30</x:f>
        <x:v>8</x:v>
      </x:c>
      <x:c r="I33" s="55" t="n">
        <x:f>'Daily Baseline'!K30</x:f>
        <x:v>9</x:v>
      </x:c>
      <x:c r="J33" s="28" t="n">
        <x:f>'Daily Baseline'!L30</x:f>
        <x:v>10</x:v>
      </x:c>
      <x:c r="K33" s="28" t="n">
        <x:f>'Daily Baseline'!M30</x:f>
        <x:v>60</x:v>
      </x:c>
      <x:c r="L33" s="55" t="n">
        <x:f>'Daily Baseline'!N30</x:f>
        <x:v>65</x:v>
      </x:c>
      <x:c r="M33" s="28" t="n">
        <x:f>'Daily Baseline'!O30</x:f>
        <x:v>70</x:v>
      </x:c>
      <x:c r="N33" s="28" t="n">
        <x:f>'Daily Baseline'!P30</x:f>
        <x:v>65</x:v>
      </x:c>
      <x:c r="O33" s="55" t="n">
        <x:f>'Daily Baseline'!Q30</x:f>
        <x:v>75</x:v>
      </x:c>
      <x:c r="P33" s="28" t="n">
        <x:f>'Daily Baseline'!R30</x:f>
        <x:v>85</x:v>
      </x:c>
      <x:c r="Q33" s="28" t="n">
        <x:f>'Daily Baseline'!S30</x:f>
        <x:v>12</x:v>
      </x:c>
      <x:c r="R33" s="28" t="n">
        <x:f>'Daily Baseline'!T30</x:f>
        <x:v>15</x:v>
      </x:c>
      <x:c r="S33" s="55" t="n">
        <x:f>'Daily Baseline'!U30</x:f>
        <x:v>18</x:v>
      </x:c>
      <x:c r="T33" s="28" t="n">
        <x:f>'Daily Baseline'!V30</x:f>
        <x:v>256</x:v>
      </x:c>
      <x:c r="U33" s="55" t="n">
        <x:f>'Daily Baseline'!W30</x:f>
        <x:v>340</x:v>
      </x:c>
      <x:c r="V33" s="28" t="n">
        <x:f>'Daily Baseline'!X30</x:f>
        <x:v>424</x:v>
      </x:c>
    </x:row>
    <x:row r="34">
      <x:c r="A34" s="30" t="n">
        <x:f>'Daily Baseline'!A31</x:f>
        <x:v>29</x:v>
      </x:c>
      <x:c r="B34" s="11" t="str">
        <x:f>'Daily Baseline'!B31</x:f>
        <x:v>Vegetative Growth</x:v>
      </x:c>
      <x:c r="C34" s="28" t="n">
        <x:f>'Daily Baseline'!C31</x:f>
        <x:v>24.8</x:v>
      </x:c>
      <x:c r="D34" s="28" t="n">
        <x:f>'Daily Baseline'!D31</x:f>
        <x:v>14</x:v>
      </x:c>
      <x:c r="E34" s="30" t="n">
        <x:f>'Daily Baseline'!F31</x:f>
        <x:v>1</x:v>
      </x:c>
      <x:c r="F34" s="30" t="n">
        <x:f>'Daily Baseline'!H31</x:f>
        <x:v>0</x:v>
      </x:c>
      <x:c r="G34" s="28" t="n">
        <x:f>'Daily Baseline'!I31</x:f>
        <x:v>0</x:v>
      </x:c>
      <x:c r="H34" s="28" t="n">
        <x:f>'Daily Baseline'!J31</x:f>
        <x:v>8</x:v>
      </x:c>
      <x:c r="I34" s="55" t="n">
        <x:f>'Daily Baseline'!K31</x:f>
        <x:v>9</x:v>
      </x:c>
      <x:c r="J34" s="28" t="n">
        <x:f>'Daily Baseline'!L31</x:f>
        <x:v>10</x:v>
      </x:c>
      <x:c r="K34" s="28" t="n">
        <x:f>'Daily Baseline'!M31</x:f>
        <x:v>60</x:v>
      </x:c>
      <x:c r="L34" s="55" t="n">
        <x:f>'Daily Baseline'!N31</x:f>
        <x:v>65</x:v>
      </x:c>
      <x:c r="M34" s="28" t="n">
        <x:f>'Daily Baseline'!O31</x:f>
        <x:v>70</x:v>
      </x:c>
      <x:c r="N34" s="28" t="n">
        <x:f>'Daily Baseline'!P31</x:f>
        <x:v>65</x:v>
      </x:c>
      <x:c r="O34" s="55" t="n">
        <x:f>'Daily Baseline'!Q31</x:f>
        <x:v>75</x:v>
      </x:c>
      <x:c r="P34" s="28" t="n">
        <x:f>'Daily Baseline'!R31</x:f>
        <x:v>85</x:v>
      </x:c>
      <x:c r="Q34" s="28" t="n">
        <x:f>'Daily Baseline'!S31</x:f>
        <x:v>12</x:v>
      </x:c>
      <x:c r="R34" s="28" t="n">
        <x:f>'Daily Baseline'!T31</x:f>
        <x:v>15</x:v>
      </x:c>
      <x:c r="S34" s="55" t="n">
        <x:f>'Daily Baseline'!U31</x:f>
        <x:v>18</x:v>
      </x:c>
      <x:c r="T34" s="28" t="n">
        <x:f>'Daily Baseline'!V31</x:f>
        <x:v>268</x:v>
      </x:c>
      <x:c r="U34" s="55" t="n">
        <x:f>'Daily Baseline'!W31</x:f>
        <x:v>355</x:v>
      </x:c>
      <x:c r="V34" s="28" t="n">
        <x:f>'Daily Baseline'!X31</x:f>
        <x:v>442</x:v>
      </x:c>
    </x:row>
    <x:row r="35">
      <x:c r="A35" s="30" t="n">
        <x:f>'Daily Baseline'!A32</x:f>
        <x:v>30</x:v>
      </x:c>
      <x:c r="B35" s="11" t="str">
        <x:f>'Daily Baseline'!B32</x:f>
        <x:v>Vegetative Growth</x:v>
      </x:c>
      <x:c r="C35" s="28" t="n">
        <x:f>'Daily Baseline'!C32</x:f>
        <x:v>26</x:v>
      </x:c>
      <x:c r="D35" s="28" t="n">
        <x:f>'Daily Baseline'!D32</x:f>
        <x:v>15</x:v>
      </x:c>
      <x:c r="E35" s="30" t="n">
        <x:f>'Daily Baseline'!F32</x:f>
        <x:v>1</x:v>
      </x:c>
      <x:c r="F35" s="30" t="n">
        <x:f>'Daily Baseline'!H32</x:f>
        <x:v>0</x:v>
      </x:c>
      <x:c r="G35" s="28" t="n">
        <x:f>'Daily Baseline'!I32</x:f>
        <x:v>0</x:v>
      </x:c>
      <x:c r="H35" s="28" t="n">
        <x:f>'Daily Baseline'!J32</x:f>
        <x:v>8</x:v>
      </x:c>
      <x:c r="I35" s="55" t="n">
        <x:f>'Daily Baseline'!K32</x:f>
        <x:v>9</x:v>
      </x:c>
      <x:c r="J35" s="28" t="n">
        <x:f>'Daily Baseline'!L32</x:f>
        <x:v>10</x:v>
      </x:c>
      <x:c r="K35" s="28" t="n">
        <x:f>'Daily Baseline'!M32</x:f>
        <x:v>60</x:v>
      </x:c>
      <x:c r="L35" s="55" t="n">
        <x:f>'Daily Baseline'!N32</x:f>
        <x:v>65</x:v>
      </x:c>
      <x:c r="M35" s="28" t="n">
        <x:f>'Daily Baseline'!O32</x:f>
        <x:v>70</x:v>
      </x:c>
      <x:c r="N35" s="28" t="n">
        <x:f>'Daily Baseline'!P32</x:f>
        <x:v>65</x:v>
      </x:c>
      <x:c r="O35" s="55" t="n">
        <x:f>'Daily Baseline'!Q32</x:f>
        <x:v>75</x:v>
      </x:c>
      <x:c r="P35" s="28" t="n">
        <x:f>'Daily Baseline'!R32</x:f>
        <x:v>85</x:v>
      </x:c>
      <x:c r="Q35" s="28" t="n">
        <x:f>'Daily Baseline'!S32</x:f>
        <x:v>12</x:v>
      </x:c>
      <x:c r="R35" s="28" t="n">
        <x:f>'Daily Baseline'!T32</x:f>
        <x:v>15</x:v>
      </x:c>
      <x:c r="S35" s="55" t="n">
        <x:f>'Daily Baseline'!U32</x:f>
        <x:v>18</x:v>
      </x:c>
      <x:c r="T35" s="28" t="n">
        <x:f>'Daily Baseline'!V32</x:f>
        <x:v>280</x:v>
      </x:c>
      <x:c r="U35" s="55" t="n">
        <x:f>'Daily Baseline'!W32</x:f>
        <x:v>370</x:v>
      </x:c>
      <x:c r="V35" s="28" t="n">
        <x:f>'Daily Baseline'!X32</x:f>
        <x:v>460</x:v>
      </x:c>
    </x:row>
    <x:row r="36">
      <x:c r="A36" s="30" t="n">
        <x:f>'Daily Baseline'!A33</x:f>
        <x:v>31</x:v>
      </x:c>
      <x:c r="B36" s="11" t="str">
        <x:f>'Daily Baseline'!B33</x:f>
        <x:v>Vegetative Growth</x:v>
      </x:c>
      <x:c r="C36" s="28" t="n">
        <x:f>'Daily Baseline'!C33</x:f>
        <x:v>27.2</x:v>
      </x:c>
      <x:c r="D36" s="28" t="n">
        <x:f>'Daily Baseline'!D33</x:f>
        <x:v>16</x:v>
      </x:c>
      <x:c r="E36" s="30" t="n">
        <x:f>'Daily Baseline'!F33</x:f>
        <x:v>1</x:v>
      </x:c>
      <x:c r="F36" s="30" t="n">
        <x:f>'Daily Baseline'!H33</x:f>
        <x:v>0</x:v>
      </x:c>
      <x:c r="G36" s="28" t="n">
        <x:f>'Daily Baseline'!I33</x:f>
        <x:v>0</x:v>
      </x:c>
      <x:c r="H36" s="28" t="n">
        <x:f>'Daily Baseline'!J33</x:f>
        <x:v>8</x:v>
      </x:c>
      <x:c r="I36" s="55" t="n">
        <x:f>'Daily Baseline'!K33</x:f>
        <x:v>9</x:v>
      </x:c>
      <x:c r="J36" s="28" t="n">
        <x:f>'Daily Baseline'!L33</x:f>
        <x:v>10</x:v>
      </x:c>
      <x:c r="K36" s="28" t="n">
        <x:f>'Daily Baseline'!M33</x:f>
        <x:v>60</x:v>
      </x:c>
      <x:c r="L36" s="55" t="n">
        <x:f>'Daily Baseline'!N33</x:f>
        <x:v>65</x:v>
      </x:c>
      <x:c r="M36" s="28" t="n">
        <x:f>'Daily Baseline'!O33</x:f>
        <x:v>70</x:v>
      </x:c>
      <x:c r="N36" s="28" t="n">
        <x:f>'Daily Baseline'!P33</x:f>
        <x:v>65</x:v>
      </x:c>
      <x:c r="O36" s="55" t="n">
        <x:f>'Daily Baseline'!Q33</x:f>
        <x:v>75</x:v>
      </x:c>
      <x:c r="P36" s="28" t="n">
        <x:f>'Daily Baseline'!R33</x:f>
        <x:v>85</x:v>
      </x:c>
      <x:c r="Q36" s="28" t="n">
        <x:f>'Daily Baseline'!S33</x:f>
        <x:v>12</x:v>
      </x:c>
      <x:c r="R36" s="28" t="n">
        <x:f>'Daily Baseline'!T33</x:f>
        <x:v>15</x:v>
      </x:c>
      <x:c r="S36" s="55" t="n">
        <x:f>'Daily Baseline'!U33</x:f>
        <x:v>18</x:v>
      </x:c>
      <x:c r="T36" s="28" t="n">
        <x:f>'Daily Baseline'!V33</x:f>
        <x:v>292</x:v>
      </x:c>
      <x:c r="U36" s="55" t="n">
        <x:f>'Daily Baseline'!W33</x:f>
        <x:v>385</x:v>
      </x:c>
      <x:c r="V36" s="28" t="n">
        <x:f>'Daily Baseline'!X33</x:f>
        <x:v>478</x:v>
      </x:c>
    </x:row>
    <x:row r="37">
      <x:c r="A37" s="30" t="n">
        <x:f>'Daily Baseline'!A34</x:f>
        <x:v>32</x:v>
      </x:c>
      <x:c r="B37" s="11" t="str">
        <x:f>'Daily Baseline'!B34</x:f>
        <x:v>Vegetative Growth</x:v>
      </x:c>
      <x:c r="C37" s="28" t="n">
        <x:f>'Daily Baseline'!C34</x:f>
        <x:v>28.4</x:v>
      </x:c>
      <x:c r="D37" s="28" t="n">
        <x:f>'Daily Baseline'!D34</x:f>
        <x:v>17</x:v>
      </x:c>
      <x:c r="E37" s="30" t="n">
        <x:f>'Daily Baseline'!F34</x:f>
        <x:v>1</x:v>
      </x:c>
      <x:c r="F37" s="30" t="n">
        <x:f>'Daily Baseline'!H34</x:f>
        <x:v>0</x:v>
      </x:c>
      <x:c r="G37" s="28" t="n">
        <x:f>'Daily Baseline'!I34</x:f>
        <x:v>0</x:v>
      </x:c>
      <x:c r="H37" s="28" t="n">
        <x:f>'Daily Baseline'!J34</x:f>
        <x:v>8</x:v>
      </x:c>
      <x:c r="I37" s="55" t="n">
        <x:f>'Daily Baseline'!K34</x:f>
        <x:v>9</x:v>
      </x:c>
      <x:c r="J37" s="28" t="n">
        <x:f>'Daily Baseline'!L34</x:f>
        <x:v>10</x:v>
      </x:c>
      <x:c r="K37" s="28" t="n">
        <x:f>'Daily Baseline'!M34</x:f>
        <x:v>60</x:v>
      </x:c>
      <x:c r="L37" s="55" t="n">
        <x:f>'Daily Baseline'!N34</x:f>
        <x:v>65</x:v>
      </x:c>
      <x:c r="M37" s="28" t="n">
        <x:f>'Daily Baseline'!O34</x:f>
        <x:v>70</x:v>
      </x:c>
      <x:c r="N37" s="28" t="n">
        <x:f>'Daily Baseline'!P34</x:f>
        <x:v>65</x:v>
      </x:c>
      <x:c r="O37" s="55" t="n">
        <x:f>'Daily Baseline'!Q34</x:f>
        <x:v>75</x:v>
      </x:c>
      <x:c r="P37" s="28" t="n">
        <x:f>'Daily Baseline'!R34</x:f>
        <x:v>85</x:v>
      </x:c>
      <x:c r="Q37" s="28" t="n">
        <x:f>'Daily Baseline'!S34</x:f>
        <x:v>12</x:v>
      </x:c>
      <x:c r="R37" s="28" t="n">
        <x:f>'Daily Baseline'!T34</x:f>
        <x:v>15</x:v>
      </x:c>
      <x:c r="S37" s="55" t="n">
        <x:f>'Daily Baseline'!U34</x:f>
        <x:v>18</x:v>
      </x:c>
      <x:c r="T37" s="28" t="n">
        <x:f>'Daily Baseline'!V34</x:f>
        <x:v>304</x:v>
      </x:c>
      <x:c r="U37" s="55" t="n">
        <x:f>'Daily Baseline'!W34</x:f>
        <x:v>400</x:v>
      </x:c>
      <x:c r="V37" s="28" t="n">
        <x:f>'Daily Baseline'!X34</x:f>
        <x:v>496</x:v>
      </x:c>
    </x:row>
    <x:row r="38">
      <x:c r="A38" s="30" t="n">
        <x:f>'Daily Baseline'!A35</x:f>
        <x:v>33</x:v>
      </x:c>
      <x:c r="B38" s="11" t="str">
        <x:f>'Daily Baseline'!B35</x:f>
        <x:v>Vegetative Growth</x:v>
      </x:c>
      <x:c r="C38" s="28" t="n">
        <x:f>'Daily Baseline'!C35</x:f>
        <x:v>29.6</x:v>
      </x:c>
      <x:c r="D38" s="28" t="n">
        <x:f>'Daily Baseline'!D35</x:f>
        <x:v>18</x:v>
      </x:c>
      <x:c r="E38" s="30" t="n">
        <x:f>'Daily Baseline'!F35</x:f>
        <x:v>1</x:v>
      </x:c>
      <x:c r="F38" s="30" t="n">
        <x:f>'Daily Baseline'!H35</x:f>
        <x:v>0</x:v>
      </x:c>
      <x:c r="G38" s="28" t="n">
        <x:f>'Daily Baseline'!I35</x:f>
        <x:v>0</x:v>
      </x:c>
      <x:c r="H38" s="28" t="n">
        <x:f>'Daily Baseline'!J35</x:f>
        <x:v>8</x:v>
      </x:c>
      <x:c r="I38" s="55" t="n">
        <x:f>'Daily Baseline'!K35</x:f>
        <x:v>9</x:v>
      </x:c>
      <x:c r="J38" s="28" t="n">
        <x:f>'Daily Baseline'!L35</x:f>
        <x:v>10</x:v>
      </x:c>
      <x:c r="K38" s="28" t="n">
        <x:f>'Daily Baseline'!M35</x:f>
        <x:v>60</x:v>
      </x:c>
      <x:c r="L38" s="55" t="n">
        <x:f>'Daily Baseline'!N35</x:f>
        <x:v>65</x:v>
      </x:c>
      <x:c r="M38" s="28" t="n">
        <x:f>'Daily Baseline'!O35</x:f>
        <x:v>70</x:v>
      </x:c>
      <x:c r="N38" s="28" t="n">
        <x:f>'Daily Baseline'!P35</x:f>
        <x:v>65</x:v>
      </x:c>
      <x:c r="O38" s="55" t="n">
        <x:f>'Daily Baseline'!Q35</x:f>
        <x:v>75</x:v>
      </x:c>
      <x:c r="P38" s="28" t="n">
        <x:f>'Daily Baseline'!R35</x:f>
        <x:v>85</x:v>
      </x:c>
      <x:c r="Q38" s="28" t="n">
        <x:f>'Daily Baseline'!S35</x:f>
        <x:v>12</x:v>
      </x:c>
      <x:c r="R38" s="28" t="n">
        <x:f>'Daily Baseline'!T35</x:f>
        <x:v>15</x:v>
      </x:c>
      <x:c r="S38" s="55" t="n">
        <x:f>'Daily Baseline'!U35</x:f>
        <x:v>18</x:v>
      </x:c>
      <x:c r="T38" s="28" t="n">
        <x:f>'Daily Baseline'!V35</x:f>
        <x:v>316</x:v>
      </x:c>
      <x:c r="U38" s="55" t="n">
        <x:f>'Daily Baseline'!W35</x:f>
        <x:v>415</x:v>
      </x:c>
      <x:c r="V38" s="28" t="n">
        <x:f>'Daily Baseline'!X35</x:f>
        <x:v>514</x:v>
      </x:c>
    </x:row>
    <x:row r="39">
      <x:c r="A39" s="30" t="n">
        <x:f>'Daily Baseline'!A36</x:f>
        <x:v>34</x:v>
      </x:c>
      <x:c r="B39" s="11" t="str">
        <x:f>'Daily Baseline'!B36</x:f>
        <x:v>Vegetative Growth</x:v>
      </x:c>
      <x:c r="C39" s="28" t="n">
        <x:f>'Daily Baseline'!C36</x:f>
        <x:v>30.799999999999997</x:v>
      </x:c>
      <x:c r="D39" s="28" t="n">
        <x:f>'Daily Baseline'!D36</x:f>
        <x:v>19</x:v>
      </x:c>
      <x:c r="E39" s="30" t="n">
        <x:f>'Daily Baseline'!F36</x:f>
        <x:v>1</x:v>
      </x:c>
      <x:c r="F39" s="30" t="n">
        <x:f>'Daily Baseline'!H36</x:f>
        <x:v>0</x:v>
      </x:c>
      <x:c r="G39" s="28" t="n">
        <x:f>'Daily Baseline'!I36</x:f>
        <x:v>0</x:v>
      </x:c>
      <x:c r="H39" s="28" t="n">
        <x:f>'Daily Baseline'!J36</x:f>
        <x:v>8</x:v>
      </x:c>
      <x:c r="I39" s="55" t="n">
        <x:f>'Daily Baseline'!K36</x:f>
        <x:v>9</x:v>
      </x:c>
      <x:c r="J39" s="28" t="n">
        <x:f>'Daily Baseline'!L36</x:f>
        <x:v>10</x:v>
      </x:c>
      <x:c r="K39" s="28" t="n">
        <x:f>'Daily Baseline'!M36</x:f>
        <x:v>60</x:v>
      </x:c>
      <x:c r="L39" s="55" t="n">
        <x:f>'Daily Baseline'!N36</x:f>
        <x:v>65</x:v>
      </x:c>
      <x:c r="M39" s="28" t="n">
        <x:f>'Daily Baseline'!O36</x:f>
        <x:v>70</x:v>
      </x:c>
      <x:c r="N39" s="28" t="n">
        <x:f>'Daily Baseline'!P36</x:f>
        <x:v>65</x:v>
      </x:c>
      <x:c r="O39" s="55" t="n">
        <x:f>'Daily Baseline'!Q36</x:f>
        <x:v>75</x:v>
      </x:c>
      <x:c r="P39" s="28" t="n">
        <x:f>'Daily Baseline'!R36</x:f>
        <x:v>85</x:v>
      </x:c>
      <x:c r="Q39" s="28" t="n">
        <x:f>'Daily Baseline'!S36</x:f>
        <x:v>12</x:v>
      </x:c>
      <x:c r="R39" s="28" t="n">
        <x:f>'Daily Baseline'!T36</x:f>
        <x:v>15</x:v>
      </x:c>
      <x:c r="S39" s="55" t="n">
        <x:f>'Daily Baseline'!U36</x:f>
        <x:v>18</x:v>
      </x:c>
      <x:c r="T39" s="28" t="n">
        <x:f>'Daily Baseline'!V36</x:f>
        <x:v>328</x:v>
      </x:c>
      <x:c r="U39" s="55" t="n">
        <x:f>'Daily Baseline'!W36</x:f>
        <x:v>430</x:v>
      </x:c>
      <x:c r="V39" s="28" t="n">
        <x:f>'Daily Baseline'!X36</x:f>
        <x:v>532</x:v>
      </x:c>
    </x:row>
    <x:row r="40">
      <x:c r="A40" s="30" t="n">
        <x:f>'Daily Baseline'!A37</x:f>
        <x:v>35</x:v>
      </x:c>
      <x:c r="B40" s="11" t="str">
        <x:f>'Daily Baseline'!B37</x:f>
        <x:v>Vegetative Growth</x:v>
      </x:c>
      <x:c r="C40" s="28" t="n">
        <x:f>'Daily Baseline'!C37</x:f>
        <x:v>32</x:v>
      </x:c>
      <x:c r="D40" s="28" t="n">
        <x:f>'Daily Baseline'!D37</x:f>
        <x:v>20</x:v>
      </x:c>
      <x:c r="E40" s="30" t="n">
        <x:f>'Daily Baseline'!F37</x:f>
        <x:v>1</x:v>
      </x:c>
      <x:c r="F40" s="30" t="n">
        <x:f>'Daily Baseline'!H37</x:f>
        <x:v>0</x:v>
      </x:c>
      <x:c r="G40" s="28" t="n">
        <x:f>'Daily Baseline'!I37</x:f>
        <x:v>0</x:v>
      </x:c>
      <x:c r="H40" s="28" t="n">
        <x:f>'Daily Baseline'!J37</x:f>
        <x:v>8</x:v>
      </x:c>
      <x:c r="I40" s="55" t="n">
        <x:f>'Daily Baseline'!K37</x:f>
        <x:v>9</x:v>
      </x:c>
      <x:c r="J40" s="28" t="n">
        <x:f>'Daily Baseline'!L37</x:f>
        <x:v>10</x:v>
      </x:c>
      <x:c r="K40" s="28" t="n">
        <x:f>'Daily Baseline'!M37</x:f>
        <x:v>60</x:v>
      </x:c>
      <x:c r="L40" s="55" t="n">
        <x:f>'Daily Baseline'!N37</x:f>
        <x:v>65</x:v>
      </x:c>
      <x:c r="M40" s="28" t="n">
        <x:f>'Daily Baseline'!O37</x:f>
        <x:v>70</x:v>
      </x:c>
      <x:c r="N40" s="28" t="n">
        <x:f>'Daily Baseline'!P37</x:f>
        <x:v>65</x:v>
      </x:c>
      <x:c r="O40" s="55" t="n">
        <x:f>'Daily Baseline'!Q37</x:f>
        <x:v>75</x:v>
      </x:c>
      <x:c r="P40" s="28" t="n">
        <x:f>'Daily Baseline'!R37</x:f>
        <x:v>85</x:v>
      </x:c>
      <x:c r="Q40" s="28" t="n">
        <x:f>'Daily Baseline'!S37</x:f>
        <x:v>12</x:v>
      </x:c>
      <x:c r="R40" s="28" t="n">
        <x:f>'Daily Baseline'!T37</x:f>
        <x:v>15</x:v>
      </x:c>
      <x:c r="S40" s="55" t="n">
        <x:f>'Daily Baseline'!U37</x:f>
        <x:v>18</x:v>
      </x:c>
      <x:c r="T40" s="28" t="n">
        <x:f>'Daily Baseline'!V37</x:f>
        <x:v>340</x:v>
      </x:c>
      <x:c r="U40" s="55" t="n">
        <x:f>'Daily Baseline'!W37</x:f>
        <x:v>445</x:v>
      </x:c>
      <x:c r="V40" s="28" t="n">
        <x:f>'Daily Baseline'!X37</x:f>
        <x:v>550</x:v>
      </x:c>
    </x:row>
    <x:row r="41">
      <x:c r="A41" s="30" t="n">
        <x:f>'Daily Baseline'!A38</x:f>
        <x:v>36</x:v>
      </x:c>
      <x:c r="B41" s="11" t="str">
        <x:f>'Daily Baseline'!B38</x:f>
        <x:v>Vegetative Growth</x:v>
      </x:c>
      <x:c r="C41" s="28" t="n">
        <x:f>'Daily Baseline'!C38</x:f>
        <x:v>33.2</x:v>
      </x:c>
      <x:c r="D41" s="28" t="n">
        <x:f>'Daily Baseline'!D38</x:f>
        <x:v>21</x:v>
      </x:c>
      <x:c r="E41" s="30" t="n">
        <x:f>'Daily Baseline'!F38</x:f>
        <x:v>1</x:v>
      </x:c>
      <x:c r="F41" s="30" t="n">
        <x:f>'Daily Baseline'!H38</x:f>
        <x:v>0</x:v>
      </x:c>
      <x:c r="G41" s="28" t="n">
        <x:f>'Daily Baseline'!I38</x:f>
        <x:v>0</x:v>
      </x:c>
      <x:c r="H41" s="28" t="n">
        <x:f>'Daily Baseline'!J38</x:f>
        <x:v>8</x:v>
      </x:c>
      <x:c r="I41" s="55" t="n">
        <x:f>'Daily Baseline'!K38</x:f>
        <x:v>9</x:v>
      </x:c>
      <x:c r="J41" s="28" t="n">
        <x:f>'Daily Baseline'!L38</x:f>
        <x:v>10</x:v>
      </x:c>
      <x:c r="K41" s="28" t="n">
        <x:f>'Daily Baseline'!M38</x:f>
        <x:v>60</x:v>
      </x:c>
      <x:c r="L41" s="55" t="n">
        <x:f>'Daily Baseline'!N38</x:f>
        <x:v>65</x:v>
      </x:c>
      <x:c r="M41" s="28" t="n">
        <x:f>'Daily Baseline'!O38</x:f>
        <x:v>70</x:v>
      </x:c>
      <x:c r="N41" s="28" t="n">
        <x:f>'Daily Baseline'!P38</x:f>
        <x:v>65</x:v>
      </x:c>
      <x:c r="O41" s="55" t="n">
        <x:f>'Daily Baseline'!Q38</x:f>
        <x:v>75</x:v>
      </x:c>
      <x:c r="P41" s="28" t="n">
        <x:f>'Daily Baseline'!R38</x:f>
        <x:v>85</x:v>
      </x:c>
      <x:c r="Q41" s="28" t="n">
        <x:f>'Daily Baseline'!S38</x:f>
        <x:v>12</x:v>
      </x:c>
      <x:c r="R41" s="28" t="n">
        <x:f>'Daily Baseline'!T38</x:f>
        <x:v>15</x:v>
      </x:c>
      <x:c r="S41" s="55" t="n">
        <x:f>'Daily Baseline'!U38</x:f>
        <x:v>18</x:v>
      </x:c>
      <x:c r="T41" s="28" t="n">
        <x:f>'Daily Baseline'!V38</x:f>
        <x:v>352</x:v>
      </x:c>
      <x:c r="U41" s="55" t="n">
        <x:f>'Daily Baseline'!W38</x:f>
        <x:v>460</x:v>
      </x:c>
      <x:c r="V41" s="28" t="n">
        <x:f>'Daily Baseline'!X38</x:f>
        <x:v>568</x:v>
      </x:c>
    </x:row>
    <x:row r="42">
      <x:c r="A42" s="30" t="n">
        <x:f>'Daily Baseline'!A39</x:f>
        <x:v>37</x:v>
      </x:c>
      <x:c r="B42" s="11" t="str">
        <x:f>'Daily Baseline'!B39</x:f>
        <x:v>Vegetative Growth</x:v>
      </x:c>
      <x:c r="C42" s="28" t="n">
        <x:f>'Daily Baseline'!C39</x:f>
        <x:v>34.4</x:v>
      </x:c>
      <x:c r="D42" s="28" t="n">
        <x:f>'Daily Baseline'!D39</x:f>
        <x:v>22</x:v>
      </x:c>
      <x:c r="E42" s="30" t="n">
        <x:f>'Daily Baseline'!F39</x:f>
        <x:v>2</x:v>
      </x:c>
      <x:c r="F42" s="30" t="n">
        <x:f>'Daily Baseline'!H39</x:f>
        <x:v>0</x:v>
      </x:c>
      <x:c r="G42" s="28" t="n">
        <x:f>'Daily Baseline'!I39</x:f>
        <x:v>0</x:v>
      </x:c>
      <x:c r="H42" s="28" t="n">
        <x:f>'Daily Baseline'!J39</x:f>
        <x:v>8</x:v>
      </x:c>
      <x:c r="I42" s="55" t="n">
        <x:f>'Daily Baseline'!K39</x:f>
        <x:v>9</x:v>
      </x:c>
      <x:c r="J42" s="28" t="n">
        <x:f>'Daily Baseline'!L39</x:f>
        <x:v>10</x:v>
      </x:c>
      <x:c r="K42" s="28" t="n">
        <x:f>'Daily Baseline'!M39</x:f>
        <x:v>60</x:v>
      </x:c>
      <x:c r="L42" s="55" t="n">
        <x:f>'Daily Baseline'!N39</x:f>
        <x:v>65</x:v>
      </x:c>
      <x:c r="M42" s="28" t="n">
        <x:f>'Daily Baseline'!O39</x:f>
        <x:v>70</x:v>
      </x:c>
      <x:c r="N42" s="28" t="n">
        <x:f>'Daily Baseline'!P39</x:f>
        <x:v>65</x:v>
      </x:c>
      <x:c r="O42" s="55" t="n">
        <x:f>'Daily Baseline'!Q39</x:f>
        <x:v>75</x:v>
      </x:c>
      <x:c r="P42" s="28" t="n">
        <x:f>'Daily Baseline'!R39</x:f>
        <x:v>85</x:v>
      </x:c>
      <x:c r="Q42" s="28" t="n">
        <x:f>'Daily Baseline'!S39</x:f>
        <x:v>12</x:v>
      </x:c>
      <x:c r="R42" s="28" t="n">
        <x:f>'Daily Baseline'!T39</x:f>
        <x:v>15</x:v>
      </x:c>
      <x:c r="S42" s="55" t="n">
        <x:f>'Daily Baseline'!U39</x:f>
        <x:v>18</x:v>
      </x:c>
      <x:c r="T42" s="28" t="n">
        <x:f>'Daily Baseline'!V39</x:f>
        <x:v>364</x:v>
      </x:c>
      <x:c r="U42" s="55" t="n">
        <x:f>'Daily Baseline'!W39</x:f>
        <x:v>475</x:v>
      </x:c>
      <x:c r="V42" s="28" t="n">
        <x:f>'Daily Baseline'!X39</x:f>
        <x:v>586</x:v>
      </x:c>
    </x:row>
    <x:row r="43">
      <x:c r="A43" s="30" t="n">
        <x:f>'Daily Baseline'!A40</x:f>
        <x:v>38</x:v>
      </x:c>
      <x:c r="B43" s="11" t="str">
        <x:f>'Daily Baseline'!B40</x:f>
        <x:v>Vegetative Growth</x:v>
      </x:c>
      <x:c r="C43" s="28" t="n">
        <x:f>'Daily Baseline'!C40</x:f>
        <x:v>35.6</x:v>
      </x:c>
      <x:c r="D43" s="28" t="n">
        <x:f>'Daily Baseline'!D40</x:f>
        <x:v>23</x:v>
      </x:c>
      <x:c r="E43" s="30" t="n">
        <x:f>'Daily Baseline'!F40</x:f>
        <x:v>2</x:v>
      </x:c>
      <x:c r="F43" s="30" t="n">
        <x:f>'Daily Baseline'!H40</x:f>
        <x:v>0</x:v>
      </x:c>
      <x:c r="G43" s="28" t="n">
        <x:f>'Daily Baseline'!I40</x:f>
        <x:v>0</x:v>
      </x:c>
      <x:c r="H43" s="28" t="n">
        <x:f>'Daily Baseline'!J40</x:f>
        <x:v>8</x:v>
      </x:c>
      <x:c r="I43" s="55" t="n">
        <x:f>'Daily Baseline'!K40</x:f>
        <x:v>9</x:v>
      </x:c>
      <x:c r="J43" s="28" t="n">
        <x:f>'Daily Baseline'!L40</x:f>
        <x:v>10</x:v>
      </x:c>
      <x:c r="K43" s="28" t="n">
        <x:f>'Daily Baseline'!M40</x:f>
        <x:v>60</x:v>
      </x:c>
      <x:c r="L43" s="55" t="n">
        <x:f>'Daily Baseline'!N40</x:f>
        <x:v>65</x:v>
      </x:c>
      <x:c r="M43" s="28" t="n">
        <x:f>'Daily Baseline'!O40</x:f>
        <x:v>70</x:v>
      </x:c>
      <x:c r="N43" s="28" t="n">
        <x:f>'Daily Baseline'!P40</x:f>
        <x:v>65</x:v>
      </x:c>
      <x:c r="O43" s="55" t="n">
        <x:f>'Daily Baseline'!Q40</x:f>
        <x:v>75</x:v>
      </x:c>
      <x:c r="P43" s="28" t="n">
        <x:f>'Daily Baseline'!R40</x:f>
        <x:v>85</x:v>
      </x:c>
      <x:c r="Q43" s="28" t="n">
        <x:f>'Daily Baseline'!S40</x:f>
        <x:v>12</x:v>
      </x:c>
      <x:c r="R43" s="28" t="n">
        <x:f>'Daily Baseline'!T40</x:f>
        <x:v>15</x:v>
      </x:c>
      <x:c r="S43" s="55" t="n">
        <x:f>'Daily Baseline'!U40</x:f>
        <x:v>18</x:v>
      </x:c>
      <x:c r="T43" s="28" t="n">
        <x:f>'Daily Baseline'!V40</x:f>
        <x:v>376</x:v>
      </x:c>
      <x:c r="U43" s="55" t="n">
        <x:f>'Daily Baseline'!W40</x:f>
        <x:v>490</x:v>
      </x:c>
      <x:c r="V43" s="28" t="n">
        <x:f>'Daily Baseline'!X40</x:f>
        <x:v>604</x:v>
      </x:c>
    </x:row>
    <x:row r="44">
      <x:c r="A44" s="30" t="n">
        <x:f>'Daily Baseline'!A41</x:f>
        <x:v>39</x:v>
      </x:c>
      <x:c r="B44" s="11" t="str">
        <x:f>'Daily Baseline'!B41</x:f>
        <x:v>Vegetative Growth</x:v>
      </x:c>
      <x:c r="C44" s="28" t="n">
        <x:f>'Daily Baseline'!C41</x:f>
        <x:v>36.8</x:v>
      </x:c>
      <x:c r="D44" s="28" t="n">
        <x:f>'Daily Baseline'!D41</x:f>
        <x:v>24</x:v>
      </x:c>
      <x:c r="E44" s="30" t="n">
        <x:f>'Daily Baseline'!F41</x:f>
        <x:v>2</x:v>
      </x:c>
      <x:c r="F44" s="30" t="n">
        <x:f>'Daily Baseline'!H41</x:f>
        <x:v>0</x:v>
      </x:c>
      <x:c r="G44" s="28" t="n">
        <x:f>'Daily Baseline'!I41</x:f>
        <x:v>0</x:v>
      </x:c>
      <x:c r="H44" s="28" t="n">
        <x:f>'Daily Baseline'!J41</x:f>
        <x:v>8</x:v>
      </x:c>
      <x:c r="I44" s="55" t="n">
        <x:f>'Daily Baseline'!K41</x:f>
        <x:v>9</x:v>
      </x:c>
      <x:c r="J44" s="28" t="n">
        <x:f>'Daily Baseline'!L41</x:f>
        <x:v>10</x:v>
      </x:c>
      <x:c r="K44" s="28" t="n">
        <x:f>'Daily Baseline'!M41</x:f>
        <x:v>60</x:v>
      </x:c>
      <x:c r="L44" s="55" t="n">
        <x:f>'Daily Baseline'!N41</x:f>
        <x:v>65</x:v>
      </x:c>
      <x:c r="M44" s="28" t="n">
        <x:f>'Daily Baseline'!O41</x:f>
        <x:v>70</x:v>
      </x:c>
      <x:c r="N44" s="28" t="n">
        <x:f>'Daily Baseline'!P41</x:f>
        <x:v>65</x:v>
      </x:c>
      <x:c r="O44" s="55" t="n">
        <x:f>'Daily Baseline'!Q41</x:f>
        <x:v>75</x:v>
      </x:c>
      <x:c r="P44" s="28" t="n">
        <x:f>'Daily Baseline'!R41</x:f>
        <x:v>85</x:v>
      </x:c>
      <x:c r="Q44" s="28" t="n">
        <x:f>'Daily Baseline'!S41</x:f>
        <x:v>12</x:v>
      </x:c>
      <x:c r="R44" s="28" t="n">
        <x:f>'Daily Baseline'!T41</x:f>
        <x:v>15</x:v>
      </x:c>
      <x:c r="S44" s="55" t="n">
        <x:f>'Daily Baseline'!U41</x:f>
        <x:v>18</x:v>
      </x:c>
      <x:c r="T44" s="28" t="n">
        <x:f>'Daily Baseline'!V41</x:f>
        <x:v>388</x:v>
      </x:c>
      <x:c r="U44" s="55" t="n">
        <x:f>'Daily Baseline'!W41</x:f>
        <x:v>505</x:v>
      </x:c>
      <x:c r="V44" s="28" t="n">
        <x:f>'Daily Baseline'!X41</x:f>
        <x:v>622</x:v>
      </x:c>
    </x:row>
    <x:row r="45">
      <x:c r="A45" s="30" t="n">
        <x:f>'Daily Baseline'!A42</x:f>
        <x:v>40</x:v>
      </x:c>
      <x:c r="B45" s="11" t="str">
        <x:f>'Daily Baseline'!B42</x:f>
        <x:v>Vegetative Growth</x:v>
      </x:c>
      <x:c r="C45" s="28" t="n">
        <x:f>'Daily Baseline'!C42</x:f>
        <x:v>38</x:v>
      </x:c>
      <x:c r="D45" s="28" t="n">
        <x:f>'Daily Baseline'!D42</x:f>
        <x:v>25</x:v>
      </x:c>
      <x:c r="E45" s="30" t="n">
        <x:f>'Daily Baseline'!F42</x:f>
        <x:v>2</x:v>
      </x:c>
      <x:c r="F45" s="30" t="n">
        <x:f>'Daily Baseline'!H42</x:f>
        <x:v>0</x:v>
      </x:c>
      <x:c r="G45" s="28" t="n">
        <x:f>'Daily Baseline'!I42</x:f>
        <x:v>0</x:v>
      </x:c>
      <x:c r="H45" s="28" t="n">
        <x:f>'Daily Baseline'!J42</x:f>
        <x:v>8</x:v>
      </x:c>
      <x:c r="I45" s="55" t="n">
        <x:f>'Daily Baseline'!K42</x:f>
        <x:v>9</x:v>
      </x:c>
      <x:c r="J45" s="28" t="n">
        <x:f>'Daily Baseline'!L42</x:f>
        <x:v>10</x:v>
      </x:c>
      <x:c r="K45" s="28" t="n">
        <x:f>'Daily Baseline'!M42</x:f>
        <x:v>60</x:v>
      </x:c>
      <x:c r="L45" s="55" t="n">
        <x:f>'Daily Baseline'!N42</x:f>
        <x:v>65</x:v>
      </x:c>
      <x:c r="M45" s="28" t="n">
        <x:f>'Daily Baseline'!O42</x:f>
        <x:v>70</x:v>
      </x:c>
      <x:c r="N45" s="28" t="n">
        <x:f>'Daily Baseline'!P42</x:f>
        <x:v>65</x:v>
      </x:c>
      <x:c r="O45" s="55" t="n">
        <x:f>'Daily Baseline'!Q42</x:f>
        <x:v>75</x:v>
      </x:c>
      <x:c r="P45" s="28" t="n">
        <x:f>'Daily Baseline'!R42</x:f>
        <x:v>85</x:v>
      </x:c>
      <x:c r="Q45" s="28" t="n">
        <x:f>'Daily Baseline'!S42</x:f>
        <x:v>12</x:v>
      </x:c>
      <x:c r="R45" s="28" t="n">
        <x:f>'Daily Baseline'!T42</x:f>
        <x:v>15</x:v>
      </x:c>
      <x:c r="S45" s="55" t="n">
        <x:f>'Daily Baseline'!U42</x:f>
        <x:v>18</x:v>
      </x:c>
      <x:c r="T45" s="28" t="n">
        <x:f>'Daily Baseline'!V42</x:f>
        <x:v>400</x:v>
      </x:c>
      <x:c r="U45" s="55" t="n">
        <x:f>'Daily Baseline'!W42</x:f>
        <x:v>520</x:v>
      </x:c>
      <x:c r="V45" s="28" t="n">
        <x:f>'Daily Baseline'!X42</x:f>
        <x:v>640</x:v>
      </x:c>
    </x:row>
    <x:row r="46">
      <x:c r="A46" s="30" t="n">
        <x:f>'Daily Baseline'!A43</x:f>
        <x:v>41</x:v>
      </x:c>
      <x:c r="B46" s="11" t="str">
        <x:f>'Daily Baseline'!B43</x:f>
        <x:v>Flowering &amp; Initial Fruit Set</x:v>
      </x:c>
      <x:c r="C46" s="28" t="n">
        <x:f>'Daily Baseline'!C43</x:f>
        <x:v>39.333333333333336</x:v>
      </x:c>
      <x:c r="D46" s="28" t="n">
        <x:f>'Daily Baseline'!D43</x:f>
        <x:v>26.333333333333332</x:v>
      </x:c>
      <x:c r="E46" s="30" t="n">
        <x:f>'Daily Baseline'!F43</x:f>
        <x:v>2</x:v>
      </x:c>
      <x:c r="F46" s="30" t="n">
        <x:f>'Daily Baseline'!H43</x:f>
        <x:v>0</x:v>
      </x:c>
      <x:c r="G46" s="28" t="n">
        <x:f>'Daily Baseline'!I43</x:f>
        <x:v>0.5333333333333333</x:v>
      </x:c>
      <x:c r="H46" s="28" t="n">
        <x:f>'Daily Baseline'!J43</x:f>
        <x:v>8</x:v>
      </x:c>
      <x:c r="I46" s="55" t="n">
        <x:f>'Daily Baseline'!K43</x:f>
        <x:v>9</x:v>
      </x:c>
      <x:c r="J46" s="28" t="n">
        <x:f>'Daily Baseline'!L43</x:f>
        <x:v>10</x:v>
      </x:c>
      <x:c r="K46" s="28" t="n">
        <x:f>'Daily Baseline'!M43</x:f>
        <x:v>60</x:v>
      </x:c>
      <x:c r="L46" s="55" t="n">
        <x:f>'Daily Baseline'!N43</x:f>
        <x:v>65</x:v>
      </x:c>
      <x:c r="M46" s="28" t="n">
        <x:f>'Daily Baseline'!O43</x:f>
        <x:v>70</x:v>
      </x:c>
      <x:c r="N46" s="28" t="n">
        <x:f>'Daily Baseline'!P43</x:f>
        <x:v>70</x:v>
      </x:c>
      <x:c r="O46" s="55" t="n">
        <x:f>'Daily Baseline'!Q43</x:f>
        <x:v>80</x:v>
      </x:c>
      <x:c r="P46" s="28" t="n">
        <x:f>'Daily Baseline'!R43</x:f>
        <x:v>90</x:v>
      </x:c>
      <x:c r="Q46" s="28" t="n">
        <x:f>'Daily Baseline'!S43</x:f>
        <x:v>11</x:v>
      </x:c>
      <x:c r="R46" s="28" t="n">
        <x:f>'Daily Baseline'!T43</x:f>
        <x:v>14</x:v>
      </x:c>
      <x:c r="S46" s="55" t="n">
        <x:f>'Daily Baseline'!U43</x:f>
        <x:v>16</x:v>
      </x:c>
      <x:c r="T46" s="28" t="n">
        <x:f>'Daily Baseline'!V43</x:f>
        <x:v>411</x:v>
      </x:c>
      <x:c r="U46" s="55" t="n">
        <x:f>'Daily Baseline'!W43</x:f>
        <x:v>534</x:v>
      </x:c>
      <x:c r="V46" s="28" t="n">
        <x:f>'Daily Baseline'!X43</x:f>
        <x:v>656</x:v>
      </x:c>
    </x:row>
    <x:row r="47">
      <x:c r="A47" s="30" t="n">
        <x:f>'Daily Baseline'!A44</x:f>
        <x:v>42</x:v>
      </x:c>
      <x:c r="B47" s="11" t="str">
        <x:f>'Daily Baseline'!B44</x:f>
        <x:v>Flowering &amp; Initial Fruit Set</x:v>
      </x:c>
      <x:c r="C47" s="28" t="n">
        <x:f>'Daily Baseline'!C44</x:f>
        <x:v>40.666666666666664</x:v>
      </x:c>
      <x:c r="D47" s="28" t="n">
        <x:f>'Daily Baseline'!D44</x:f>
        <x:v>27.666666666666668</x:v>
      </x:c>
      <x:c r="E47" s="30" t="n">
        <x:f>'Daily Baseline'!F44</x:f>
        <x:v>3</x:v>
      </x:c>
      <x:c r="F47" s="30" t="n">
        <x:f>'Daily Baseline'!H44</x:f>
        <x:v>0</x:v>
      </x:c>
      <x:c r="G47" s="28" t="n">
        <x:f>'Daily Baseline'!I44</x:f>
        <x:v>1.0666666666666667</x:v>
      </x:c>
      <x:c r="H47" s="28" t="n">
        <x:f>'Daily Baseline'!J44</x:f>
        <x:v>8</x:v>
      </x:c>
      <x:c r="I47" s="55" t="n">
        <x:f>'Daily Baseline'!K44</x:f>
        <x:v>9</x:v>
      </x:c>
      <x:c r="J47" s="28" t="n">
        <x:f>'Daily Baseline'!L44</x:f>
        <x:v>10</x:v>
      </x:c>
      <x:c r="K47" s="28" t="n">
        <x:f>'Daily Baseline'!M44</x:f>
        <x:v>60</x:v>
      </x:c>
      <x:c r="L47" s="55" t="n">
        <x:f>'Daily Baseline'!N44</x:f>
        <x:v>65</x:v>
      </x:c>
      <x:c r="M47" s="28" t="n">
        <x:f>'Daily Baseline'!O44</x:f>
        <x:v>70</x:v>
      </x:c>
      <x:c r="N47" s="28" t="n">
        <x:f>'Daily Baseline'!P44</x:f>
        <x:v>70</x:v>
      </x:c>
      <x:c r="O47" s="55" t="n">
        <x:f>'Daily Baseline'!Q44</x:f>
        <x:v>80</x:v>
      </x:c>
      <x:c r="P47" s="28" t="n">
        <x:f>'Daily Baseline'!R44</x:f>
        <x:v>90</x:v>
      </x:c>
      <x:c r="Q47" s="28" t="n">
        <x:f>'Daily Baseline'!S44</x:f>
        <x:v>11</x:v>
      </x:c>
      <x:c r="R47" s="28" t="n">
        <x:f>'Daily Baseline'!T44</x:f>
        <x:v>14</x:v>
      </x:c>
      <x:c r="S47" s="55" t="n">
        <x:f>'Daily Baseline'!U44</x:f>
        <x:v>16</x:v>
      </x:c>
      <x:c r="T47" s="28" t="n">
        <x:f>'Daily Baseline'!V44</x:f>
        <x:v>422</x:v>
      </x:c>
      <x:c r="U47" s="55" t="n">
        <x:f>'Daily Baseline'!W44</x:f>
        <x:v>548</x:v>
      </x:c>
      <x:c r="V47" s="28" t="n">
        <x:f>'Daily Baseline'!X44</x:f>
        <x:v>672</x:v>
      </x:c>
    </x:row>
    <x:row r="48">
      <x:c r="A48" s="30" t="n">
        <x:f>'Daily Baseline'!A45</x:f>
        <x:v>43</x:v>
      </x:c>
      <x:c r="B48" s="11" t="str">
        <x:f>'Daily Baseline'!B45</x:f>
        <x:v>Flowering &amp; Initial Fruit Set</x:v>
      </x:c>
      <x:c r="C48" s="28" t="n">
        <x:f>'Daily Baseline'!C45</x:f>
        <x:v>42</x:v>
      </x:c>
      <x:c r="D48" s="28" t="n">
        <x:f>'Daily Baseline'!D45</x:f>
        <x:v>29</x:v>
      </x:c>
      <x:c r="E48" s="30" t="n">
        <x:f>'Daily Baseline'!F45</x:f>
        <x:v>3</x:v>
      </x:c>
      <x:c r="F48" s="30" t="n">
        <x:f>'Daily Baseline'!H45</x:f>
        <x:v>0</x:v>
      </x:c>
      <x:c r="G48" s="28" t="n">
        <x:f>'Daily Baseline'!I45</x:f>
        <x:v>1.6</x:v>
      </x:c>
      <x:c r="H48" s="28" t="n">
        <x:f>'Daily Baseline'!J45</x:f>
        <x:v>8</x:v>
      </x:c>
      <x:c r="I48" s="55" t="n">
        <x:f>'Daily Baseline'!K45</x:f>
        <x:v>9</x:v>
      </x:c>
      <x:c r="J48" s="28" t="n">
        <x:f>'Daily Baseline'!L45</x:f>
        <x:v>10</x:v>
      </x:c>
      <x:c r="K48" s="28" t="n">
        <x:f>'Daily Baseline'!M45</x:f>
        <x:v>60</x:v>
      </x:c>
      <x:c r="L48" s="55" t="n">
        <x:f>'Daily Baseline'!N45</x:f>
        <x:v>65</x:v>
      </x:c>
      <x:c r="M48" s="28" t="n">
        <x:f>'Daily Baseline'!O45</x:f>
        <x:v>70</x:v>
      </x:c>
      <x:c r="N48" s="28" t="n">
        <x:f>'Daily Baseline'!P45</x:f>
        <x:v>70</x:v>
      </x:c>
      <x:c r="O48" s="55" t="n">
        <x:f>'Daily Baseline'!Q45</x:f>
        <x:v>80</x:v>
      </x:c>
      <x:c r="P48" s="28" t="n">
        <x:f>'Daily Baseline'!R45</x:f>
        <x:v>90</x:v>
      </x:c>
      <x:c r="Q48" s="28" t="n">
        <x:f>'Daily Baseline'!S45</x:f>
        <x:v>11</x:v>
      </x:c>
      <x:c r="R48" s="28" t="n">
        <x:f>'Daily Baseline'!T45</x:f>
        <x:v>14</x:v>
      </x:c>
      <x:c r="S48" s="55" t="n">
        <x:f>'Daily Baseline'!U45</x:f>
        <x:v>16</x:v>
      </x:c>
      <x:c r="T48" s="28" t="n">
        <x:f>'Daily Baseline'!V45</x:f>
        <x:v>433</x:v>
      </x:c>
      <x:c r="U48" s="55" t="n">
        <x:f>'Daily Baseline'!W45</x:f>
        <x:v>562</x:v>
      </x:c>
      <x:c r="V48" s="28" t="n">
        <x:f>'Daily Baseline'!X45</x:f>
        <x:v>688</x:v>
      </x:c>
    </x:row>
    <x:row r="49">
      <x:c r="A49" s="30" t="n">
        <x:f>'Daily Baseline'!A46</x:f>
        <x:v>44</x:v>
      </x:c>
      <x:c r="B49" s="11" t="str">
        <x:f>'Daily Baseline'!B46</x:f>
        <x:v>Flowering &amp; Initial Fruit Set</x:v>
      </x:c>
      <x:c r="C49" s="28" t="n">
        <x:f>'Daily Baseline'!C46</x:f>
        <x:v>43.333333333333336</x:v>
      </x:c>
      <x:c r="D49" s="28" t="n">
        <x:f>'Daily Baseline'!D46</x:f>
        <x:v>30.333333333333332</x:v>
      </x:c>
      <x:c r="E49" s="30" t="n">
        <x:f>'Daily Baseline'!F46</x:f>
        <x:v>3</x:v>
      </x:c>
      <x:c r="F49" s="30" t="n">
        <x:f>'Daily Baseline'!H46</x:f>
        <x:v>0</x:v>
      </x:c>
      <x:c r="G49" s="28" t="n">
        <x:f>'Daily Baseline'!I46</x:f>
        <x:v>2.1333333333333333</x:v>
      </x:c>
      <x:c r="H49" s="28" t="n">
        <x:f>'Daily Baseline'!J46</x:f>
        <x:v>8</x:v>
      </x:c>
      <x:c r="I49" s="55" t="n">
        <x:f>'Daily Baseline'!K46</x:f>
        <x:v>9</x:v>
      </x:c>
      <x:c r="J49" s="28" t="n">
        <x:f>'Daily Baseline'!L46</x:f>
        <x:v>10</x:v>
      </x:c>
      <x:c r="K49" s="28" t="n">
        <x:f>'Daily Baseline'!M46</x:f>
        <x:v>60</x:v>
      </x:c>
      <x:c r="L49" s="55" t="n">
        <x:f>'Daily Baseline'!N46</x:f>
        <x:v>65</x:v>
      </x:c>
      <x:c r="M49" s="28" t="n">
        <x:f>'Daily Baseline'!O46</x:f>
        <x:v>70</x:v>
      </x:c>
      <x:c r="N49" s="28" t="n">
        <x:f>'Daily Baseline'!P46</x:f>
        <x:v>70</x:v>
      </x:c>
      <x:c r="O49" s="55" t="n">
        <x:f>'Daily Baseline'!Q46</x:f>
        <x:v>80</x:v>
      </x:c>
      <x:c r="P49" s="28" t="n">
        <x:f>'Daily Baseline'!R46</x:f>
        <x:v>90</x:v>
      </x:c>
      <x:c r="Q49" s="28" t="n">
        <x:f>'Daily Baseline'!S46</x:f>
        <x:v>11</x:v>
      </x:c>
      <x:c r="R49" s="28" t="n">
        <x:f>'Daily Baseline'!T46</x:f>
        <x:v>14</x:v>
      </x:c>
      <x:c r="S49" s="55" t="n">
        <x:f>'Daily Baseline'!U46</x:f>
        <x:v>16</x:v>
      </x:c>
      <x:c r="T49" s="28" t="n">
        <x:f>'Daily Baseline'!V46</x:f>
        <x:v>444</x:v>
      </x:c>
      <x:c r="U49" s="55" t="n">
        <x:f>'Daily Baseline'!W46</x:f>
        <x:v>576</x:v>
      </x:c>
      <x:c r="V49" s="28" t="n">
        <x:f>'Daily Baseline'!X46</x:f>
        <x:v>704</x:v>
      </x:c>
    </x:row>
    <x:row r="50">
      <x:c r="A50" s="30" t="n">
        <x:f>'Daily Baseline'!A47</x:f>
        <x:v>45</x:v>
      </x:c>
      <x:c r="B50" s="11" t="str">
        <x:f>'Daily Baseline'!B47</x:f>
        <x:v>Flowering &amp; Initial Fruit Set</x:v>
      </x:c>
      <x:c r="C50" s="28" t="n">
        <x:f>'Daily Baseline'!C47</x:f>
        <x:v>44.666666666666664</x:v>
      </x:c>
      <x:c r="D50" s="28" t="n">
        <x:f>'Daily Baseline'!D47</x:f>
        <x:v>31.666666666666664</x:v>
      </x:c>
      <x:c r="E50" s="30" t="n">
        <x:f>'Daily Baseline'!F47</x:f>
        <x:v>4</x:v>
      </x:c>
      <x:c r="F50" s="30" t="n">
        <x:f>'Daily Baseline'!H47</x:f>
        <x:v>0</x:v>
      </x:c>
      <x:c r="G50" s="28" t="n">
        <x:f>'Daily Baseline'!I47</x:f>
        <x:v>2.6666666666666665</x:v>
      </x:c>
      <x:c r="H50" s="28" t="n">
        <x:f>'Daily Baseline'!J47</x:f>
        <x:v>8</x:v>
      </x:c>
      <x:c r="I50" s="55" t="n">
        <x:f>'Daily Baseline'!K47</x:f>
        <x:v>9</x:v>
      </x:c>
      <x:c r="J50" s="28" t="n">
        <x:f>'Daily Baseline'!L47</x:f>
        <x:v>10</x:v>
      </x:c>
      <x:c r="K50" s="28" t="n">
        <x:f>'Daily Baseline'!M47</x:f>
        <x:v>60</x:v>
      </x:c>
      <x:c r="L50" s="55" t="n">
        <x:f>'Daily Baseline'!N47</x:f>
        <x:v>65</x:v>
      </x:c>
      <x:c r="M50" s="28" t="n">
        <x:f>'Daily Baseline'!O47</x:f>
        <x:v>70</x:v>
      </x:c>
      <x:c r="N50" s="28" t="n">
        <x:f>'Daily Baseline'!P47</x:f>
        <x:v>70</x:v>
      </x:c>
      <x:c r="O50" s="55" t="n">
        <x:f>'Daily Baseline'!Q47</x:f>
        <x:v>80</x:v>
      </x:c>
      <x:c r="P50" s="28" t="n">
        <x:f>'Daily Baseline'!R47</x:f>
        <x:v>90</x:v>
      </x:c>
      <x:c r="Q50" s="28" t="n">
        <x:f>'Daily Baseline'!S47</x:f>
        <x:v>11</x:v>
      </x:c>
      <x:c r="R50" s="28" t="n">
        <x:f>'Daily Baseline'!T47</x:f>
        <x:v>14</x:v>
      </x:c>
      <x:c r="S50" s="55" t="n">
        <x:f>'Daily Baseline'!U47</x:f>
        <x:v>16</x:v>
      </x:c>
      <x:c r="T50" s="28" t="n">
        <x:f>'Daily Baseline'!V47</x:f>
        <x:v>455</x:v>
      </x:c>
      <x:c r="U50" s="55" t="n">
        <x:f>'Daily Baseline'!W47</x:f>
        <x:v>590</x:v>
      </x:c>
      <x:c r="V50" s="28" t="n">
        <x:f>'Daily Baseline'!X47</x:f>
        <x:v>720</x:v>
      </x:c>
    </x:row>
    <x:row r="51">
      <x:c r="A51" s="30" t="n">
        <x:f>'Daily Baseline'!A48</x:f>
        <x:v>46</x:v>
      </x:c>
      <x:c r="B51" s="11" t="str">
        <x:f>'Daily Baseline'!B48</x:f>
        <x:v>Flowering &amp; Initial Fruit Set</x:v>
      </x:c>
      <x:c r="C51" s="28" t="n">
        <x:f>'Daily Baseline'!C48</x:f>
        <x:v>46</x:v>
      </x:c>
      <x:c r="D51" s="28" t="n">
        <x:f>'Daily Baseline'!D48</x:f>
        <x:v>33</x:v>
      </x:c>
      <x:c r="E51" s="30" t="n">
        <x:f>'Daily Baseline'!F48</x:f>
        <x:v>4</x:v>
      </x:c>
      <x:c r="F51" s="30" t="n">
        <x:f>'Daily Baseline'!H48</x:f>
        <x:v>0</x:v>
      </x:c>
      <x:c r="G51" s="28" t="n">
        <x:f>'Daily Baseline'!I48</x:f>
        <x:v>3.2</x:v>
      </x:c>
      <x:c r="H51" s="28" t="n">
        <x:f>'Daily Baseline'!J48</x:f>
        <x:v>8</x:v>
      </x:c>
      <x:c r="I51" s="55" t="n">
        <x:f>'Daily Baseline'!K48</x:f>
        <x:v>9</x:v>
      </x:c>
      <x:c r="J51" s="28" t="n">
        <x:f>'Daily Baseline'!L48</x:f>
        <x:v>10</x:v>
      </x:c>
      <x:c r="K51" s="28" t="n">
        <x:f>'Daily Baseline'!M48</x:f>
        <x:v>60</x:v>
      </x:c>
      <x:c r="L51" s="55" t="n">
        <x:f>'Daily Baseline'!N48</x:f>
        <x:v>65</x:v>
      </x:c>
      <x:c r="M51" s="28" t="n">
        <x:f>'Daily Baseline'!O48</x:f>
        <x:v>70</x:v>
      </x:c>
      <x:c r="N51" s="28" t="n">
        <x:f>'Daily Baseline'!P48</x:f>
        <x:v>70</x:v>
      </x:c>
      <x:c r="O51" s="55" t="n">
        <x:f>'Daily Baseline'!Q48</x:f>
        <x:v>80</x:v>
      </x:c>
      <x:c r="P51" s="28" t="n">
        <x:f>'Daily Baseline'!R48</x:f>
        <x:v>90</x:v>
      </x:c>
      <x:c r="Q51" s="28" t="n">
        <x:f>'Daily Baseline'!S48</x:f>
        <x:v>11</x:v>
      </x:c>
      <x:c r="R51" s="28" t="n">
        <x:f>'Daily Baseline'!T48</x:f>
        <x:v>14</x:v>
      </x:c>
      <x:c r="S51" s="55" t="n">
        <x:f>'Daily Baseline'!U48</x:f>
        <x:v>16</x:v>
      </x:c>
      <x:c r="T51" s="28" t="n">
        <x:f>'Daily Baseline'!V48</x:f>
        <x:v>466</x:v>
      </x:c>
      <x:c r="U51" s="55" t="n">
        <x:f>'Daily Baseline'!W48</x:f>
        <x:v>604</x:v>
      </x:c>
      <x:c r="V51" s="28" t="n">
        <x:f>'Daily Baseline'!X48</x:f>
        <x:v>736</x:v>
      </x:c>
    </x:row>
    <x:row r="52">
      <x:c r="A52" s="30" t="n">
        <x:f>'Daily Baseline'!A49</x:f>
        <x:v>47</x:v>
      </x:c>
      <x:c r="B52" s="11" t="str">
        <x:f>'Daily Baseline'!B49</x:f>
        <x:v>Flowering &amp; Initial Fruit Set</x:v>
      </x:c>
      <x:c r="C52" s="28" t="n">
        <x:f>'Daily Baseline'!C49</x:f>
        <x:v>47.333333333333336</x:v>
      </x:c>
      <x:c r="D52" s="28" t="n">
        <x:f>'Daily Baseline'!D49</x:f>
        <x:v>34.333333333333336</x:v>
      </x:c>
      <x:c r="E52" s="30" t="n">
        <x:f>'Daily Baseline'!F49</x:f>
        <x:v>4</x:v>
      </x:c>
      <x:c r="F52" s="30" t="n">
        <x:f>'Daily Baseline'!H49</x:f>
        <x:v>0</x:v>
      </x:c>
      <x:c r="G52" s="28" t="n">
        <x:f>'Daily Baseline'!I49</x:f>
        <x:v>3.7333333333333334</x:v>
      </x:c>
      <x:c r="H52" s="28" t="n">
        <x:f>'Daily Baseline'!J49</x:f>
        <x:v>8</x:v>
      </x:c>
      <x:c r="I52" s="55" t="n">
        <x:f>'Daily Baseline'!K49</x:f>
        <x:v>9</x:v>
      </x:c>
      <x:c r="J52" s="28" t="n">
        <x:f>'Daily Baseline'!L49</x:f>
        <x:v>10</x:v>
      </x:c>
      <x:c r="K52" s="28" t="n">
        <x:f>'Daily Baseline'!M49</x:f>
        <x:v>60</x:v>
      </x:c>
      <x:c r="L52" s="55" t="n">
        <x:f>'Daily Baseline'!N49</x:f>
        <x:v>65</x:v>
      </x:c>
      <x:c r="M52" s="28" t="n">
        <x:f>'Daily Baseline'!O49</x:f>
        <x:v>70</x:v>
      </x:c>
      <x:c r="N52" s="28" t="n">
        <x:f>'Daily Baseline'!P49</x:f>
        <x:v>70</x:v>
      </x:c>
      <x:c r="O52" s="55" t="n">
        <x:f>'Daily Baseline'!Q49</x:f>
        <x:v>80</x:v>
      </x:c>
      <x:c r="P52" s="28" t="n">
        <x:f>'Daily Baseline'!R49</x:f>
        <x:v>90</x:v>
      </x:c>
      <x:c r="Q52" s="28" t="n">
        <x:f>'Daily Baseline'!S49</x:f>
        <x:v>11</x:v>
      </x:c>
      <x:c r="R52" s="28" t="n">
        <x:f>'Daily Baseline'!T49</x:f>
        <x:v>14</x:v>
      </x:c>
      <x:c r="S52" s="55" t="n">
        <x:f>'Daily Baseline'!U49</x:f>
        <x:v>16</x:v>
      </x:c>
      <x:c r="T52" s="28" t="n">
        <x:f>'Daily Baseline'!V49</x:f>
        <x:v>477</x:v>
      </x:c>
      <x:c r="U52" s="55" t="n">
        <x:f>'Daily Baseline'!W49</x:f>
        <x:v>618</x:v>
      </x:c>
      <x:c r="V52" s="28" t="n">
        <x:f>'Daily Baseline'!X49</x:f>
        <x:v>752</x:v>
      </x:c>
    </x:row>
    <x:row r="53">
      <x:c r="A53" s="30" t="n">
        <x:f>'Daily Baseline'!A50</x:f>
        <x:v>48</x:v>
      </x:c>
      <x:c r="B53" s="11" t="str">
        <x:f>'Daily Baseline'!B50</x:f>
        <x:v>Flowering &amp; Initial Fruit Set</x:v>
      </x:c>
      <x:c r="C53" s="28" t="n">
        <x:f>'Daily Baseline'!C50</x:f>
        <x:v>48.666666666666664</x:v>
      </x:c>
      <x:c r="D53" s="28" t="n">
        <x:f>'Daily Baseline'!D50</x:f>
        <x:v>35.666666666666664</x:v>
      </x:c>
      <x:c r="E53" s="30" t="n">
        <x:f>'Daily Baseline'!F50</x:f>
        <x:v>5</x:v>
      </x:c>
      <x:c r="F53" s="30" t="n">
        <x:f>'Daily Baseline'!H50</x:f>
        <x:v>1</x:v>
      </x:c>
      <x:c r="G53" s="28" t="n">
        <x:f>'Daily Baseline'!I50</x:f>
        <x:v>4.266666666666667</x:v>
      </x:c>
      <x:c r="H53" s="28" t="n">
        <x:f>'Daily Baseline'!J50</x:f>
        <x:v>8</x:v>
      </x:c>
      <x:c r="I53" s="55" t="n">
        <x:f>'Daily Baseline'!K50</x:f>
        <x:v>9</x:v>
      </x:c>
      <x:c r="J53" s="28" t="n">
        <x:f>'Daily Baseline'!L50</x:f>
        <x:v>10</x:v>
      </x:c>
      <x:c r="K53" s="28" t="n">
        <x:f>'Daily Baseline'!M50</x:f>
        <x:v>60</x:v>
      </x:c>
      <x:c r="L53" s="55" t="n">
        <x:f>'Daily Baseline'!N50</x:f>
        <x:v>65</x:v>
      </x:c>
      <x:c r="M53" s="28" t="n">
        <x:f>'Daily Baseline'!O50</x:f>
        <x:v>70</x:v>
      </x:c>
      <x:c r="N53" s="28" t="n">
        <x:f>'Daily Baseline'!P50</x:f>
        <x:v>70</x:v>
      </x:c>
      <x:c r="O53" s="55" t="n">
        <x:f>'Daily Baseline'!Q50</x:f>
        <x:v>80</x:v>
      </x:c>
      <x:c r="P53" s="28" t="n">
        <x:f>'Daily Baseline'!R50</x:f>
        <x:v>90</x:v>
      </x:c>
      <x:c r="Q53" s="28" t="n">
        <x:f>'Daily Baseline'!S50</x:f>
        <x:v>11</x:v>
      </x:c>
      <x:c r="R53" s="28" t="n">
        <x:f>'Daily Baseline'!T50</x:f>
        <x:v>14</x:v>
      </x:c>
      <x:c r="S53" s="55" t="n">
        <x:f>'Daily Baseline'!U50</x:f>
        <x:v>16</x:v>
      </x:c>
      <x:c r="T53" s="28" t="n">
        <x:f>'Daily Baseline'!V50</x:f>
        <x:v>488</x:v>
      </x:c>
      <x:c r="U53" s="55" t="n">
        <x:f>'Daily Baseline'!W50</x:f>
        <x:v>632</x:v>
      </x:c>
      <x:c r="V53" s="28" t="n">
        <x:f>'Daily Baseline'!X50</x:f>
        <x:v>768</x:v>
      </x:c>
    </x:row>
    <x:row r="54">
      <x:c r="A54" s="30" t="n">
        <x:f>'Daily Baseline'!A51</x:f>
        <x:v>49</x:v>
      </x:c>
      <x:c r="B54" s="11" t="str">
        <x:f>'Daily Baseline'!B51</x:f>
        <x:v>Flowering &amp; Initial Fruit Set</x:v>
      </x:c>
      <x:c r="C54" s="28" t="n">
        <x:f>'Daily Baseline'!C51</x:f>
        <x:v>50</x:v>
      </x:c>
      <x:c r="D54" s="28" t="n">
        <x:f>'Daily Baseline'!D51</x:f>
        <x:v>37</x:v>
      </x:c>
      <x:c r="E54" s="30" t="n">
        <x:f>'Daily Baseline'!F51</x:f>
        <x:v>5</x:v>
      </x:c>
      <x:c r="F54" s="30" t="n">
        <x:f>'Daily Baseline'!H51</x:f>
        <x:v>1</x:v>
      </x:c>
      <x:c r="G54" s="28" t="n">
        <x:f>'Daily Baseline'!I51</x:f>
        <x:v>4.8</x:v>
      </x:c>
      <x:c r="H54" s="28" t="n">
        <x:f>'Daily Baseline'!J51</x:f>
        <x:v>8</x:v>
      </x:c>
      <x:c r="I54" s="55" t="n">
        <x:f>'Daily Baseline'!K51</x:f>
        <x:v>9</x:v>
      </x:c>
      <x:c r="J54" s="28" t="n">
        <x:f>'Daily Baseline'!L51</x:f>
        <x:v>10</x:v>
      </x:c>
      <x:c r="K54" s="28" t="n">
        <x:f>'Daily Baseline'!M51</x:f>
        <x:v>60</x:v>
      </x:c>
      <x:c r="L54" s="55" t="n">
        <x:f>'Daily Baseline'!N51</x:f>
        <x:v>65</x:v>
      </x:c>
      <x:c r="M54" s="28" t="n">
        <x:f>'Daily Baseline'!O51</x:f>
        <x:v>70</x:v>
      </x:c>
      <x:c r="N54" s="28" t="n">
        <x:f>'Daily Baseline'!P51</x:f>
        <x:v>70</x:v>
      </x:c>
      <x:c r="O54" s="55" t="n">
        <x:f>'Daily Baseline'!Q51</x:f>
        <x:v>80</x:v>
      </x:c>
      <x:c r="P54" s="28" t="n">
        <x:f>'Daily Baseline'!R51</x:f>
        <x:v>90</x:v>
      </x:c>
      <x:c r="Q54" s="28" t="n">
        <x:f>'Daily Baseline'!S51</x:f>
        <x:v>11</x:v>
      </x:c>
      <x:c r="R54" s="28" t="n">
        <x:f>'Daily Baseline'!T51</x:f>
        <x:v>14</x:v>
      </x:c>
      <x:c r="S54" s="55" t="n">
        <x:f>'Daily Baseline'!U51</x:f>
        <x:v>16</x:v>
      </x:c>
      <x:c r="T54" s="28" t="n">
        <x:f>'Daily Baseline'!V51</x:f>
        <x:v>499</x:v>
      </x:c>
      <x:c r="U54" s="55" t="n">
        <x:f>'Daily Baseline'!W51</x:f>
        <x:v>646</x:v>
      </x:c>
      <x:c r="V54" s="28" t="n">
        <x:f>'Daily Baseline'!X51</x:f>
        <x:v>784</x:v>
      </x:c>
    </x:row>
    <x:row r="55">
      <x:c r="A55" s="30" t="n">
        <x:f>'Daily Baseline'!A52</x:f>
        <x:v>50</x:v>
      </x:c>
      <x:c r="B55" s="11" t="str">
        <x:f>'Daily Baseline'!B52</x:f>
        <x:v>Flowering &amp; Initial Fruit Set</x:v>
      </x:c>
      <x:c r="C55" s="28" t="n">
        <x:f>'Daily Baseline'!C52</x:f>
        <x:v>51.33333333333333</x:v>
      </x:c>
      <x:c r="D55" s="28" t="n">
        <x:f>'Daily Baseline'!D52</x:f>
        <x:v>38.33333333333333</x:v>
      </x:c>
      <x:c r="E55" s="30" t="n">
        <x:f>'Daily Baseline'!F52</x:f>
        <x:v>5</x:v>
      </x:c>
      <x:c r="F55" s="30" t="n">
        <x:f>'Daily Baseline'!H52</x:f>
        <x:v>1</x:v>
      </x:c>
      <x:c r="G55" s="28" t="n">
        <x:f>'Daily Baseline'!I52</x:f>
        <x:v>5.333333333333333</x:v>
      </x:c>
      <x:c r="H55" s="28" t="n">
        <x:f>'Daily Baseline'!J52</x:f>
        <x:v>8</x:v>
      </x:c>
      <x:c r="I55" s="55" t="n">
        <x:f>'Daily Baseline'!K52</x:f>
        <x:v>9</x:v>
      </x:c>
      <x:c r="J55" s="28" t="n">
        <x:f>'Daily Baseline'!L52</x:f>
        <x:v>10</x:v>
      </x:c>
      <x:c r="K55" s="28" t="n">
        <x:f>'Daily Baseline'!M52</x:f>
        <x:v>60</x:v>
      </x:c>
      <x:c r="L55" s="55" t="n">
        <x:f>'Daily Baseline'!N52</x:f>
        <x:v>65</x:v>
      </x:c>
      <x:c r="M55" s="28" t="n">
        <x:f>'Daily Baseline'!O52</x:f>
        <x:v>70</x:v>
      </x:c>
      <x:c r="N55" s="28" t="n">
        <x:f>'Daily Baseline'!P52</x:f>
        <x:v>70</x:v>
      </x:c>
      <x:c r="O55" s="55" t="n">
        <x:f>'Daily Baseline'!Q52</x:f>
        <x:v>80</x:v>
      </x:c>
      <x:c r="P55" s="28" t="n">
        <x:f>'Daily Baseline'!R52</x:f>
        <x:v>90</x:v>
      </x:c>
      <x:c r="Q55" s="28" t="n">
        <x:f>'Daily Baseline'!S52</x:f>
        <x:v>11</x:v>
      </x:c>
      <x:c r="R55" s="28" t="n">
        <x:f>'Daily Baseline'!T52</x:f>
        <x:v>14</x:v>
      </x:c>
      <x:c r="S55" s="55" t="n">
        <x:f>'Daily Baseline'!U52</x:f>
        <x:v>16</x:v>
      </x:c>
      <x:c r="T55" s="28" t="n">
        <x:f>'Daily Baseline'!V52</x:f>
        <x:v>510</x:v>
      </x:c>
      <x:c r="U55" s="55" t="n">
        <x:f>'Daily Baseline'!W52</x:f>
        <x:v>660</x:v>
      </x:c>
      <x:c r="V55" s="28" t="n">
        <x:f>'Daily Baseline'!X52</x:f>
        <x:v>800</x:v>
      </x:c>
    </x:row>
    <x:row r="56">
      <x:c r="A56" s="30" t="n">
        <x:f>'Daily Baseline'!A53</x:f>
        <x:v>51</x:v>
      </x:c>
      <x:c r="B56" s="11" t="str">
        <x:f>'Daily Baseline'!B53</x:f>
        <x:v>Flowering &amp; Initial Fruit Set</x:v>
      </x:c>
      <x:c r="C56" s="28" t="n">
        <x:f>'Daily Baseline'!C53</x:f>
        <x:v>52.666666666666664</x:v>
      </x:c>
      <x:c r="D56" s="28" t="n">
        <x:f>'Daily Baseline'!D53</x:f>
        <x:v>39.666666666666664</x:v>
      </x:c>
      <x:c r="E56" s="30" t="n">
        <x:f>'Daily Baseline'!F53</x:f>
        <x:v>6</x:v>
      </x:c>
      <x:c r="F56" s="30" t="n">
        <x:f>'Daily Baseline'!H53</x:f>
        <x:v>1</x:v>
      </x:c>
      <x:c r="G56" s="28" t="n">
        <x:f>'Daily Baseline'!I53</x:f>
        <x:v>5.866666666666666</x:v>
      </x:c>
      <x:c r="H56" s="28" t="n">
        <x:f>'Daily Baseline'!J53</x:f>
        <x:v>8</x:v>
      </x:c>
      <x:c r="I56" s="55" t="n">
        <x:f>'Daily Baseline'!K53</x:f>
        <x:v>9</x:v>
      </x:c>
      <x:c r="J56" s="28" t="n">
        <x:f>'Daily Baseline'!L53</x:f>
        <x:v>10</x:v>
      </x:c>
      <x:c r="K56" s="28" t="n">
        <x:f>'Daily Baseline'!M53</x:f>
        <x:v>60</x:v>
      </x:c>
      <x:c r="L56" s="55" t="n">
        <x:f>'Daily Baseline'!N53</x:f>
        <x:v>65</x:v>
      </x:c>
      <x:c r="M56" s="28" t="n">
        <x:f>'Daily Baseline'!O53</x:f>
        <x:v>70</x:v>
      </x:c>
      <x:c r="N56" s="28" t="n">
        <x:f>'Daily Baseline'!P53</x:f>
        <x:v>70</x:v>
      </x:c>
      <x:c r="O56" s="55" t="n">
        <x:f>'Daily Baseline'!Q53</x:f>
        <x:v>80</x:v>
      </x:c>
      <x:c r="P56" s="28" t="n">
        <x:f>'Daily Baseline'!R53</x:f>
        <x:v>90</x:v>
      </x:c>
      <x:c r="Q56" s="28" t="n">
        <x:f>'Daily Baseline'!S53</x:f>
        <x:v>11</x:v>
      </x:c>
      <x:c r="R56" s="28" t="n">
        <x:f>'Daily Baseline'!T53</x:f>
        <x:v>14</x:v>
      </x:c>
      <x:c r="S56" s="55" t="n">
        <x:f>'Daily Baseline'!U53</x:f>
        <x:v>16</x:v>
      </x:c>
      <x:c r="T56" s="28" t="n">
        <x:f>'Daily Baseline'!V53</x:f>
        <x:v>521</x:v>
      </x:c>
      <x:c r="U56" s="55" t="n">
        <x:f>'Daily Baseline'!W53</x:f>
        <x:v>674</x:v>
      </x:c>
      <x:c r="V56" s="28" t="n">
        <x:f>'Daily Baseline'!X53</x:f>
        <x:v>816</x:v>
      </x:c>
    </x:row>
    <x:row r="57">
      <x:c r="A57" s="30" t="n">
        <x:f>'Daily Baseline'!A54</x:f>
        <x:v>52</x:v>
      </x:c>
      <x:c r="B57" s="11" t="str">
        <x:f>'Daily Baseline'!B54</x:f>
        <x:v>Flowering &amp; Initial Fruit Set</x:v>
      </x:c>
      <x:c r="C57" s="28" t="n">
        <x:f>'Daily Baseline'!C54</x:f>
        <x:v>54</x:v>
      </x:c>
      <x:c r="D57" s="28" t="n">
        <x:f>'Daily Baseline'!D54</x:f>
        <x:v>41</x:v>
      </x:c>
      <x:c r="E57" s="30" t="n">
        <x:f>'Daily Baseline'!F54</x:f>
        <x:v>6</x:v>
      </x:c>
      <x:c r="F57" s="30" t="n">
        <x:f>'Daily Baseline'!H54</x:f>
        <x:v>1</x:v>
      </x:c>
      <x:c r="G57" s="28" t="n">
        <x:f>'Daily Baseline'!I54</x:f>
        <x:v>6.4</x:v>
      </x:c>
      <x:c r="H57" s="28" t="n">
        <x:f>'Daily Baseline'!J54</x:f>
        <x:v>8</x:v>
      </x:c>
      <x:c r="I57" s="55" t="n">
        <x:f>'Daily Baseline'!K54</x:f>
        <x:v>9</x:v>
      </x:c>
      <x:c r="J57" s="28" t="n">
        <x:f>'Daily Baseline'!L54</x:f>
        <x:v>10</x:v>
      </x:c>
      <x:c r="K57" s="28" t="n">
        <x:f>'Daily Baseline'!M54</x:f>
        <x:v>60</x:v>
      </x:c>
      <x:c r="L57" s="55" t="n">
        <x:f>'Daily Baseline'!N54</x:f>
        <x:v>65</x:v>
      </x:c>
      <x:c r="M57" s="28" t="n">
        <x:f>'Daily Baseline'!O54</x:f>
        <x:v>70</x:v>
      </x:c>
      <x:c r="N57" s="28" t="n">
        <x:f>'Daily Baseline'!P54</x:f>
        <x:v>70</x:v>
      </x:c>
      <x:c r="O57" s="55" t="n">
        <x:f>'Daily Baseline'!Q54</x:f>
        <x:v>80</x:v>
      </x:c>
      <x:c r="P57" s="28" t="n">
        <x:f>'Daily Baseline'!R54</x:f>
        <x:v>90</x:v>
      </x:c>
      <x:c r="Q57" s="28" t="n">
        <x:f>'Daily Baseline'!S54</x:f>
        <x:v>11</x:v>
      </x:c>
      <x:c r="R57" s="28" t="n">
        <x:f>'Daily Baseline'!T54</x:f>
        <x:v>14</x:v>
      </x:c>
      <x:c r="S57" s="55" t="n">
        <x:f>'Daily Baseline'!U54</x:f>
        <x:v>16</x:v>
      </x:c>
      <x:c r="T57" s="28" t="n">
        <x:f>'Daily Baseline'!V54</x:f>
        <x:v>532</x:v>
      </x:c>
      <x:c r="U57" s="55" t="n">
        <x:f>'Daily Baseline'!W54</x:f>
        <x:v>688</x:v>
      </x:c>
      <x:c r="V57" s="28" t="n">
        <x:f>'Daily Baseline'!X54</x:f>
        <x:v>832</x:v>
      </x:c>
    </x:row>
    <x:row r="58">
      <x:c r="A58" s="30" t="n">
        <x:f>'Daily Baseline'!A55</x:f>
        <x:v>53</x:v>
      </x:c>
      <x:c r="B58" s="11" t="str">
        <x:f>'Daily Baseline'!B55</x:f>
        <x:v>Flowering &amp; Initial Fruit Set</x:v>
      </x:c>
      <x:c r="C58" s="28" t="n">
        <x:f>'Daily Baseline'!C55</x:f>
        <x:v>55.333333333333336</x:v>
      </x:c>
      <x:c r="D58" s="28" t="n">
        <x:f>'Daily Baseline'!D55</x:f>
        <x:v>42.333333333333336</x:v>
      </x:c>
      <x:c r="E58" s="30" t="n">
        <x:f>'Daily Baseline'!F55</x:f>
        <x:v>6</x:v>
      </x:c>
      <x:c r="F58" s="30" t="n">
        <x:f>'Daily Baseline'!H55</x:f>
        <x:v>1</x:v>
      </x:c>
      <x:c r="G58" s="28" t="n">
        <x:f>'Daily Baseline'!I55</x:f>
        <x:v>6.933333333333334</x:v>
      </x:c>
      <x:c r="H58" s="28" t="n">
        <x:f>'Daily Baseline'!J55</x:f>
        <x:v>8</x:v>
      </x:c>
      <x:c r="I58" s="55" t="n">
        <x:f>'Daily Baseline'!K55</x:f>
        <x:v>9</x:v>
      </x:c>
      <x:c r="J58" s="28" t="n">
        <x:f>'Daily Baseline'!L55</x:f>
        <x:v>10</x:v>
      </x:c>
      <x:c r="K58" s="28" t="n">
        <x:f>'Daily Baseline'!M55</x:f>
        <x:v>60</x:v>
      </x:c>
      <x:c r="L58" s="55" t="n">
        <x:f>'Daily Baseline'!N55</x:f>
        <x:v>65</x:v>
      </x:c>
      <x:c r="M58" s="28" t="n">
        <x:f>'Daily Baseline'!O55</x:f>
        <x:v>70</x:v>
      </x:c>
      <x:c r="N58" s="28" t="n">
        <x:f>'Daily Baseline'!P55</x:f>
        <x:v>70</x:v>
      </x:c>
      <x:c r="O58" s="55" t="n">
        <x:f>'Daily Baseline'!Q55</x:f>
        <x:v>80</x:v>
      </x:c>
      <x:c r="P58" s="28" t="n">
        <x:f>'Daily Baseline'!R55</x:f>
        <x:v>90</x:v>
      </x:c>
      <x:c r="Q58" s="28" t="n">
        <x:f>'Daily Baseline'!S55</x:f>
        <x:v>11</x:v>
      </x:c>
      <x:c r="R58" s="28" t="n">
        <x:f>'Daily Baseline'!T55</x:f>
        <x:v>14</x:v>
      </x:c>
      <x:c r="S58" s="55" t="n">
        <x:f>'Daily Baseline'!U55</x:f>
        <x:v>16</x:v>
      </x:c>
      <x:c r="T58" s="28" t="n">
        <x:f>'Daily Baseline'!V55</x:f>
        <x:v>543</x:v>
      </x:c>
      <x:c r="U58" s="55" t="n">
        <x:f>'Daily Baseline'!W55</x:f>
        <x:v>702</x:v>
      </x:c>
      <x:c r="V58" s="28" t="n">
        <x:f>'Daily Baseline'!X55</x:f>
        <x:v>848</x:v>
      </x:c>
    </x:row>
    <x:row r="59">
      <x:c r="A59" s="30" t="n">
        <x:f>'Daily Baseline'!A56</x:f>
        <x:v>54</x:v>
      </x:c>
      <x:c r="B59" s="11" t="str">
        <x:f>'Daily Baseline'!B56</x:f>
        <x:v>Flowering &amp; Initial Fruit Set</x:v>
      </x:c>
      <x:c r="C59" s="28" t="n">
        <x:f>'Daily Baseline'!C56</x:f>
        <x:v>56.66666666666667</x:v>
      </x:c>
      <x:c r="D59" s="28" t="n">
        <x:f>'Daily Baseline'!D56</x:f>
        <x:v>43.66666666666667</x:v>
      </x:c>
      <x:c r="E59" s="30" t="n">
        <x:f>'Daily Baseline'!F56</x:f>
        <x:v>7</x:v>
      </x:c>
      <x:c r="F59" s="30" t="n">
        <x:f>'Daily Baseline'!H56</x:f>
        <x:v>1</x:v>
      </x:c>
      <x:c r="G59" s="28" t="n">
        <x:f>'Daily Baseline'!I56</x:f>
        <x:v>7.466666666666667</x:v>
      </x:c>
      <x:c r="H59" s="28" t="n">
        <x:f>'Daily Baseline'!J56</x:f>
        <x:v>8</x:v>
      </x:c>
      <x:c r="I59" s="55" t="n">
        <x:f>'Daily Baseline'!K56</x:f>
        <x:v>9</x:v>
      </x:c>
      <x:c r="J59" s="28" t="n">
        <x:f>'Daily Baseline'!L56</x:f>
        <x:v>10</x:v>
      </x:c>
      <x:c r="K59" s="28" t="n">
        <x:f>'Daily Baseline'!M56</x:f>
        <x:v>60</x:v>
      </x:c>
      <x:c r="L59" s="55" t="n">
        <x:f>'Daily Baseline'!N56</x:f>
        <x:v>65</x:v>
      </x:c>
      <x:c r="M59" s="28" t="n">
        <x:f>'Daily Baseline'!O56</x:f>
        <x:v>70</x:v>
      </x:c>
      <x:c r="N59" s="28" t="n">
        <x:f>'Daily Baseline'!P56</x:f>
        <x:v>70</x:v>
      </x:c>
      <x:c r="O59" s="55" t="n">
        <x:f>'Daily Baseline'!Q56</x:f>
        <x:v>80</x:v>
      </x:c>
      <x:c r="P59" s="28" t="n">
        <x:f>'Daily Baseline'!R56</x:f>
        <x:v>90</x:v>
      </x:c>
      <x:c r="Q59" s="28" t="n">
        <x:f>'Daily Baseline'!S56</x:f>
        <x:v>11</x:v>
      </x:c>
      <x:c r="R59" s="28" t="n">
        <x:f>'Daily Baseline'!T56</x:f>
        <x:v>14</x:v>
      </x:c>
      <x:c r="S59" s="55" t="n">
        <x:f>'Daily Baseline'!U56</x:f>
        <x:v>16</x:v>
      </x:c>
      <x:c r="T59" s="28" t="n">
        <x:f>'Daily Baseline'!V56</x:f>
        <x:v>554</x:v>
      </x:c>
      <x:c r="U59" s="55" t="n">
        <x:f>'Daily Baseline'!W56</x:f>
        <x:v>716</x:v>
      </x:c>
      <x:c r="V59" s="28" t="n">
        <x:f>'Daily Baseline'!X56</x:f>
        <x:v>864</x:v>
      </x:c>
    </x:row>
    <x:row r="60">
      <x:c r="A60" s="30" t="n">
        <x:f>'Daily Baseline'!A57</x:f>
        <x:v>55</x:v>
      </x:c>
      <x:c r="B60" s="11" t="str">
        <x:f>'Daily Baseline'!B57</x:f>
        <x:v>Flowering &amp; Initial Fruit Set</x:v>
      </x:c>
      <x:c r="C60" s="28" t="n">
        <x:f>'Daily Baseline'!C57</x:f>
        <x:v>58</x:v>
      </x:c>
      <x:c r="D60" s="28" t="n">
        <x:f>'Daily Baseline'!D57</x:f>
        <x:v>45</x:v>
      </x:c>
      <x:c r="E60" s="30" t="n">
        <x:f>'Daily Baseline'!F57</x:f>
        <x:v>7</x:v>
      </x:c>
      <x:c r="F60" s="30" t="n">
        <x:f>'Daily Baseline'!H57</x:f>
        <x:v>1</x:v>
      </x:c>
      <x:c r="G60" s="28" t="n">
        <x:f>'Daily Baseline'!I57</x:f>
        <x:v>8</x:v>
      </x:c>
      <x:c r="H60" s="28" t="n">
        <x:f>'Daily Baseline'!J57</x:f>
        <x:v>8</x:v>
      </x:c>
      <x:c r="I60" s="55" t="n">
        <x:f>'Daily Baseline'!K57</x:f>
        <x:v>9</x:v>
      </x:c>
      <x:c r="J60" s="28" t="n">
        <x:f>'Daily Baseline'!L57</x:f>
        <x:v>10</x:v>
      </x:c>
      <x:c r="K60" s="28" t="n">
        <x:f>'Daily Baseline'!M57</x:f>
        <x:v>60</x:v>
      </x:c>
      <x:c r="L60" s="55" t="n">
        <x:f>'Daily Baseline'!N57</x:f>
        <x:v>65</x:v>
      </x:c>
      <x:c r="M60" s="28" t="n">
        <x:f>'Daily Baseline'!O57</x:f>
        <x:v>70</x:v>
      </x:c>
      <x:c r="N60" s="28" t="n">
        <x:f>'Daily Baseline'!P57</x:f>
        <x:v>70</x:v>
      </x:c>
      <x:c r="O60" s="55" t="n">
        <x:f>'Daily Baseline'!Q57</x:f>
        <x:v>80</x:v>
      </x:c>
      <x:c r="P60" s="28" t="n">
        <x:f>'Daily Baseline'!R57</x:f>
        <x:v>90</x:v>
      </x:c>
      <x:c r="Q60" s="28" t="n">
        <x:f>'Daily Baseline'!S57</x:f>
        <x:v>11</x:v>
      </x:c>
      <x:c r="R60" s="28" t="n">
        <x:f>'Daily Baseline'!T57</x:f>
        <x:v>14</x:v>
      </x:c>
      <x:c r="S60" s="55" t="n">
        <x:f>'Daily Baseline'!U57</x:f>
        <x:v>16</x:v>
      </x:c>
      <x:c r="T60" s="28" t="n">
        <x:f>'Daily Baseline'!V57</x:f>
        <x:v>565</x:v>
      </x:c>
      <x:c r="U60" s="55" t="n">
        <x:f>'Daily Baseline'!W57</x:f>
        <x:v>730</x:v>
      </x:c>
      <x:c r="V60" s="28" t="n">
        <x:f>'Daily Baseline'!X57</x:f>
        <x:v>880</x:v>
      </x:c>
    </x:row>
    <x:row r="61">
      <x:c r="A61" s="30" t="n">
        <x:f>'Daily Baseline'!A58</x:f>
        <x:v>56</x:v>
      </x:c>
      <x:c r="B61" s="11" t="str">
        <x:f>'Daily Baseline'!B58</x:f>
        <x:v>Fruit Enlargement</x:v>
      </x:c>
      <x:c r="C61" s="28" t="n">
        <x:f>'Daily Baseline'!C58</x:f>
        <x:v>58.93333333333333</x:v>
      </x:c>
      <x:c r="D61" s="28" t="n">
        <x:f>'Daily Baseline'!D58</x:f>
        <x:v>46.333333333333336</x:v>
      </x:c>
      <x:c r="E61" s="30" t="n">
        <x:f>'Daily Baseline'!F58</x:f>
        <x:v>7</x:v>
      </x:c>
      <x:c r="F61" s="30" t="n">
        <x:f>'Daily Baseline'!H58</x:f>
        <x:v>1</x:v>
      </x:c>
      <x:c r="G61" s="28" t="n">
        <x:f>'Daily Baseline'!I58</x:f>
        <x:v>9.133333333333333</x:v>
      </x:c>
      <x:c r="H61" s="28" t="n">
        <x:f>'Daily Baseline'!J58</x:f>
        <x:v>8</x:v>
      </x:c>
      <x:c r="I61" s="55" t="n">
        <x:f>'Daily Baseline'!K58</x:f>
        <x:v>9</x:v>
      </x:c>
      <x:c r="J61" s="28" t="n">
        <x:f>'Daily Baseline'!L58</x:f>
        <x:v>10</x:v>
      </x:c>
      <x:c r="K61" s="28" t="n">
        <x:f>'Daily Baseline'!M58</x:f>
        <x:v>60</x:v>
      </x:c>
      <x:c r="L61" s="55" t="n">
        <x:f>'Daily Baseline'!N58</x:f>
        <x:v>65</x:v>
      </x:c>
      <x:c r="M61" s="28" t="n">
        <x:f>'Daily Baseline'!O58</x:f>
        <x:v>70</x:v>
      </x:c>
      <x:c r="N61" s="28" t="n">
        <x:f>'Daily Baseline'!P58</x:f>
        <x:v>70</x:v>
      </x:c>
      <x:c r="O61" s="55" t="n">
        <x:f>'Daily Baseline'!Q58</x:f>
        <x:v>80</x:v>
      </x:c>
      <x:c r="P61" s="28" t="n">
        <x:f>'Daily Baseline'!R58</x:f>
        <x:v>90</x:v>
      </x:c>
      <x:c r="Q61" s="28" t="n">
        <x:f>'Daily Baseline'!S58</x:f>
        <x:v>12</x:v>
      </x:c>
      <x:c r="R61" s="28" t="n">
        <x:f>'Daily Baseline'!T58</x:f>
        <x:v>15</x:v>
      </x:c>
      <x:c r="S61" s="55" t="n">
        <x:f>'Daily Baseline'!U58</x:f>
        <x:v>18</x:v>
      </x:c>
      <x:c r="T61" s="28" t="n">
        <x:f>'Daily Baseline'!V58</x:f>
        <x:v>577</x:v>
      </x:c>
      <x:c r="U61" s="55" t="n">
        <x:f>'Daily Baseline'!W58</x:f>
        <x:v>745</x:v>
      </x:c>
      <x:c r="V61" s="28" t="n">
        <x:f>'Daily Baseline'!X58</x:f>
        <x:v>898</x:v>
      </x:c>
    </x:row>
    <x:row r="62">
      <x:c r="A62" s="30" t="n">
        <x:f>'Daily Baseline'!A59</x:f>
        <x:v>57</x:v>
      </x:c>
      <x:c r="B62" s="11" t="str">
        <x:f>'Daily Baseline'!B59</x:f>
        <x:v>Fruit Enlargement</x:v>
      </x:c>
      <x:c r="C62" s="28" t="n">
        <x:f>'Daily Baseline'!C59</x:f>
        <x:v>59.86666666666667</x:v>
      </x:c>
      <x:c r="D62" s="28" t="n">
        <x:f>'Daily Baseline'!D59</x:f>
        <x:v>47.666666666666664</x:v>
      </x:c>
      <x:c r="E62" s="30" t="n">
        <x:f>'Daily Baseline'!F59</x:f>
        <x:v>8</x:v>
      </x:c>
      <x:c r="F62" s="30" t="n">
        <x:f>'Daily Baseline'!H59</x:f>
        <x:v>2</x:v>
      </x:c>
      <x:c r="G62" s="28" t="n">
        <x:f>'Daily Baseline'!I59</x:f>
        <x:v>10.266666666666666</x:v>
      </x:c>
      <x:c r="H62" s="28" t="n">
        <x:f>'Daily Baseline'!J59</x:f>
        <x:v>8</x:v>
      </x:c>
      <x:c r="I62" s="55" t="n">
        <x:f>'Daily Baseline'!K59</x:f>
        <x:v>9</x:v>
      </x:c>
      <x:c r="J62" s="28" t="n">
        <x:f>'Daily Baseline'!L59</x:f>
        <x:v>10</x:v>
      </x:c>
      <x:c r="K62" s="28" t="n">
        <x:f>'Daily Baseline'!M59</x:f>
        <x:v>60</x:v>
      </x:c>
      <x:c r="L62" s="55" t="n">
        <x:f>'Daily Baseline'!N59</x:f>
        <x:v>65</x:v>
      </x:c>
      <x:c r="M62" s="28" t="n">
        <x:f>'Daily Baseline'!O59</x:f>
        <x:v>70</x:v>
      </x:c>
      <x:c r="N62" s="28" t="n">
        <x:f>'Daily Baseline'!P59</x:f>
        <x:v>70</x:v>
      </x:c>
      <x:c r="O62" s="55" t="n">
        <x:f>'Daily Baseline'!Q59</x:f>
        <x:v>80</x:v>
      </x:c>
      <x:c r="P62" s="28" t="n">
        <x:f>'Daily Baseline'!R59</x:f>
        <x:v>90</x:v>
      </x:c>
      <x:c r="Q62" s="28" t="n">
        <x:f>'Daily Baseline'!S59</x:f>
        <x:v>12</x:v>
      </x:c>
      <x:c r="R62" s="28" t="n">
        <x:f>'Daily Baseline'!T59</x:f>
        <x:v>15</x:v>
      </x:c>
      <x:c r="S62" s="55" t="n">
        <x:f>'Daily Baseline'!U59</x:f>
        <x:v>18</x:v>
      </x:c>
      <x:c r="T62" s="28" t="n">
        <x:f>'Daily Baseline'!V59</x:f>
        <x:v>589</x:v>
      </x:c>
      <x:c r="U62" s="55" t="n">
        <x:f>'Daily Baseline'!W59</x:f>
        <x:v>760</x:v>
      </x:c>
      <x:c r="V62" s="28" t="n">
        <x:f>'Daily Baseline'!X59</x:f>
        <x:v>916</x:v>
      </x:c>
    </x:row>
    <x:row r="63">
      <x:c r="A63" s="30" t="n">
        <x:f>'Daily Baseline'!A60</x:f>
        <x:v>58</x:v>
      </x:c>
      <x:c r="B63" s="11" t="str">
        <x:f>'Daily Baseline'!B60</x:f>
        <x:v>Fruit Enlargement</x:v>
      </x:c>
      <x:c r="C63" s="28" t="n">
        <x:f>'Daily Baseline'!C60</x:f>
        <x:v>60.8</x:v>
      </x:c>
      <x:c r="D63" s="28" t="n">
        <x:f>'Daily Baseline'!D60</x:f>
        <x:v>49</x:v>
      </x:c>
      <x:c r="E63" s="30" t="n">
        <x:f>'Daily Baseline'!F60</x:f>
        <x:v>8</x:v>
      </x:c>
      <x:c r="F63" s="30" t="n">
        <x:f>'Daily Baseline'!H60</x:f>
        <x:v>2</x:v>
      </x:c>
      <x:c r="G63" s="28" t="n">
        <x:f>'Daily Baseline'!I60</x:f>
        <x:v>11.4</x:v>
      </x:c>
      <x:c r="H63" s="28" t="n">
        <x:f>'Daily Baseline'!J60</x:f>
        <x:v>8</x:v>
      </x:c>
      <x:c r="I63" s="55" t="n">
        <x:f>'Daily Baseline'!K60</x:f>
        <x:v>9</x:v>
      </x:c>
      <x:c r="J63" s="28" t="n">
        <x:f>'Daily Baseline'!L60</x:f>
        <x:v>10</x:v>
      </x:c>
      <x:c r="K63" s="28" t="n">
        <x:f>'Daily Baseline'!M60</x:f>
        <x:v>60</x:v>
      </x:c>
      <x:c r="L63" s="55" t="n">
        <x:f>'Daily Baseline'!N60</x:f>
        <x:v>65</x:v>
      </x:c>
      <x:c r="M63" s="28" t="n">
        <x:f>'Daily Baseline'!O60</x:f>
        <x:v>70</x:v>
      </x:c>
      <x:c r="N63" s="28" t="n">
        <x:f>'Daily Baseline'!P60</x:f>
        <x:v>70</x:v>
      </x:c>
      <x:c r="O63" s="55" t="n">
        <x:f>'Daily Baseline'!Q60</x:f>
        <x:v>80</x:v>
      </x:c>
      <x:c r="P63" s="28" t="n">
        <x:f>'Daily Baseline'!R60</x:f>
        <x:v>90</x:v>
      </x:c>
      <x:c r="Q63" s="28" t="n">
        <x:f>'Daily Baseline'!S60</x:f>
        <x:v>12</x:v>
      </x:c>
      <x:c r="R63" s="28" t="n">
        <x:f>'Daily Baseline'!T60</x:f>
        <x:v>15</x:v>
      </x:c>
      <x:c r="S63" s="55" t="n">
        <x:f>'Daily Baseline'!U60</x:f>
        <x:v>18</x:v>
      </x:c>
      <x:c r="T63" s="28" t="n">
        <x:f>'Daily Baseline'!V60</x:f>
        <x:v>601</x:v>
      </x:c>
      <x:c r="U63" s="55" t="n">
        <x:f>'Daily Baseline'!W60</x:f>
        <x:v>775</x:v>
      </x:c>
      <x:c r="V63" s="28" t="n">
        <x:f>'Daily Baseline'!X60</x:f>
        <x:v>934</x:v>
      </x:c>
    </x:row>
    <x:row r="64">
      <x:c r="A64" s="30" t="n">
        <x:f>'Daily Baseline'!A61</x:f>
        <x:v>59</x:v>
      </x:c>
      <x:c r="B64" s="11" t="str">
        <x:f>'Daily Baseline'!B61</x:f>
        <x:v>Fruit Enlargement</x:v>
      </x:c>
      <x:c r="C64" s="28" t="n">
        <x:f>'Daily Baseline'!C61</x:f>
        <x:v>61.733333333333334</x:v>
      </x:c>
      <x:c r="D64" s="28" t="n">
        <x:f>'Daily Baseline'!D61</x:f>
        <x:v>50.333333333333336</x:v>
      </x:c>
      <x:c r="E64" s="30" t="n">
        <x:f>'Daily Baseline'!F61</x:f>
        <x:v>8</x:v>
      </x:c>
      <x:c r="F64" s="30" t="n">
        <x:f>'Daily Baseline'!H61</x:f>
        <x:v>2</x:v>
      </x:c>
      <x:c r="G64" s="28" t="n">
        <x:f>'Daily Baseline'!I61</x:f>
        <x:v>12.533333333333333</x:v>
      </x:c>
      <x:c r="H64" s="28" t="n">
        <x:f>'Daily Baseline'!J61</x:f>
        <x:v>8</x:v>
      </x:c>
      <x:c r="I64" s="55" t="n">
        <x:f>'Daily Baseline'!K61</x:f>
        <x:v>9</x:v>
      </x:c>
      <x:c r="J64" s="28" t="n">
        <x:f>'Daily Baseline'!L61</x:f>
        <x:v>10</x:v>
      </x:c>
      <x:c r="K64" s="28" t="n">
        <x:f>'Daily Baseline'!M61</x:f>
        <x:v>60</x:v>
      </x:c>
      <x:c r="L64" s="55" t="n">
        <x:f>'Daily Baseline'!N61</x:f>
        <x:v>65</x:v>
      </x:c>
      <x:c r="M64" s="28" t="n">
        <x:f>'Daily Baseline'!O61</x:f>
        <x:v>70</x:v>
      </x:c>
      <x:c r="N64" s="28" t="n">
        <x:f>'Daily Baseline'!P61</x:f>
        <x:v>70</x:v>
      </x:c>
      <x:c r="O64" s="55" t="n">
        <x:f>'Daily Baseline'!Q61</x:f>
        <x:v>80</x:v>
      </x:c>
      <x:c r="P64" s="28" t="n">
        <x:f>'Daily Baseline'!R61</x:f>
        <x:v>90</x:v>
      </x:c>
      <x:c r="Q64" s="28" t="n">
        <x:f>'Daily Baseline'!S61</x:f>
        <x:v>12</x:v>
      </x:c>
      <x:c r="R64" s="28" t="n">
        <x:f>'Daily Baseline'!T61</x:f>
        <x:v>15</x:v>
      </x:c>
      <x:c r="S64" s="55" t="n">
        <x:f>'Daily Baseline'!U61</x:f>
        <x:v>18</x:v>
      </x:c>
      <x:c r="T64" s="28" t="n">
        <x:f>'Daily Baseline'!V61</x:f>
        <x:v>613</x:v>
      </x:c>
      <x:c r="U64" s="55" t="n">
        <x:f>'Daily Baseline'!W61</x:f>
        <x:v>790</x:v>
      </x:c>
      <x:c r="V64" s="28" t="n">
        <x:f>'Daily Baseline'!X61</x:f>
        <x:v>952</x:v>
      </x:c>
    </x:row>
    <x:row r="65">
      <x:c r="A65" s="30" t="n">
        <x:f>'Daily Baseline'!A62</x:f>
        <x:v>60</x:v>
      </x:c>
      <x:c r="B65" s="11" t="str">
        <x:f>'Daily Baseline'!B62</x:f>
        <x:v>Fruit Enlargement</x:v>
      </x:c>
      <x:c r="C65" s="28" t="n">
        <x:f>'Daily Baseline'!C62</x:f>
        <x:v>62.666666666666664</x:v>
      </x:c>
      <x:c r="D65" s="28" t="n">
        <x:f>'Daily Baseline'!D62</x:f>
        <x:v>51.666666666666664</x:v>
      </x:c>
      <x:c r="E65" s="30" t="n">
        <x:f>'Daily Baseline'!F62</x:f>
        <x:v>9</x:v>
      </x:c>
      <x:c r="F65" s="30" t="n">
        <x:f>'Daily Baseline'!H62</x:f>
        <x:v>2</x:v>
      </x:c>
      <x:c r="G65" s="28" t="n">
        <x:f>'Daily Baseline'!I62</x:f>
        <x:v>13.666666666666666</x:v>
      </x:c>
      <x:c r="H65" s="28" t="n">
        <x:f>'Daily Baseline'!J62</x:f>
        <x:v>8</x:v>
      </x:c>
      <x:c r="I65" s="55" t="n">
        <x:f>'Daily Baseline'!K62</x:f>
        <x:v>9</x:v>
      </x:c>
      <x:c r="J65" s="28" t="n">
        <x:f>'Daily Baseline'!L62</x:f>
        <x:v>10</x:v>
      </x:c>
      <x:c r="K65" s="28" t="n">
        <x:f>'Daily Baseline'!M62</x:f>
        <x:v>60</x:v>
      </x:c>
      <x:c r="L65" s="55" t="n">
        <x:f>'Daily Baseline'!N62</x:f>
        <x:v>65</x:v>
      </x:c>
      <x:c r="M65" s="28" t="n">
        <x:f>'Daily Baseline'!O62</x:f>
        <x:v>70</x:v>
      </x:c>
      <x:c r="N65" s="28" t="n">
        <x:f>'Daily Baseline'!P62</x:f>
        <x:v>70</x:v>
      </x:c>
      <x:c r="O65" s="55" t="n">
        <x:f>'Daily Baseline'!Q62</x:f>
        <x:v>80</x:v>
      </x:c>
      <x:c r="P65" s="28" t="n">
        <x:f>'Daily Baseline'!R62</x:f>
        <x:v>90</x:v>
      </x:c>
      <x:c r="Q65" s="28" t="n">
        <x:f>'Daily Baseline'!S62</x:f>
        <x:v>12</x:v>
      </x:c>
      <x:c r="R65" s="28" t="n">
        <x:f>'Daily Baseline'!T62</x:f>
        <x:v>15</x:v>
      </x:c>
      <x:c r="S65" s="55" t="n">
        <x:f>'Daily Baseline'!U62</x:f>
        <x:v>18</x:v>
      </x:c>
      <x:c r="T65" s="28" t="n">
        <x:f>'Daily Baseline'!V62</x:f>
        <x:v>625</x:v>
      </x:c>
      <x:c r="U65" s="55" t="n">
        <x:f>'Daily Baseline'!W62</x:f>
        <x:v>805</x:v>
      </x:c>
      <x:c r="V65" s="28" t="n">
        <x:f>'Daily Baseline'!X62</x:f>
        <x:v>970</x:v>
      </x:c>
    </x:row>
    <x:row r="66">
      <x:c r="A66" s="30" t="n">
        <x:f>'Daily Baseline'!A63</x:f>
        <x:v>61</x:v>
      </x:c>
      <x:c r="B66" s="11" t="str">
        <x:f>'Daily Baseline'!B63</x:f>
        <x:v>Fruit Enlargement</x:v>
      </x:c>
      <x:c r="C66" s="28" t="n">
        <x:f>'Daily Baseline'!C63</x:f>
        <x:v>63.6</x:v>
      </x:c>
      <x:c r="D66" s="28" t="n">
        <x:f>'Daily Baseline'!D63</x:f>
        <x:v>53</x:v>
      </x:c>
      <x:c r="E66" s="30" t="n">
        <x:f>'Daily Baseline'!F63</x:f>
        <x:v>9</x:v>
      </x:c>
      <x:c r="F66" s="30" t="n">
        <x:f>'Daily Baseline'!H63</x:f>
        <x:v>3</x:v>
      </x:c>
      <x:c r="G66" s="28" t="n">
        <x:f>'Daily Baseline'!I63</x:f>
        <x:v>14.8</x:v>
      </x:c>
      <x:c r="H66" s="28" t="n">
        <x:f>'Daily Baseline'!J63</x:f>
        <x:v>8</x:v>
      </x:c>
      <x:c r="I66" s="55" t="n">
        <x:f>'Daily Baseline'!K63</x:f>
        <x:v>9</x:v>
      </x:c>
      <x:c r="J66" s="28" t="n">
        <x:f>'Daily Baseline'!L63</x:f>
        <x:v>10</x:v>
      </x:c>
      <x:c r="K66" s="28" t="n">
        <x:f>'Daily Baseline'!M63</x:f>
        <x:v>60</x:v>
      </x:c>
      <x:c r="L66" s="55" t="n">
        <x:f>'Daily Baseline'!N63</x:f>
        <x:v>65</x:v>
      </x:c>
      <x:c r="M66" s="28" t="n">
        <x:f>'Daily Baseline'!O63</x:f>
        <x:v>70</x:v>
      </x:c>
      <x:c r="N66" s="28" t="n">
        <x:f>'Daily Baseline'!P63</x:f>
        <x:v>70</x:v>
      </x:c>
      <x:c r="O66" s="55" t="n">
        <x:f>'Daily Baseline'!Q63</x:f>
        <x:v>80</x:v>
      </x:c>
      <x:c r="P66" s="28" t="n">
        <x:f>'Daily Baseline'!R63</x:f>
        <x:v>90</x:v>
      </x:c>
      <x:c r="Q66" s="28" t="n">
        <x:f>'Daily Baseline'!S63</x:f>
        <x:v>12</x:v>
      </x:c>
      <x:c r="R66" s="28" t="n">
        <x:f>'Daily Baseline'!T63</x:f>
        <x:v>15</x:v>
      </x:c>
      <x:c r="S66" s="55" t="n">
        <x:f>'Daily Baseline'!U63</x:f>
        <x:v>18</x:v>
      </x:c>
      <x:c r="T66" s="28" t="n">
        <x:f>'Daily Baseline'!V63</x:f>
        <x:v>637</x:v>
      </x:c>
      <x:c r="U66" s="55" t="n">
        <x:f>'Daily Baseline'!W63</x:f>
        <x:v>820</x:v>
      </x:c>
      <x:c r="V66" s="28" t="n">
        <x:f>'Daily Baseline'!X63</x:f>
        <x:v>988</x:v>
      </x:c>
    </x:row>
    <x:row r="67">
      <x:c r="A67" s="30" t="n">
        <x:f>'Daily Baseline'!A64</x:f>
        <x:v>62</x:v>
      </x:c>
      <x:c r="B67" s="11" t="str">
        <x:f>'Daily Baseline'!B64</x:f>
        <x:v>Fruit Enlargement</x:v>
      </x:c>
      <x:c r="C67" s="28" t="n">
        <x:f>'Daily Baseline'!C64</x:f>
        <x:v>64.53333333333333</x:v>
      </x:c>
      <x:c r="D67" s="28" t="n">
        <x:f>'Daily Baseline'!D64</x:f>
        <x:v>54.333333333333336</x:v>
      </x:c>
      <x:c r="E67" s="30" t="n">
        <x:f>'Daily Baseline'!F64</x:f>
        <x:v>9</x:v>
      </x:c>
      <x:c r="F67" s="30" t="n">
        <x:f>'Daily Baseline'!H64</x:f>
        <x:v>3</x:v>
      </x:c>
      <x:c r="G67" s="28" t="n">
        <x:f>'Daily Baseline'!I64</x:f>
        <x:v>15.933333333333334</x:v>
      </x:c>
      <x:c r="H67" s="28" t="n">
        <x:f>'Daily Baseline'!J64</x:f>
        <x:v>8</x:v>
      </x:c>
      <x:c r="I67" s="55" t="n">
        <x:f>'Daily Baseline'!K64</x:f>
        <x:v>9</x:v>
      </x:c>
      <x:c r="J67" s="28" t="n">
        <x:f>'Daily Baseline'!L64</x:f>
        <x:v>10</x:v>
      </x:c>
      <x:c r="K67" s="28" t="n">
        <x:f>'Daily Baseline'!M64</x:f>
        <x:v>60</x:v>
      </x:c>
      <x:c r="L67" s="55" t="n">
        <x:f>'Daily Baseline'!N64</x:f>
        <x:v>65</x:v>
      </x:c>
      <x:c r="M67" s="28" t="n">
        <x:f>'Daily Baseline'!O64</x:f>
        <x:v>70</x:v>
      </x:c>
      <x:c r="N67" s="28" t="n">
        <x:f>'Daily Baseline'!P64</x:f>
        <x:v>70</x:v>
      </x:c>
      <x:c r="O67" s="55" t="n">
        <x:f>'Daily Baseline'!Q64</x:f>
        <x:v>80</x:v>
      </x:c>
      <x:c r="P67" s="28" t="n">
        <x:f>'Daily Baseline'!R64</x:f>
        <x:v>90</x:v>
      </x:c>
      <x:c r="Q67" s="28" t="n">
        <x:f>'Daily Baseline'!S64</x:f>
        <x:v>12</x:v>
      </x:c>
      <x:c r="R67" s="28" t="n">
        <x:f>'Daily Baseline'!T64</x:f>
        <x:v>15</x:v>
      </x:c>
      <x:c r="S67" s="55" t="n">
        <x:f>'Daily Baseline'!U64</x:f>
        <x:v>18</x:v>
      </x:c>
      <x:c r="T67" s="28" t="n">
        <x:f>'Daily Baseline'!V64</x:f>
        <x:v>649</x:v>
      </x:c>
      <x:c r="U67" s="55" t="n">
        <x:f>'Daily Baseline'!W64</x:f>
        <x:v>835</x:v>
      </x:c>
      <x:c r="V67" s="28" t="n">
        <x:f>'Daily Baseline'!X64</x:f>
        <x:v>1006</x:v>
      </x:c>
    </x:row>
    <x:row r="68">
      <x:c r="A68" s="30" t="n">
        <x:f>'Daily Baseline'!A65</x:f>
        <x:v>63</x:v>
      </x:c>
      <x:c r="B68" s="11" t="str">
        <x:f>'Daily Baseline'!B65</x:f>
        <x:v>Fruit Enlargement</x:v>
      </x:c>
      <x:c r="C68" s="28" t="n">
        <x:f>'Daily Baseline'!C65</x:f>
        <x:v>65.46666666666667</x:v>
      </x:c>
      <x:c r="D68" s="28" t="n">
        <x:f>'Daily Baseline'!D65</x:f>
        <x:v>55.666666666666664</x:v>
      </x:c>
      <x:c r="E68" s="30" t="n">
        <x:f>'Daily Baseline'!F65</x:f>
        <x:v>10</x:v>
      </x:c>
      <x:c r="F68" s="30" t="n">
        <x:f>'Daily Baseline'!H65</x:f>
        <x:v>3</x:v>
      </x:c>
      <x:c r="G68" s="28" t="n">
        <x:f>'Daily Baseline'!I65</x:f>
        <x:v>17.066666666666666</x:v>
      </x:c>
      <x:c r="H68" s="28" t="n">
        <x:f>'Daily Baseline'!J65</x:f>
        <x:v>8</x:v>
      </x:c>
      <x:c r="I68" s="55" t="n">
        <x:f>'Daily Baseline'!K65</x:f>
        <x:v>9</x:v>
      </x:c>
      <x:c r="J68" s="28" t="n">
        <x:f>'Daily Baseline'!L65</x:f>
        <x:v>10</x:v>
      </x:c>
      <x:c r="K68" s="28" t="n">
        <x:f>'Daily Baseline'!M65</x:f>
        <x:v>60</x:v>
      </x:c>
      <x:c r="L68" s="55" t="n">
        <x:f>'Daily Baseline'!N65</x:f>
        <x:v>65</x:v>
      </x:c>
      <x:c r="M68" s="28" t="n">
        <x:f>'Daily Baseline'!O65</x:f>
        <x:v>70</x:v>
      </x:c>
      <x:c r="N68" s="28" t="n">
        <x:f>'Daily Baseline'!P65</x:f>
        <x:v>70</x:v>
      </x:c>
      <x:c r="O68" s="55" t="n">
        <x:f>'Daily Baseline'!Q65</x:f>
        <x:v>80</x:v>
      </x:c>
      <x:c r="P68" s="28" t="n">
        <x:f>'Daily Baseline'!R65</x:f>
        <x:v>90</x:v>
      </x:c>
      <x:c r="Q68" s="28" t="n">
        <x:f>'Daily Baseline'!S65</x:f>
        <x:v>12</x:v>
      </x:c>
      <x:c r="R68" s="28" t="n">
        <x:f>'Daily Baseline'!T65</x:f>
        <x:v>15</x:v>
      </x:c>
      <x:c r="S68" s="55" t="n">
        <x:f>'Daily Baseline'!U65</x:f>
        <x:v>18</x:v>
      </x:c>
      <x:c r="T68" s="28" t="n">
        <x:f>'Daily Baseline'!V65</x:f>
        <x:v>661</x:v>
      </x:c>
      <x:c r="U68" s="55" t="n">
        <x:f>'Daily Baseline'!W65</x:f>
        <x:v>850</x:v>
      </x:c>
      <x:c r="V68" s="28" t="n">
        <x:f>'Daily Baseline'!X65</x:f>
        <x:v>1024</x:v>
      </x:c>
    </x:row>
    <x:row r="69">
      <x:c r="A69" s="30" t="n">
        <x:f>'Daily Baseline'!A66</x:f>
        <x:v>64</x:v>
      </x:c>
      <x:c r="B69" s="11" t="str">
        <x:f>'Daily Baseline'!B66</x:f>
        <x:v>Fruit Enlargement</x:v>
      </x:c>
      <x:c r="C69" s="28" t="n">
        <x:f>'Daily Baseline'!C66</x:f>
        <x:v>66.4</x:v>
      </x:c>
      <x:c r="D69" s="28" t="n">
        <x:f>'Daily Baseline'!D66</x:f>
        <x:v>57</x:v>
      </x:c>
      <x:c r="E69" s="30" t="n">
        <x:f>'Daily Baseline'!F66</x:f>
        <x:v>10</x:v>
      </x:c>
      <x:c r="F69" s="30" t="n">
        <x:f>'Daily Baseline'!H66</x:f>
        <x:v>3</x:v>
      </x:c>
      <x:c r="G69" s="28" t="n">
        <x:f>'Daily Baseline'!I66</x:f>
        <x:v>18.2</x:v>
      </x:c>
      <x:c r="H69" s="28" t="n">
        <x:f>'Daily Baseline'!J66</x:f>
        <x:v>8</x:v>
      </x:c>
      <x:c r="I69" s="55" t="n">
        <x:f>'Daily Baseline'!K66</x:f>
        <x:v>9</x:v>
      </x:c>
      <x:c r="J69" s="28" t="n">
        <x:f>'Daily Baseline'!L66</x:f>
        <x:v>10</x:v>
      </x:c>
      <x:c r="K69" s="28" t="n">
        <x:f>'Daily Baseline'!M66</x:f>
        <x:v>60</x:v>
      </x:c>
      <x:c r="L69" s="55" t="n">
        <x:f>'Daily Baseline'!N66</x:f>
        <x:v>65</x:v>
      </x:c>
      <x:c r="M69" s="28" t="n">
        <x:f>'Daily Baseline'!O66</x:f>
        <x:v>70</x:v>
      </x:c>
      <x:c r="N69" s="28" t="n">
        <x:f>'Daily Baseline'!P66</x:f>
        <x:v>70</x:v>
      </x:c>
      <x:c r="O69" s="55" t="n">
        <x:f>'Daily Baseline'!Q66</x:f>
        <x:v>80</x:v>
      </x:c>
      <x:c r="P69" s="28" t="n">
        <x:f>'Daily Baseline'!R66</x:f>
        <x:v>90</x:v>
      </x:c>
      <x:c r="Q69" s="28" t="n">
        <x:f>'Daily Baseline'!S66</x:f>
        <x:v>12</x:v>
      </x:c>
      <x:c r="R69" s="28" t="n">
        <x:f>'Daily Baseline'!T66</x:f>
        <x:v>15</x:v>
      </x:c>
      <x:c r="S69" s="55" t="n">
        <x:f>'Daily Baseline'!U66</x:f>
        <x:v>18</x:v>
      </x:c>
      <x:c r="T69" s="28" t="n">
        <x:f>'Daily Baseline'!V66</x:f>
        <x:v>673</x:v>
      </x:c>
      <x:c r="U69" s="55" t="n">
        <x:f>'Daily Baseline'!W66</x:f>
        <x:v>865</x:v>
      </x:c>
      <x:c r="V69" s="28" t="n">
        <x:f>'Daily Baseline'!X66</x:f>
        <x:v>1042</x:v>
      </x:c>
    </x:row>
    <x:row r="70">
      <x:c r="A70" s="30" t="n">
        <x:f>'Daily Baseline'!A67</x:f>
        <x:v>65</x:v>
      </x:c>
      <x:c r="B70" s="11" t="str">
        <x:f>'Daily Baseline'!B67</x:f>
        <x:v>Fruit Enlargement</x:v>
      </x:c>
      <x:c r="C70" s="28" t="n">
        <x:f>'Daily Baseline'!C67</x:f>
        <x:v>67.33333333333333</x:v>
      </x:c>
      <x:c r="D70" s="28" t="n">
        <x:f>'Daily Baseline'!D67</x:f>
        <x:v>58.33333333333333</x:v>
      </x:c>
      <x:c r="E70" s="30" t="n">
        <x:f>'Daily Baseline'!F67</x:f>
        <x:v>10</x:v>
      </x:c>
      <x:c r="F70" s="30" t="n">
        <x:f>'Daily Baseline'!H67</x:f>
        <x:v>4</x:v>
      </x:c>
      <x:c r="G70" s="28" t="n">
        <x:f>'Daily Baseline'!I67</x:f>
        <x:v>19.333333333333332</x:v>
      </x:c>
      <x:c r="H70" s="28" t="n">
        <x:f>'Daily Baseline'!J67</x:f>
        <x:v>8</x:v>
      </x:c>
      <x:c r="I70" s="55" t="n">
        <x:f>'Daily Baseline'!K67</x:f>
        <x:v>9</x:v>
      </x:c>
      <x:c r="J70" s="28" t="n">
        <x:f>'Daily Baseline'!L67</x:f>
        <x:v>10</x:v>
      </x:c>
      <x:c r="K70" s="28" t="n">
        <x:f>'Daily Baseline'!M67</x:f>
        <x:v>60</x:v>
      </x:c>
      <x:c r="L70" s="55" t="n">
        <x:f>'Daily Baseline'!N67</x:f>
        <x:v>65</x:v>
      </x:c>
      <x:c r="M70" s="28" t="n">
        <x:f>'Daily Baseline'!O67</x:f>
        <x:v>70</x:v>
      </x:c>
      <x:c r="N70" s="28" t="n">
        <x:f>'Daily Baseline'!P67</x:f>
        <x:v>70</x:v>
      </x:c>
      <x:c r="O70" s="55" t="n">
        <x:f>'Daily Baseline'!Q67</x:f>
        <x:v>80</x:v>
      </x:c>
      <x:c r="P70" s="28" t="n">
        <x:f>'Daily Baseline'!R67</x:f>
        <x:v>90</x:v>
      </x:c>
      <x:c r="Q70" s="28" t="n">
        <x:f>'Daily Baseline'!S67</x:f>
        <x:v>12</x:v>
      </x:c>
      <x:c r="R70" s="28" t="n">
        <x:f>'Daily Baseline'!T67</x:f>
        <x:v>15</x:v>
      </x:c>
      <x:c r="S70" s="55" t="n">
        <x:f>'Daily Baseline'!U67</x:f>
        <x:v>18</x:v>
      </x:c>
      <x:c r="T70" s="28" t="n">
        <x:f>'Daily Baseline'!V67</x:f>
        <x:v>685</x:v>
      </x:c>
      <x:c r="U70" s="55" t="n">
        <x:f>'Daily Baseline'!W67</x:f>
        <x:v>880</x:v>
      </x:c>
      <x:c r="V70" s="28" t="n">
        <x:f>'Daily Baseline'!X67</x:f>
        <x:v>1060</x:v>
      </x:c>
    </x:row>
    <x:row r="71">
      <x:c r="A71" s="30" t="n">
        <x:f>'Daily Baseline'!A68</x:f>
        <x:v>66</x:v>
      </x:c>
      <x:c r="B71" s="11" t="str">
        <x:f>'Daily Baseline'!B68</x:f>
        <x:v>Fruit Enlargement</x:v>
      </x:c>
      <x:c r="C71" s="28" t="n">
        <x:f>'Daily Baseline'!C68</x:f>
        <x:v>68.26666666666667</x:v>
      </x:c>
      <x:c r="D71" s="28" t="n">
        <x:f>'Daily Baseline'!D68</x:f>
        <x:v>59.666666666666664</x:v>
      </x:c>
      <x:c r="E71" s="30" t="n">
        <x:f>'Daily Baseline'!F68</x:f>
        <x:v>11</x:v>
      </x:c>
      <x:c r="F71" s="30" t="n">
        <x:f>'Daily Baseline'!H68</x:f>
        <x:v>4</x:v>
      </x:c>
      <x:c r="G71" s="28" t="n">
        <x:f>'Daily Baseline'!I68</x:f>
        <x:v>20.466666666666665</x:v>
      </x:c>
      <x:c r="H71" s="28" t="n">
        <x:f>'Daily Baseline'!J68</x:f>
        <x:v>8</x:v>
      </x:c>
      <x:c r="I71" s="55" t="n">
        <x:f>'Daily Baseline'!K68</x:f>
        <x:v>9</x:v>
      </x:c>
      <x:c r="J71" s="28" t="n">
        <x:f>'Daily Baseline'!L68</x:f>
        <x:v>10</x:v>
      </x:c>
      <x:c r="K71" s="28" t="n">
        <x:f>'Daily Baseline'!M68</x:f>
        <x:v>60</x:v>
      </x:c>
      <x:c r="L71" s="55" t="n">
        <x:f>'Daily Baseline'!N68</x:f>
        <x:v>65</x:v>
      </x:c>
      <x:c r="M71" s="28" t="n">
        <x:f>'Daily Baseline'!O68</x:f>
        <x:v>70</x:v>
      </x:c>
      <x:c r="N71" s="28" t="n">
        <x:f>'Daily Baseline'!P68</x:f>
        <x:v>70</x:v>
      </x:c>
      <x:c r="O71" s="55" t="n">
        <x:f>'Daily Baseline'!Q68</x:f>
        <x:v>80</x:v>
      </x:c>
      <x:c r="P71" s="28" t="n">
        <x:f>'Daily Baseline'!R68</x:f>
        <x:v>90</x:v>
      </x:c>
      <x:c r="Q71" s="28" t="n">
        <x:f>'Daily Baseline'!S68</x:f>
        <x:v>12</x:v>
      </x:c>
      <x:c r="R71" s="28" t="n">
        <x:f>'Daily Baseline'!T68</x:f>
        <x:v>15</x:v>
      </x:c>
      <x:c r="S71" s="55" t="n">
        <x:f>'Daily Baseline'!U68</x:f>
        <x:v>18</x:v>
      </x:c>
      <x:c r="T71" s="28" t="n">
        <x:f>'Daily Baseline'!V68</x:f>
        <x:v>697</x:v>
      </x:c>
      <x:c r="U71" s="55" t="n">
        <x:f>'Daily Baseline'!W68</x:f>
        <x:v>895</x:v>
      </x:c>
      <x:c r="V71" s="28" t="n">
        <x:f>'Daily Baseline'!X68</x:f>
        <x:v>1078</x:v>
      </x:c>
    </x:row>
    <x:row r="72">
      <x:c r="A72" s="30" t="n">
        <x:f>'Daily Baseline'!A69</x:f>
        <x:v>67</x:v>
      </x:c>
      <x:c r="B72" s="11" t="str">
        <x:f>'Daily Baseline'!B69</x:f>
        <x:v>Fruit Enlargement</x:v>
      </x:c>
      <x:c r="C72" s="28" t="n">
        <x:f>'Daily Baseline'!C69</x:f>
        <x:v>69.2</x:v>
      </x:c>
      <x:c r="D72" s="28" t="n">
        <x:f>'Daily Baseline'!D69</x:f>
        <x:v>61</x:v>
      </x:c>
      <x:c r="E72" s="30" t="n">
        <x:f>'Daily Baseline'!F69</x:f>
        <x:v>11</x:v>
      </x:c>
      <x:c r="F72" s="30" t="n">
        <x:f>'Daily Baseline'!H69</x:f>
        <x:v>4</x:v>
      </x:c>
      <x:c r="G72" s="28" t="n">
        <x:f>'Daily Baseline'!I69</x:f>
        <x:v>21.6</x:v>
      </x:c>
      <x:c r="H72" s="28" t="n">
        <x:f>'Daily Baseline'!J69</x:f>
        <x:v>8</x:v>
      </x:c>
      <x:c r="I72" s="55" t="n">
        <x:f>'Daily Baseline'!K69</x:f>
        <x:v>9</x:v>
      </x:c>
      <x:c r="J72" s="28" t="n">
        <x:f>'Daily Baseline'!L69</x:f>
        <x:v>10</x:v>
      </x:c>
      <x:c r="K72" s="28" t="n">
        <x:f>'Daily Baseline'!M69</x:f>
        <x:v>60</x:v>
      </x:c>
      <x:c r="L72" s="55" t="n">
        <x:f>'Daily Baseline'!N69</x:f>
        <x:v>65</x:v>
      </x:c>
      <x:c r="M72" s="28" t="n">
        <x:f>'Daily Baseline'!O69</x:f>
        <x:v>70</x:v>
      </x:c>
      <x:c r="N72" s="28" t="n">
        <x:f>'Daily Baseline'!P69</x:f>
        <x:v>70</x:v>
      </x:c>
      <x:c r="O72" s="55" t="n">
        <x:f>'Daily Baseline'!Q69</x:f>
        <x:v>80</x:v>
      </x:c>
      <x:c r="P72" s="28" t="n">
        <x:f>'Daily Baseline'!R69</x:f>
        <x:v>90</x:v>
      </x:c>
      <x:c r="Q72" s="28" t="n">
        <x:f>'Daily Baseline'!S69</x:f>
        <x:v>12</x:v>
      </x:c>
      <x:c r="R72" s="28" t="n">
        <x:f>'Daily Baseline'!T69</x:f>
        <x:v>15</x:v>
      </x:c>
      <x:c r="S72" s="55" t="n">
        <x:f>'Daily Baseline'!U69</x:f>
        <x:v>18</x:v>
      </x:c>
      <x:c r="T72" s="28" t="n">
        <x:f>'Daily Baseline'!V69</x:f>
        <x:v>709</x:v>
      </x:c>
      <x:c r="U72" s="55" t="n">
        <x:f>'Daily Baseline'!W69</x:f>
        <x:v>910</x:v>
      </x:c>
      <x:c r="V72" s="28" t="n">
        <x:f>'Daily Baseline'!X69</x:f>
        <x:v>1096</x:v>
      </x:c>
    </x:row>
    <x:row r="73">
      <x:c r="A73" s="30" t="n">
        <x:f>'Daily Baseline'!A70</x:f>
        <x:v>68</x:v>
      </x:c>
      <x:c r="B73" s="11" t="str">
        <x:f>'Daily Baseline'!B70</x:f>
        <x:v>Fruit Enlargement</x:v>
      </x:c>
      <x:c r="C73" s="28" t="n">
        <x:f>'Daily Baseline'!C70</x:f>
        <x:v>70.13333333333333</x:v>
      </x:c>
      <x:c r="D73" s="28" t="n">
        <x:f>'Daily Baseline'!D70</x:f>
        <x:v>62.333333333333336</x:v>
      </x:c>
      <x:c r="E73" s="30" t="n">
        <x:f>'Daily Baseline'!F70</x:f>
        <x:v>11</x:v>
      </x:c>
      <x:c r="F73" s="30" t="n">
        <x:f>'Daily Baseline'!H70</x:f>
        <x:v>4</x:v>
      </x:c>
      <x:c r="G73" s="28" t="n">
        <x:f>'Daily Baseline'!I70</x:f>
        <x:v>22.733333333333334</x:v>
      </x:c>
      <x:c r="H73" s="28" t="n">
        <x:f>'Daily Baseline'!J70</x:f>
        <x:v>8</x:v>
      </x:c>
      <x:c r="I73" s="55" t="n">
        <x:f>'Daily Baseline'!K70</x:f>
        <x:v>9</x:v>
      </x:c>
      <x:c r="J73" s="28" t="n">
        <x:f>'Daily Baseline'!L70</x:f>
        <x:v>10</x:v>
      </x:c>
      <x:c r="K73" s="28" t="n">
        <x:f>'Daily Baseline'!M70</x:f>
        <x:v>60</x:v>
      </x:c>
      <x:c r="L73" s="55" t="n">
        <x:f>'Daily Baseline'!N70</x:f>
        <x:v>65</x:v>
      </x:c>
      <x:c r="M73" s="28" t="n">
        <x:f>'Daily Baseline'!O70</x:f>
        <x:v>70</x:v>
      </x:c>
      <x:c r="N73" s="28" t="n">
        <x:f>'Daily Baseline'!P70</x:f>
        <x:v>70</x:v>
      </x:c>
      <x:c r="O73" s="55" t="n">
        <x:f>'Daily Baseline'!Q70</x:f>
        <x:v>80</x:v>
      </x:c>
      <x:c r="P73" s="28" t="n">
        <x:f>'Daily Baseline'!R70</x:f>
        <x:v>90</x:v>
      </x:c>
      <x:c r="Q73" s="28" t="n">
        <x:f>'Daily Baseline'!S70</x:f>
        <x:v>12</x:v>
      </x:c>
      <x:c r="R73" s="28" t="n">
        <x:f>'Daily Baseline'!T70</x:f>
        <x:v>15</x:v>
      </x:c>
      <x:c r="S73" s="55" t="n">
        <x:f>'Daily Baseline'!U70</x:f>
        <x:v>18</x:v>
      </x:c>
      <x:c r="T73" s="28" t="n">
        <x:f>'Daily Baseline'!V70</x:f>
        <x:v>721</x:v>
      </x:c>
      <x:c r="U73" s="55" t="n">
        <x:f>'Daily Baseline'!W70</x:f>
        <x:v>925</x:v>
      </x:c>
      <x:c r="V73" s="28" t="n">
        <x:f>'Daily Baseline'!X70</x:f>
        <x:v>1114</x:v>
      </x:c>
    </x:row>
    <x:row r="74">
      <x:c r="A74" s="30" t="n">
        <x:f>'Daily Baseline'!A71</x:f>
        <x:v>69</x:v>
      </x:c>
      <x:c r="B74" s="11" t="str">
        <x:f>'Daily Baseline'!B71</x:f>
        <x:v>Fruit Enlargement</x:v>
      </x:c>
      <x:c r="C74" s="28" t="n">
        <x:f>'Daily Baseline'!C71</x:f>
        <x:v>71.06666666666666</x:v>
      </x:c>
      <x:c r="D74" s="28" t="n">
        <x:f>'Daily Baseline'!D71</x:f>
        <x:v>63.66666666666667</x:v>
      </x:c>
      <x:c r="E74" s="30" t="n">
        <x:f>'Daily Baseline'!F71</x:f>
        <x:v>12</x:v>
      </x:c>
      <x:c r="F74" s="30" t="n">
        <x:f>'Daily Baseline'!H71</x:f>
        <x:v>5</x:v>
      </x:c>
      <x:c r="G74" s="28" t="n">
        <x:f>'Daily Baseline'!I71</x:f>
        <x:v>23.866666666666667</x:v>
      </x:c>
      <x:c r="H74" s="28" t="n">
        <x:f>'Daily Baseline'!J71</x:f>
        <x:v>8</x:v>
      </x:c>
      <x:c r="I74" s="55" t="n">
        <x:f>'Daily Baseline'!K71</x:f>
        <x:v>9</x:v>
      </x:c>
      <x:c r="J74" s="28" t="n">
        <x:f>'Daily Baseline'!L71</x:f>
        <x:v>10</x:v>
      </x:c>
      <x:c r="K74" s="28" t="n">
        <x:f>'Daily Baseline'!M71</x:f>
        <x:v>60</x:v>
      </x:c>
      <x:c r="L74" s="55" t="n">
        <x:f>'Daily Baseline'!N71</x:f>
        <x:v>65</x:v>
      </x:c>
      <x:c r="M74" s="28" t="n">
        <x:f>'Daily Baseline'!O71</x:f>
        <x:v>70</x:v>
      </x:c>
      <x:c r="N74" s="28" t="n">
        <x:f>'Daily Baseline'!P71</x:f>
        <x:v>70</x:v>
      </x:c>
      <x:c r="O74" s="55" t="n">
        <x:f>'Daily Baseline'!Q71</x:f>
        <x:v>80</x:v>
      </x:c>
      <x:c r="P74" s="28" t="n">
        <x:f>'Daily Baseline'!R71</x:f>
        <x:v>90</x:v>
      </x:c>
      <x:c r="Q74" s="28" t="n">
        <x:f>'Daily Baseline'!S71</x:f>
        <x:v>12</x:v>
      </x:c>
      <x:c r="R74" s="28" t="n">
        <x:f>'Daily Baseline'!T71</x:f>
        <x:v>15</x:v>
      </x:c>
      <x:c r="S74" s="55" t="n">
        <x:f>'Daily Baseline'!U71</x:f>
        <x:v>18</x:v>
      </x:c>
      <x:c r="T74" s="28" t="n">
        <x:f>'Daily Baseline'!V71</x:f>
        <x:v>733</x:v>
      </x:c>
      <x:c r="U74" s="55" t="n">
        <x:f>'Daily Baseline'!W71</x:f>
        <x:v>940</x:v>
      </x:c>
      <x:c r="V74" s="28" t="n">
        <x:f>'Daily Baseline'!X71</x:f>
        <x:v>1132</x:v>
      </x:c>
    </x:row>
    <x:row r="75">
      <x:c r="A75" s="30" t="n">
        <x:f>'Daily Baseline'!A72</x:f>
        <x:v>70</x:v>
      </x:c>
      <x:c r="B75" s="11" t="str">
        <x:f>'Daily Baseline'!B72</x:f>
        <x:v>Fruit Enlargement</x:v>
      </x:c>
      <x:c r="C75" s="28" t="n">
        <x:f>'Daily Baseline'!C72</x:f>
        <x:v>72</x:v>
      </x:c>
      <x:c r="D75" s="28" t="n">
        <x:f>'Daily Baseline'!D72</x:f>
        <x:v>65</x:v>
      </x:c>
      <x:c r="E75" s="30" t="n">
        <x:f>'Daily Baseline'!F72</x:f>
        <x:v>12</x:v>
      </x:c>
      <x:c r="F75" s="30" t="n">
        <x:f>'Daily Baseline'!H72</x:f>
        <x:v>5</x:v>
      </x:c>
      <x:c r="G75" s="28" t="n">
        <x:f>'Daily Baseline'!I72</x:f>
        <x:v>25</x:v>
      </x:c>
      <x:c r="H75" s="28" t="n">
        <x:f>'Daily Baseline'!J72</x:f>
        <x:v>8</x:v>
      </x:c>
      <x:c r="I75" s="55" t="n">
        <x:f>'Daily Baseline'!K72</x:f>
        <x:v>9</x:v>
      </x:c>
      <x:c r="J75" s="28" t="n">
        <x:f>'Daily Baseline'!L72</x:f>
        <x:v>10</x:v>
      </x:c>
      <x:c r="K75" s="28" t="n">
        <x:f>'Daily Baseline'!M72</x:f>
        <x:v>60</x:v>
      </x:c>
      <x:c r="L75" s="55" t="n">
        <x:f>'Daily Baseline'!N72</x:f>
        <x:v>65</x:v>
      </x:c>
      <x:c r="M75" s="28" t="n">
        <x:f>'Daily Baseline'!O72</x:f>
        <x:v>70</x:v>
      </x:c>
      <x:c r="N75" s="28" t="n">
        <x:f>'Daily Baseline'!P72</x:f>
        <x:v>70</x:v>
      </x:c>
      <x:c r="O75" s="55" t="n">
        <x:f>'Daily Baseline'!Q72</x:f>
        <x:v>80</x:v>
      </x:c>
      <x:c r="P75" s="28" t="n">
        <x:f>'Daily Baseline'!R72</x:f>
        <x:v>90</x:v>
      </x:c>
      <x:c r="Q75" s="28" t="n">
        <x:f>'Daily Baseline'!S72</x:f>
        <x:v>12</x:v>
      </x:c>
      <x:c r="R75" s="28" t="n">
        <x:f>'Daily Baseline'!T72</x:f>
        <x:v>15</x:v>
      </x:c>
      <x:c r="S75" s="55" t="n">
        <x:f>'Daily Baseline'!U72</x:f>
        <x:v>18</x:v>
      </x:c>
      <x:c r="T75" s="28" t="n">
        <x:f>'Daily Baseline'!V72</x:f>
        <x:v>745</x:v>
      </x:c>
      <x:c r="U75" s="55" t="n">
        <x:f>'Daily Baseline'!W72</x:f>
        <x:v>955</x:v>
      </x:c>
      <x:c r="V75" s="28" t="n">
        <x:f>'Daily Baseline'!X72</x:f>
        <x:v>1150</x:v>
      </x:c>
    </x:row>
    <x:row r="76">
      <x:c r="A76" s="30" t="n">
        <x:f>'Daily Baseline'!A73</x:f>
        <x:v>71</x:v>
      </x:c>
      <x:c r="B76" s="11" t="str">
        <x:f>'Daily Baseline'!B73</x:f>
        <x:v>Fruit Enlargement</x:v>
      </x:c>
      <x:c r="C76" s="28" t="n">
        <x:f>'Daily Baseline'!C73</x:f>
        <x:v>72.5</x:v>
      </x:c>
      <x:c r="D76" s="28" t="n">
        <x:f>'Daily Baseline'!D73</x:f>
        <x:v>66</x:v>
      </x:c>
      <x:c r="E76" s="30" t="n">
        <x:f>'Daily Baseline'!F73</x:f>
        <x:v>12</x:v>
      </x:c>
      <x:c r="F76" s="30" t="n">
        <x:f>'Daily Baseline'!H73</x:f>
        <x:v>5</x:v>
      </x:c>
      <x:c r="G76" s="28" t="n">
        <x:f>'Daily Baseline'!I73</x:f>
        <x:v>26.25</x:v>
      </x:c>
      <x:c r="H76" s="28" t="n">
        <x:f>'Daily Baseline'!J73</x:f>
        <x:v>8</x:v>
      </x:c>
      <x:c r="I76" s="55" t="n">
        <x:f>'Daily Baseline'!K73</x:f>
        <x:v>9</x:v>
      </x:c>
      <x:c r="J76" s="28" t="n">
        <x:f>'Daily Baseline'!L73</x:f>
        <x:v>10</x:v>
      </x:c>
      <x:c r="K76" s="28" t="n">
        <x:f>'Daily Baseline'!M73</x:f>
        <x:v>60</x:v>
      </x:c>
      <x:c r="L76" s="55" t="n">
        <x:f>'Daily Baseline'!N73</x:f>
        <x:v>65</x:v>
      </x:c>
      <x:c r="M76" s="28" t="n">
        <x:f>'Daily Baseline'!O73</x:f>
        <x:v>70</x:v>
      </x:c>
      <x:c r="N76" s="28" t="n">
        <x:f>'Daily Baseline'!P73</x:f>
        <x:v>70</x:v>
      </x:c>
      <x:c r="O76" s="55" t="n">
        <x:f>'Daily Baseline'!Q73</x:f>
        <x:v>80</x:v>
      </x:c>
      <x:c r="P76" s="28" t="n">
        <x:f>'Daily Baseline'!R73</x:f>
        <x:v>90</x:v>
      </x:c>
      <x:c r="Q76" s="28" t="n">
        <x:f>'Daily Baseline'!S73</x:f>
        <x:v>12</x:v>
      </x:c>
      <x:c r="R76" s="28" t="n">
        <x:f>'Daily Baseline'!T73</x:f>
        <x:v>15</x:v>
      </x:c>
      <x:c r="S76" s="55" t="n">
        <x:f>'Daily Baseline'!U73</x:f>
        <x:v>18</x:v>
      </x:c>
      <x:c r="T76" s="28" t="n">
        <x:f>'Daily Baseline'!V73</x:f>
        <x:v>757</x:v>
      </x:c>
      <x:c r="U76" s="55" t="n">
        <x:f>'Daily Baseline'!W73</x:f>
        <x:v>970</x:v>
      </x:c>
      <x:c r="V76" s="28" t="n">
        <x:f>'Daily Baseline'!X73</x:f>
        <x:v>1168</x:v>
      </x:c>
    </x:row>
    <x:row r="77">
      <x:c r="A77" s="30" t="n">
        <x:f>'Daily Baseline'!A74</x:f>
        <x:v>72</x:v>
      </x:c>
      <x:c r="B77" s="11" t="str">
        <x:f>'Daily Baseline'!B74</x:f>
        <x:v>Fruit Enlargement</x:v>
      </x:c>
      <x:c r="C77" s="28" t="n">
        <x:f>'Daily Baseline'!C74</x:f>
        <x:v>73</x:v>
      </x:c>
      <x:c r="D77" s="28" t="n">
        <x:f>'Daily Baseline'!D74</x:f>
        <x:v>67</x:v>
      </x:c>
      <x:c r="E77" s="30" t="n">
        <x:f>'Daily Baseline'!F74</x:f>
        <x:v>12</x:v>
      </x:c>
      <x:c r="F77" s="30" t="n">
        <x:f>'Daily Baseline'!H74</x:f>
        <x:v>6</x:v>
      </x:c>
      <x:c r="G77" s="28" t="n">
        <x:f>'Daily Baseline'!I74</x:f>
        <x:v>27.5</x:v>
      </x:c>
      <x:c r="H77" s="28" t="n">
        <x:f>'Daily Baseline'!J74</x:f>
        <x:v>8</x:v>
      </x:c>
      <x:c r="I77" s="55" t="n">
        <x:f>'Daily Baseline'!K74</x:f>
        <x:v>9</x:v>
      </x:c>
      <x:c r="J77" s="28" t="n">
        <x:f>'Daily Baseline'!L74</x:f>
        <x:v>10</x:v>
      </x:c>
      <x:c r="K77" s="28" t="n">
        <x:f>'Daily Baseline'!M74</x:f>
        <x:v>60</x:v>
      </x:c>
      <x:c r="L77" s="55" t="n">
        <x:f>'Daily Baseline'!N74</x:f>
        <x:v>65</x:v>
      </x:c>
      <x:c r="M77" s="28" t="n">
        <x:f>'Daily Baseline'!O74</x:f>
        <x:v>70</x:v>
      </x:c>
      <x:c r="N77" s="28" t="n">
        <x:f>'Daily Baseline'!P74</x:f>
        <x:v>70</x:v>
      </x:c>
      <x:c r="O77" s="55" t="n">
        <x:f>'Daily Baseline'!Q74</x:f>
        <x:v>80</x:v>
      </x:c>
      <x:c r="P77" s="28" t="n">
        <x:f>'Daily Baseline'!R74</x:f>
        <x:v>90</x:v>
      </x:c>
      <x:c r="Q77" s="28" t="n">
        <x:f>'Daily Baseline'!S74</x:f>
        <x:v>12</x:v>
      </x:c>
      <x:c r="R77" s="28" t="n">
        <x:f>'Daily Baseline'!T74</x:f>
        <x:v>15</x:v>
      </x:c>
      <x:c r="S77" s="55" t="n">
        <x:f>'Daily Baseline'!U74</x:f>
        <x:v>18</x:v>
      </x:c>
      <x:c r="T77" s="28" t="n">
        <x:f>'Daily Baseline'!V74</x:f>
        <x:v>769</x:v>
      </x:c>
      <x:c r="U77" s="55" t="n">
        <x:f>'Daily Baseline'!W74</x:f>
        <x:v>985</x:v>
      </x:c>
      <x:c r="V77" s="28" t="n">
        <x:f>'Daily Baseline'!X74</x:f>
        <x:v>1186</x:v>
      </x:c>
    </x:row>
    <x:row r="78">
      <x:c r="A78" s="30" t="n">
        <x:f>'Daily Baseline'!A75</x:f>
        <x:v>73</x:v>
      </x:c>
      <x:c r="B78" s="11" t="str">
        <x:f>'Daily Baseline'!B75</x:f>
        <x:v>Fruit Enlargement</x:v>
      </x:c>
      <x:c r="C78" s="28" t="n">
        <x:f>'Daily Baseline'!C75</x:f>
        <x:v>73.5</x:v>
      </x:c>
      <x:c r="D78" s="28" t="n">
        <x:f>'Daily Baseline'!D75</x:f>
        <x:v>68</x:v>
      </x:c>
      <x:c r="E78" s="30" t="n">
        <x:f>'Daily Baseline'!F75</x:f>
        <x:v>11</x:v>
      </x:c>
      <x:c r="F78" s="30" t="n">
        <x:f>'Daily Baseline'!H75</x:f>
        <x:v>6</x:v>
      </x:c>
      <x:c r="G78" s="28" t="n">
        <x:f>'Daily Baseline'!I75</x:f>
        <x:v>28.75</x:v>
      </x:c>
      <x:c r="H78" s="28" t="n">
        <x:f>'Daily Baseline'!J75</x:f>
        <x:v>8</x:v>
      </x:c>
      <x:c r="I78" s="55" t="n">
        <x:f>'Daily Baseline'!K75</x:f>
        <x:v>9</x:v>
      </x:c>
      <x:c r="J78" s="28" t="n">
        <x:f>'Daily Baseline'!L75</x:f>
        <x:v>10</x:v>
      </x:c>
      <x:c r="K78" s="28" t="n">
        <x:f>'Daily Baseline'!M75</x:f>
        <x:v>60</x:v>
      </x:c>
      <x:c r="L78" s="55" t="n">
        <x:f>'Daily Baseline'!N75</x:f>
        <x:v>65</x:v>
      </x:c>
      <x:c r="M78" s="28" t="n">
        <x:f>'Daily Baseline'!O75</x:f>
        <x:v>70</x:v>
      </x:c>
      <x:c r="N78" s="28" t="n">
        <x:f>'Daily Baseline'!P75</x:f>
        <x:v>70</x:v>
      </x:c>
      <x:c r="O78" s="55" t="n">
        <x:f>'Daily Baseline'!Q75</x:f>
        <x:v>80</x:v>
      </x:c>
      <x:c r="P78" s="28" t="n">
        <x:f>'Daily Baseline'!R75</x:f>
        <x:v>90</x:v>
      </x:c>
      <x:c r="Q78" s="28" t="n">
        <x:f>'Daily Baseline'!S75</x:f>
        <x:v>12</x:v>
      </x:c>
      <x:c r="R78" s="28" t="n">
        <x:f>'Daily Baseline'!T75</x:f>
        <x:v>15</x:v>
      </x:c>
      <x:c r="S78" s="55" t="n">
        <x:f>'Daily Baseline'!U75</x:f>
        <x:v>18</x:v>
      </x:c>
      <x:c r="T78" s="28" t="n">
        <x:f>'Daily Baseline'!V75</x:f>
        <x:v>781</x:v>
      </x:c>
      <x:c r="U78" s="55" t="n">
        <x:f>'Daily Baseline'!W75</x:f>
        <x:v>1000</x:v>
      </x:c>
      <x:c r="V78" s="28" t="n">
        <x:f>'Daily Baseline'!X75</x:f>
        <x:v>1204</x:v>
      </x:c>
    </x:row>
    <x:row r="79">
      <x:c r="A79" s="30" t="n">
        <x:f>'Daily Baseline'!A76</x:f>
        <x:v>74</x:v>
      </x:c>
      <x:c r="B79" s="11" t="str">
        <x:f>'Daily Baseline'!B76</x:f>
        <x:v>Fruit Enlargement</x:v>
      </x:c>
      <x:c r="C79" s="28" t="n">
        <x:f>'Daily Baseline'!C76</x:f>
        <x:v>74</x:v>
      </x:c>
      <x:c r="D79" s="28" t="n">
        <x:f>'Daily Baseline'!D76</x:f>
        <x:v>69</x:v>
      </x:c>
      <x:c r="E79" s="30" t="n">
        <x:f>'Daily Baseline'!F76</x:f>
        <x:v>11</x:v>
      </x:c>
      <x:c r="F79" s="30" t="n">
        <x:f>'Daily Baseline'!H76</x:f>
        <x:v>6</x:v>
      </x:c>
      <x:c r="G79" s="28" t="n">
        <x:f>'Daily Baseline'!I76</x:f>
        <x:v>30</x:v>
      </x:c>
      <x:c r="H79" s="28" t="n">
        <x:f>'Daily Baseline'!J76</x:f>
        <x:v>8</x:v>
      </x:c>
      <x:c r="I79" s="55" t="n">
        <x:f>'Daily Baseline'!K76</x:f>
        <x:v>9</x:v>
      </x:c>
      <x:c r="J79" s="28" t="n">
        <x:f>'Daily Baseline'!L76</x:f>
        <x:v>10</x:v>
      </x:c>
      <x:c r="K79" s="28" t="n">
        <x:f>'Daily Baseline'!M76</x:f>
        <x:v>60</x:v>
      </x:c>
      <x:c r="L79" s="55" t="n">
        <x:f>'Daily Baseline'!N76</x:f>
        <x:v>65</x:v>
      </x:c>
      <x:c r="M79" s="28" t="n">
        <x:f>'Daily Baseline'!O76</x:f>
        <x:v>70</x:v>
      </x:c>
      <x:c r="N79" s="28" t="n">
        <x:f>'Daily Baseline'!P76</x:f>
        <x:v>70</x:v>
      </x:c>
      <x:c r="O79" s="55" t="n">
        <x:f>'Daily Baseline'!Q76</x:f>
        <x:v>80</x:v>
      </x:c>
      <x:c r="P79" s="28" t="n">
        <x:f>'Daily Baseline'!R76</x:f>
        <x:v>90</x:v>
      </x:c>
      <x:c r="Q79" s="28" t="n">
        <x:f>'Daily Baseline'!S76</x:f>
        <x:v>12</x:v>
      </x:c>
      <x:c r="R79" s="28" t="n">
        <x:f>'Daily Baseline'!T76</x:f>
        <x:v>15</x:v>
      </x:c>
      <x:c r="S79" s="55" t="n">
        <x:f>'Daily Baseline'!U76</x:f>
        <x:v>18</x:v>
      </x:c>
      <x:c r="T79" s="28" t="n">
        <x:f>'Daily Baseline'!V76</x:f>
        <x:v>793</x:v>
      </x:c>
      <x:c r="U79" s="55" t="n">
        <x:f>'Daily Baseline'!W76</x:f>
        <x:v>1015</x:v>
      </x:c>
      <x:c r="V79" s="28" t="n">
        <x:f>'Daily Baseline'!X76</x:f>
        <x:v>1222</x:v>
      </x:c>
    </x:row>
    <x:row r="80">
      <x:c r="A80" s="30" t="n">
        <x:f>'Daily Baseline'!A77</x:f>
        <x:v>75</x:v>
      </x:c>
      <x:c r="B80" s="11" t="str">
        <x:f>'Daily Baseline'!B77</x:f>
        <x:v>Fruit Enlargement</x:v>
      </x:c>
      <x:c r="C80" s="28" t="n">
        <x:f>'Daily Baseline'!C77</x:f>
        <x:v>74.5</x:v>
      </x:c>
      <x:c r="D80" s="28" t="n">
        <x:f>'Daily Baseline'!D77</x:f>
        <x:v>70</x:v>
      </x:c>
      <x:c r="E80" s="30" t="n">
        <x:f>'Daily Baseline'!F77</x:f>
        <x:v>11</x:v>
      </x:c>
      <x:c r="F80" s="30" t="n">
        <x:f>'Daily Baseline'!H77</x:f>
        <x:v>6</x:v>
      </x:c>
      <x:c r="G80" s="28" t="n">
        <x:f>'Daily Baseline'!I77</x:f>
        <x:v>31.25</x:v>
      </x:c>
      <x:c r="H80" s="28" t="n">
        <x:f>'Daily Baseline'!J77</x:f>
        <x:v>8</x:v>
      </x:c>
      <x:c r="I80" s="55" t="n">
        <x:f>'Daily Baseline'!K77</x:f>
        <x:v>9</x:v>
      </x:c>
      <x:c r="J80" s="28" t="n">
        <x:f>'Daily Baseline'!L77</x:f>
        <x:v>10</x:v>
      </x:c>
      <x:c r="K80" s="28" t="n">
        <x:f>'Daily Baseline'!M77</x:f>
        <x:v>60</x:v>
      </x:c>
      <x:c r="L80" s="55" t="n">
        <x:f>'Daily Baseline'!N77</x:f>
        <x:v>65</x:v>
      </x:c>
      <x:c r="M80" s="28" t="n">
        <x:f>'Daily Baseline'!O77</x:f>
        <x:v>70</x:v>
      </x:c>
      <x:c r="N80" s="28" t="n">
        <x:f>'Daily Baseline'!P77</x:f>
        <x:v>70</x:v>
      </x:c>
      <x:c r="O80" s="55" t="n">
        <x:f>'Daily Baseline'!Q77</x:f>
        <x:v>80</x:v>
      </x:c>
      <x:c r="P80" s="28" t="n">
        <x:f>'Daily Baseline'!R77</x:f>
        <x:v>90</x:v>
      </x:c>
      <x:c r="Q80" s="28" t="n">
        <x:f>'Daily Baseline'!S77</x:f>
        <x:v>12</x:v>
      </x:c>
      <x:c r="R80" s="28" t="n">
        <x:f>'Daily Baseline'!T77</x:f>
        <x:v>15</x:v>
      </x:c>
      <x:c r="S80" s="55" t="n">
        <x:f>'Daily Baseline'!U77</x:f>
        <x:v>18</x:v>
      </x:c>
      <x:c r="T80" s="28" t="n">
        <x:f>'Daily Baseline'!V77</x:f>
        <x:v>805</x:v>
      </x:c>
      <x:c r="U80" s="55" t="n">
        <x:f>'Daily Baseline'!W77</x:f>
        <x:v>1030</x:v>
      </x:c>
      <x:c r="V80" s="28" t="n">
        <x:f>'Daily Baseline'!X77</x:f>
        <x:v>1240</x:v>
      </x:c>
    </x:row>
    <x:row r="81">
      <x:c r="A81" s="30" t="n">
        <x:f>'Daily Baseline'!A78</x:f>
        <x:v>76</x:v>
      </x:c>
      <x:c r="B81" s="11" t="str">
        <x:f>'Daily Baseline'!B78</x:f>
        <x:v>Fruit Enlargement</x:v>
      </x:c>
      <x:c r="C81" s="28" t="n">
        <x:f>'Daily Baseline'!C78</x:f>
        <x:v>75</x:v>
      </x:c>
      <x:c r="D81" s="28" t="n">
        <x:f>'Daily Baseline'!D78</x:f>
        <x:v>71</x:v>
      </x:c>
      <x:c r="E81" s="30" t="n">
        <x:f>'Daily Baseline'!F78</x:f>
        <x:v>11</x:v>
      </x:c>
      <x:c r="F81" s="30" t="n">
        <x:f>'Daily Baseline'!H78</x:f>
        <x:v>7</x:v>
      </x:c>
      <x:c r="G81" s="28" t="n">
        <x:f>'Daily Baseline'!I78</x:f>
        <x:v>32.5</x:v>
      </x:c>
      <x:c r="H81" s="28" t="n">
        <x:f>'Daily Baseline'!J78</x:f>
        <x:v>8</x:v>
      </x:c>
      <x:c r="I81" s="55" t="n">
        <x:f>'Daily Baseline'!K78</x:f>
        <x:v>9</x:v>
      </x:c>
      <x:c r="J81" s="28" t="n">
        <x:f>'Daily Baseline'!L78</x:f>
        <x:v>10</x:v>
      </x:c>
      <x:c r="K81" s="28" t="n">
        <x:f>'Daily Baseline'!M78</x:f>
        <x:v>60</x:v>
      </x:c>
      <x:c r="L81" s="55" t="n">
        <x:f>'Daily Baseline'!N78</x:f>
        <x:v>65</x:v>
      </x:c>
      <x:c r="M81" s="28" t="n">
        <x:f>'Daily Baseline'!O78</x:f>
        <x:v>70</x:v>
      </x:c>
      <x:c r="N81" s="28" t="n">
        <x:f>'Daily Baseline'!P78</x:f>
        <x:v>70</x:v>
      </x:c>
      <x:c r="O81" s="55" t="n">
        <x:f>'Daily Baseline'!Q78</x:f>
        <x:v>80</x:v>
      </x:c>
      <x:c r="P81" s="28" t="n">
        <x:f>'Daily Baseline'!R78</x:f>
        <x:v>90</x:v>
      </x:c>
      <x:c r="Q81" s="28" t="n">
        <x:f>'Daily Baseline'!S78</x:f>
        <x:v>12</x:v>
      </x:c>
      <x:c r="R81" s="28" t="n">
        <x:f>'Daily Baseline'!T78</x:f>
        <x:v>15</x:v>
      </x:c>
      <x:c r="S81" s="55" t="n">
        <x:f>'Daily Baseline'!U78</x:f>
        <x:v>18</x:v>
      </x:c>
      <x:c r="T81" s="28" t="n">
        <x:f>'Daily Baseline'!V78</x:f>
        <x:v>817</x:v>
      </x:c>
      <x:c r="U81" s="55" t="n">
        <x:f>'Daily Baseline'!W78</x:f>
        <x:v>1045</x:v>
      </x:c>
      <x:c r="V81" s="28" t="n">
        <x:f>'Daily Baseline'!X78</x:f>
        <x:v>1258</x:v>
      </x:c>
    </x:row>
    <x:row r="82">
      <x:c r="A82" s="30" t="n">
        <x:f>'Daily Baseline'!A79</x:f>
        <x:v>77</x:v>
      </x:c>
      <x:c r="B82" s="11" t="str">
        <x:f>'Daily Baseline'!B79</x:f>
        <x:v>Fruit Enlargement</x:v>
      </x:c>
      <x:c r="C82" s="28" t="n">
        <x:f>'Daily Baseline'!C79</x:f>
        <x:v>75.5</x:v>
      </x:c>
      <x:c r="D82" s="28" t="n">
        <x:f>'Daily Baseline'!D79</x:f>
        <x:v>72</x:v>
      </x:c>
      <x:c r="E82" s="30" t="n">
        <x:f>'Daily Baseline'!F79</x:f>
        <x:v>11</x:v>
      </x:c>
      <x:c r="F82" s="30" t="n">
        <x:f>'Daily Baseline'!H79</x:f>
        <x:v>7</x:v>
      </x:c>
      <x:c r="G82" s="28" t="n">
        <x:f>'Daily Baseline'!I79</x:f>
        <x:v>33.75</x:v>
      </x:c>
      <x:c r="H82" s="28" t="n">
        <x:f>'Daily Baseline'!J79</x:f>
        <x:v>8</x:v>
      </x:c>
      <x:c r="I82" s="55" t="n">
        <x:f>'Daily Baseline'!K79</x:f>
        <x:v>9</x:v>
      </x:c>
      <x:c r="J82" s="28" t="n">
        <x:f>'Daily Baseline'!L79</x:f>
        <x:v>10</x:v>
      </x:c>
      <x:c r="K82" s="28" t="n">
        <x:f>'Daily Baseline'!M79</x:f>
        <x:v>60</x:v>
      </x:c>
      <x:c r="L82" s="55" t="n">
        <x:f>'Daily Baseline'!N79</x:f>
        <x:v>65</x:v>
      </x:c>
      <x:c r="M82" s="28" t="n">
        <x:f>'Daily Baseline'!O79</x:f>
        <x:v>70</x:v>
      </x:c>
      <x:c r="N82" s="28" t="n">
        <x:f>'Daily Baseline'!P79</x:f>
        <x:v>70</x:v>
      </x:c>
      <x:c r="O82" s="55" t="n">
        <x:f>'Daily Baseline'!Q79</x:f>
        <x:v>80</x:v>
      </x:c>
      <x:c r="P82" s="28" t="n">
        <x:f>'Daily Baseline'!R79</x:f>
        <x:v>90</x:v>
      </x:c>
      <x:c r="Q82" s="28" t="n">
        <x:f>'Daily Baseline'!S79</x:f>
        <x:v>12</x:v>
      </x:c>
      <x:c r="R82" s="28" t="n">
        <x:f>'Daily Baseline'!T79</x:f>
        <x:v>15</x:v>
      </x:c>
      <x:c r="S82" s="55" t="n">
        <x:f>'Daily Baseline'!U79</x:f>
        <x:v>18</x:v>
      </x:c>
      <x:c r="T82" s="28" t="n">
        <x:f>'Daily Baseline'!V79</x:f>
        <x:v>829</x:v>
      </x:c>
      <x:c r="U82" s="55" t="n">
        <x:f>'Daily Baseline'!W79</x:f>
        <x:v>1060</x:v>
      </x:c>
      <x:c r="V82" s="28" t="n">
        <x:f>'Daily Baseline'!X79</x:f>
        <x:v>1276</x:v>
      </x:c>
    </x:row>
    <x:row r="83">
      <x:c r="A83" s="30" t="n">
        <x:f>'Daily Baseline'!A80</x:f>
        <x:v>78</x:v>
      </x:c>
      <x:c r="B83" s="11" t="str">
        <x:f>'Daily Baseline'!B80</x:f>
        <x:v>Fruit Enlargement</x:v>
      </x:c>
      <x:c r="C83" s="28" t="n">
        <x:f>'Daily Baseline'!C80</x:f>
        <x:v>76</x:v>
      </x:c>
      <x:c r="D83" s="28" t="n">
        <x:f>'Daily Baseline'!D80</x:f>
        <x:v>73</x:v>
      </x:c>
      <x:c r="E83" s="30" t="n">
        <x:f>'Daily Baseline'!F80</x:f>
        <x:v>10</x:v>
      </x:c>
      <x:c r="F83" s="30" t="n">
        <x:f>'Daily Baseline'!H80</x:f>
        <x:v>7</x:v>
      </x:c>
      <x:c r="G83" s="28" t="n">
        <x:f>'Daily Baseline'!I80</x:f>
        <x:v>35</x:v>
      </x:c>
      <x:c r="H83" s="28" t="n">
        <x:f>'Daily Baseline'!J80</x:f>
        <x:v>8</x:v>
      </x:c>
      <x:c r="I83" s="55" t="n">
        <x:f>'Daily Baseline'!K80</x:f>
        <x:v>9</x:v>
      </x:c>
      <x:c r="J83" s="28" t="n">
        <x:f>'Daily Baseline'!L80</x:f>
        <x:v>10</x:v>
      </x:c>
      <x:c r="K83" s="28" t="n">
        <x:f>'Daily Baseline'!M80</x:f>
        <x:v>60</x:v>
      </x:c>
      <x:c r="L83" s="55" t="n">
        <x:f>'Daily Baseline'!N80</x:f>
        <x:v>65</x:v>
      </x:c>
      <x:c r="M83" s="28" t="n">
        <x:f>'Daily Baseline'!O80</x:f>
        <x:v>70</x:v>
      </x:c>
      <x:c r="N83" s="28" t="n">
        <x:f>'Daily Baseline'!P80</x:f>
        <x:v>70</x:v>
      </x:c>
      <x:c r="O83" s="55" t="n">
        <x:f>'Daily Baseline'!Q80</x:f>
        <x:v>80</x:v>
      </x:c>
      <x:c r="P83" s="28" t="n">
        <x:f>'Daily Baseline'!R80</x:f>
        <x:v>90</x:v>
      </x:c>
      <x:c r="Q83" s="28" t="n">
        <x:f>'Daily Baseline'!S80</x:f>
        <x:v>12</x:v>
      </x:c>
      <x:c r="R83" s="28" t="n">
        <x:f>'Daily Baseline'!T80</x:f>
        <x:v>15</x:v>
      </x:c>
      <x:c r="S83" s="55" t="n">
        <x:f>'Daily Baseline'!U80</x:f>
        <x:v>18</x:v>
      </x:c>
      <x:c r="T83" s="28" t="n">
        <x:f>'Daily Baseline'!V80</x:f>
        <x:v>841</x:v>
      </x:c>
      <x:c r="U83" s="55" t="n">
        <x:f>'Daily Baseline'!W80</x:f>
        <x:v>1075</x:v>
      </x:c>
      <x:c r="V83" s="28" t="n">
        <x:f>'Daily Baseline'!X80</x:f>
        <x:v>1294</x:v>
      </x:c>
    </x:row>
    <x:row r="84">
      <x:c r="A84" s="30" t="n">
        <x:f>'Daily Baseline'!A81</x:f>
        <x:v>79</x:v>
      </x:c>
      <x:c r="B84" s="11" t="str">
        <x:f>'Daily Baseline'!B81</x:f>
        <x:v>Fruit Enlargement</x:v>
      </x:c>
      <x:c r="C84" s="28" t="n">
        <x:f>'Daily Baseline'!C81</x:f>
        <x:v>76.5</x:v>
      </x:c>
      <x:c r="D84" s="28" t="n">
        <x:f>'Daily Baseline'!D81</x:f>
        <x:v>74</x:v>
      </x:c>
      <x:c r="E84" s="30" t="n">
        <x:f>'Daily Baseline'!F81</x:f>
        <x:v>10</x:v>
      </x:c>
      <x:c r="F84" s="30" t="n">
        <x:f>'Daily Baseline'!H81</x:f>
        <x:v>7</x:v>
      </x:c>
      <x:c r="G84" s="28" t="n">
        <x:f>'Daily Baseline'!I81</x:f>
        <x:v>36.25</x:v>
      </x:c>
      <x:c r="H84" s="28" t="n">
        <x:f>'Daily Baseline'!J81</x:f>
        <x:v>8</x:v>
      </x:c>
      <x:c r="I84" s="55" t="n">
        <x:f>'Daily Baseline'!K81</x:f>
        <x:v>9</x:v>
      </x:c>
      <x:c r="J84" s="28" t="n">
        <x:f>'Daily Baseline'!L81</x:f>
        <x:v>10</x:v>
      </x:c>
      <x:c r="K84" s="28" t="n">
        <x:f>'Daily Baseline'!M81</x:f>
        <x:v>60</x:v>
      </x:c>
      <x:c r="L84" s="55" t="n">
        <x:f>'Daily Baseline'!N81</x:f>
        <x:v>65</x:v>
      </x:c>
      <x:c r="M84" s="28" t="n">
        <x:f>'Daily Baseline'!O81</x:f>
        <x:v>70</x:v>
      </x:c>
      <x:c r="N84" s="28" t="n">
        <x:f>'Daily Baseline'!P81</x:f>
        <x:v>70</x:v>
      </x:c>
      <x:c r="O84" s="55" t="n">
        <x:f>'Daily Baseline'!Q81</x:f>
        <x:v>80</x:v>
      </x:c>
      <x:c r="P84" s="28" t="n">
        <x:f>'Daily Baseline'!R81</x:f>
        <x:v>90</x:v>
      </x:c>
      <x:c r="Q84" s="28" t="n">
        <x:f>'Daily Baseline'!S81</x:f>
        <x:v>12</x:v>
      </x:c>
      <x:c r="R84" s="28" t="n">
        <x:f>'Daily Baseline'!T81</x:f>
        <x:v>15</x:v>
      </x:c>
      <x:c r="S84" s="55" t="n">
        <x:f>'Daily Baseline'!U81</x:f>
        <x:v>18</x:v>
      </x:c>
      <x:c r="T84" s="28" t="n">
        <x:f>'Daily Baseline'!V81</x:f>
        <x:v>853</x:v>
      </x:c>
      <x:c r="U84" s="55" t="n">
        <x:f>'Daily Baseline'!W81</x:f>
        <x:v>1090</x:v>
      </x:c>
      <x:c r="V84" s="28" t="n">
        <x:f>'Daily Baseline'!X81</x:f>
        <x:v>1312</x:v>
      </x:c>
    </x:row>
    <x:row r="85">
      <x:c r="A85" s="30" t="n">
        <x:f>'Daily Baseline'!A82</x:f>
        <x:v>80</x:v>
      </x:c>
      <x:c r="B85" s="11" t="str">
        <x:f>'Daily Baseline'!B82</x:f>
        <x:v>Fruit Enlargement</x:v>
      </x:c>
      <x:c r="C85" s="28" t="n">
        <x:f>'Daily Baseline'!C82</x:f>
        <x:v>77</x:v>
      </x:c>
      <x:c r="D85" s="28" t="n">
        <x:f>'Daily Baseline'!D82</x:f>
        <x:v>75</x:v>
      </x:c>
      <x:c r="E85" s="30" t="n">
        <x:f>'Daily Baseline'!F82</x:f>
        <x:v>10</x:v>
      </x:c>
      <x:c r="F85" s="30" t="n">
        <x:f>'Daily Baseline'!H82</x:f>
        <x:v>8</x:v>
      </x:c>
      <x:c r="G85" s="28" t="n">
        <x:f>'Daily Baseline'!I82</x:f>
        <x:v>37.5</x:v>
      </x:c>
      <x:c r="H85" s="28" t="n">
        <x:f>'Daily Baseline'!J82</x:f>
        <x:v>8</x:v>
      </x:c>
      <x:c r="I85" s="55" t="n">
        <x:f>'Daily Baseline'!K82</x:f>
        <x:v>9</x:v>
      </x:c>
      <x:c r="J85" s="28" t="n">
        <x:f>'Daily Baseline'!L82</x:f>
        <x:v>10</x:v>
      </x:c>
      <x:c r="K85" s="28" t="n">
        <x:f>'Daily Baseline'!M82</x:f>
        <x:v>60</x:v>
      </x:c>
      <x:c r="L85" s="55" t="n">
        <x:f>'Daily Baseline'!N82</x:f>
        <x:v>65</x:v>
      </x:c>
      <x:c r="M85" s="28" t="n">
        <x:f>'Daily Baseline'!O82</x:f>
        <x:v>70</x:v>
      </x:c>
      <x:c r="N85" s="28" t="n">
        <x:f>'Daily Baseline'!P82</x:f>
        <x:v>70</x:v>
      </x:c>
      <x:c r="O85" s="55" t="n">
        <x:f>'Daily Baseline'!Q82</x:f>
        <x:v>80</x:v>
      </x:c>
      <x:c r="P85" s="28" t="n">
        <x:f>'Daily Baseline'!R82</x:f>
        <x:v>90</x:v>
      </x:c>
      <x:c r="Q85" s="28" t="n">
        <x:f>'Daily Baseline'!S82</x:f>
        <x:v>12</x:v>
      </x:c>
      <x:c r="R85" s="28" t="n">
        <x:f>'Daily Baseline'!T82</x:f>
        <x:v>15</x:v>
      </x:c>
      <x:c r="S85" s="55" t="n">
        <x:f>'Daily Baseline'!U82</x:f>
        <x:v>18</x:v>
      </x:c>
      <x:c r="T85" s="28" t="n">
        <x:f>'Daily Baseline'!V82</x:f>
        <x:v>865</x:v>
      </x:c>
      <x:c r="U85" s="55" t="n">
        <x:f>'Daily Baseline'!W82</x:f>
        <x:v>1105</x:v>
      </x:c>
      <x:c r="V85" s="28" t="n">
        <x:f>'Daily Baseline'!X82</x:f>
        <x:v>1330</x:v>
      </x:c>
    </x:row>
    <x:row r="86">
      <x:c r="A86" s="30" t="n">
        <x:f>'Daily Baseline'!A83</x:f>
        <x:v>81</x:v>
      </x:c>
      <x:c r="B86" s="11" t="str">
        <x:f>'Daily Baseline'!B83</x:f>
        <x:v>Ripening</x:v>
      </x:c>
      <x:c r="C86" s="28" t="n">
        <x:f>'Daily Baseline'!C83</x:f>
        <x:v>77.5</x:v>
      </x:c>
      <x:c r="D86" s="28" t="n">
        <x:f>'Daily Baseline'!D83</x:f>
        <x:v>76</x:v>
      </x:c>
      <x:c r="E86" s="30" t="n">
        <x:f>'Daily Baseline'!F83</x:f>
        <x:v>10</x:v>
      </x:c>
      <x:c r="F86" s="30" t="n">
        <x:f>'Daily Baseline'!H83</x:f>
        <x:v>8</x:v>
      </x:c>
      <x:c r="G86" s="28" t="n">
        <x:f>'Daily Baseline'!I83</x:f>
        <x:v>38.75</x:v>
      </x:c>
      <x:c r="H86" s="28" t="n">
        <x:f>'Daily Baseline'!J83</x:f>
        <x:v>8</x:v>
      </x:c>
      <x:c r="I86" s="55" t="n">
        <x:f>'Daily Baseline'!K83</x:f>
        <x:v>9</x:v>
      </x:c>
      <x:c r="J86" s="28" t="n">
        <x:f>'Daily Baseline'!L83</x:f>
        <x:v>10</x:v>
      </x:c>
      <x:c r="K86" s="28" t="n">
        <x:f>'Daily Baseline'!M83</x:f>
        <x:v>55</x:v>
      </x:c>
      <x:c r="L86" s="55" t="n">
        <x:f>'Daily Baseline'!N83</x:f>
        <x:v>62</x:v>
      </x:c>
      <x:c r="M86" s="28" t="n">
        <x:f>'Daily Baseline'!O83</x:f>
        <x:v>70</x:v>
      </x:c>
      <x:c r="N86" s="28" t="n">
        <x:f>'Daily Baseline'!P83</x:f>
        <x:v>60</x:v>
      </x:c>
      <x:c r="O86" s="55" t="n">
        <x:f>'Daily Baseline'!Q83</x:f>
        <x:v>70</x:v>
      </x:c>
      <x:c r="P86" s="28" t="n">
        <x:f>'Daily Baseline'!R83</x:f>
        <x:v>80</x:v>
      </x:c>
      <x:c r="Q86" s="28" t="n">
        <x:f>'Daily Baseline'!S83</x:f>
        <x:v>12</x:v>
      </x:c>
      <x:c r="R86" s="28" t="n">
        <x:f>'Daily Baseline'!T83</x:f>
        <x:v>15</x:v>
      </x:c>
      <x:c r="S86" s="55" t="n">
        <x:f>'Daily Baseline'!U83</x:f>
        <x:v>18</x:v>
      </x:c>
      <x:c r="T86" s="28" t="n">
        <x:f>'Daily Baseline'!V83</x:f>
        <x:v>877</x:v>
      </x:c>
      <x:c r="U86" s="55" t="n">
        <x:f>'Daily Baseline'!W83</x:f>
        <x:v>1120</x:v>
      </x:c>
      <x:c r="V86" s="28" t="n">
        <x:f>'Daily Baseline'!X83</x:f>
        <x:v>1348</x:v>
      </x:c>
    </x:row>
    <x:row r="87">
      <x:c r="A87" s="30" t="n">
        <x:f>'Daily Baseline'!A84</x:f>
        <x:v>82</x:v>
      </x:c>
      <x:c r="B87" s="11" t="str">
        <x:f>'Daily Baseline'!B84</x:f>
        <x:v>Ripening</x:v>
      </x:c>
      <x:c r="C87" s="28" t="n">
        <x:f>'Daily Baseline'!C84</x:f>
        <x:v>78</x:v>
      </x:c>
      <x:c r="D87" s="28" t="n">
        <x:f>'Daily Baseline'!D84</x:f>
        <x:v>77</x:v>
      </x:c>
      <x:c r="E87" s="30" t="n">
        <x:f>'Daily Baseline'!F84</x:f>
        <x:v>10</x:v>
      </x:c>
      <x:c r="F87" s="30" t="n">
        <x:f>'Daily Baseline'!H84</x:f>
        <x:v>8</x:v>
      </x:c>
      <x:c r="G87" s="28" t="n">
        <x:f>'Daily Baseline'!I84</x:f>
        <x:v>40</x:v>
      </x:c>
      <x:c r="H87" s="28" t="n">
        <x:f>'Daily Baseline'!J84</x:f>
        <x:v>8</x:v>
      </x:c>
      <x:c r="I87" s="55" t="n">
        <x:f>'Daily Baseline'!K84</x:f>
        <x:v>9</x:v>
      </x:c>
      <x:c r="J87" s="28" t="n">
        <x:f>'Daily Baseline'!L84</x:f>
        <x:v>10</x:v>
      </x:c>
      <x:c r="K87" s="28" t="n">
        <x:f>'Daily Baseline'!M84</x:f>
        <x:v>55</x:v>
      </x:c>
      <x:c r="L87" s="55" t="n">
        <x:f>'Daily Baseline'!N84</x:f>
        <x:v>62</x:v>
      </x:c>
      <x:c r="M87" s="28" t="n">
        <x:f>'Daily Baseline'!O84</x:f>
        <x:v>70</x:v>
      </x:c>
      <x:c r="N87" s="28" t="n">
        <x:f>'Daily Baseline'!P84</x:f>
        <x:v>60</x:v>
      </x:c>
      <x:c r="O87" s="55" t="n">
        <x:f>'Daily Baseline'!Q84</x:f>
        <x:v>70</x:v>
      </x:c>
      <x:c r="P87" s="28" t="n">
        <x:f>'Daily Baseline'!R84</x:f>
        <x:v>80</x:v>
      </x:c>
      <x:c r="Q87" s="28" t="n">
        <x:f>'Daily Baseline'!S84</x:f>
        <x:v>12</x:v>
      </x:c>
      <x:c r="R87" s="28" t="n">
        <x:f>'Daily Baseline'!T84</x:f>
        <x:v>15</x:v>
      </x:c>
      <x:c r="S87" s="55" t="n">
        <x:f>'Daily Baseline'!U84</x:f>
        <x:v>18</x:v>
      </x:c>
      <x:c r="T87" s="28" t="n">
        <x:f>'Daily Baseline'!V84</x:f>
        <x:v>889</x:v>
      </x:c>
      <x:c r="U87" s="55" t="n">
        <x:f>'Daily Baseline'!W84</x:f>
        <x:v>1135</x:v>
      </x:c>
      <x:c r="V87" s="28" t="n">
        <x:f>'Daily Baseline'!X84</x:f>
        <x:v>1366</x:v>
      </x:c>
    </x:row>
    <x:row r="88">
      <x:c r="A88" s="30" t="n">
        <x:f>'Daily Baseline'!A85</x:f>
        <x:v>83</x:v>
      </x:c>
      <x:c r="B88" s="11" t="str">
        <x:f>'Daily Baseline'!B85</x:f>
        <x:v>Ripening</x:v>
      </x:c>
      <x:c r="C88" s="28" t="n">
        <x:f>'Daily Baseline'!C85</x:f>
        <x:v>78.5</x:v>
      </x:c>
      <x:c r="D88" s="28" t="n">
        <x:f>'Daily Baseline'!D85</x:f>
        <x:v>78</x:v>
      </x:c>
      <x:c r="E88" s="30" t="n">
        <x:f>'Daily Baseline'!F85</x:f>
        <x:v>9</x:v>
      </x:c>
      <x:c r="F88" s="30" t="n">
        <x:f>'Daily Baseline'!H85</x:f>
        <x:v>8</x:v>
      </x:c>
      <x:c r="G88" s="28" t="n">
        <x:f>'Daily Baseline'!I85</x:f>
        <x:v>41.25</x:v>
      </x:c>
      <x:c r="H88" s="28" t="n">
        <x:f>'Daily Baseline'!J85</x:f>
        <x:v>8</x:v>
      </x:c>
      <x:c r="I88" s="55" t="n">
        <x:f>'Daily Baseline'!K85</x:f>
        <x:v>9</x:v>
      </x:c>
      <x:c r="J88" s="28" t="n">
        <x:f>'Daily Baseline'!L85</x:f>
        <x:v>10</x:v>
      </x:c>
      <x:c r="K88" s="28" t="n">
        <x:f>'Daily Baseline'!M85</x:f>
        <x:v>55</x:v>
      </x:c>
      <x:c r="L88" s="55" t="n">
        <x:f>'Daily Baseline'!N85</x:f>
        <x:v>62</x:v>
      </x:c>
      <x:c r="M88" s="28" t="n">
        <x:f>'Daily Baseline'!O85</x:f>
        <x:v>70</x:v>
      </x:c>
      <x:c r="N88" s="28" t="n">
        <x:f>'Daily Baseline'!P85</x:f>
        <x:v>60</x:v>
      </x:c>
      <x:c r="O88" s="55" t="n">
        <x:f>'Daily Baseline'!Q85</x:f>
        <x:v>70</x:v>
      </x:c>
      <x:c r="P88" s="28" t="n">
        <x:f>'Daily Baseline'!R85</x:f>
        <x:v>80</x:v>
      </x:c>
      <x:c r="Q88" s="28" t="n">
        <x:f>'Daily Baseline'!S85</x:f>
        <x:v>12</x:v>
      </x:c>
      <x:c r="R88" s="28" t="n">
        <x:f>'Daily Baseline'!T85</x:f>
        <x:v>15</x:v>
      </x:c>
      <x:c r="S88" s="55" t="n">
        <x:f>'Daily Baseline'!U85</x:f>
        <x:v>18</x:v>
      </x:c>
      <x:c r="T88" s="28" t="n">
        <x:f>'Daily Baseline'!V85</x:f>
        <x:v>901</x:v>
      </x:c>
      <x:c r="U88" s="55" t="n">
        <x:f>'Daily Baseline'!W85</x:f>
        <x:v>1150</x:v>
      </x:c>
      <x:c r="V88" s="28" t="n">
        <x:f>'Daily Baseline'!X85</x:f>
        <x:v>1384</x:v>
      </x:c>
    </x:row>
    <x:row r="89">
      <x:c r="A89" s="30" t="n">
        <x:f>'Daily Baseline'!A86</x:f>
        <x:v>84</x:v>
      </x:c>
      <x:c r="B89" s="11" t="str">
        <x:f>'Daily Baseline'!B86</x:f>
        <x:v>Ripening</x:v>
      </x:c>
      <x:c r="C89" s="28" t="n">
        <x:f>'Daily Baseline'!C86</x:f>
        <x:v>79</x:v>
      </x:c>
      <x:c r="D89" s="28" t="n">
        <x:f>'Daily Baseline'!D86</x:f>
        <x:v>79</x:v>
      </x:c>
      <x:c r="E89" s="30" t="n">
        <x:f>'Daily Baseline'!F86</x:f>
        <x:v>9</x:v>
      </x:c>
      <x:c r="F89" s="30" t="n">
        <x:f>'Daily Baseline'!H86</x:f>
        <x:v>9</x:v>
      </x:c>
      <x:c r="G89" s="28" t="n">
        <x:f>'Daily Baseline'!I86</x:f>
        <x:v>42.5</x:v>
      </x:c>
      <x:c r="H89" s="28" t="n">
        <x:f>'Daily Baseline'!J86</x:f>
        <x:v>8</x:v>
      </x:c>
      <x:c r="I89" s="55" t="n">
        <x:f>'Daily Baseline'!K86</x:f>
        <x:v>9</x:v>
      </x:c>
      <x:c r="J89" s="28" t="n">
        <x:f>'Daily Baseline'!L86</x:f>
        <x:v>10</x:v>
      </x:c>
      <x:c r="K89" s="28" t="n">
        <x:f>'Daily Baseline'!M86</x:f>
        <x:v>55</x:v>
      </x:c>
      <x:c r="L89" s="55" t="n">
        <x:f>'Daily Baseline'!N86</x:f>
        <x:v>62</x:v>
      </x:c>
      <x:c r="M89" s="28" t="n">
        <x:f>'Daily Baseline'!O86</x:f>
        <x:v>70</x:v>
      </x:c>
      <x:c r="N89" s="28" t="n">
        <x:f>'Daily Baseline'!P86</x:f>
        <x:v>60</x:v>
      </x:c>
      <x:c r="O89" s="55" t="n">
        <x:f>'Daily Baseline'!Q86</x:f>
        <x:v>70</x:v>
      </x:c>
      <x:c r="P89" s="28" t="n">
        <x:f>'Daily Baseline'!R86</x:f>
        <x:v>80</x:v>
      </x:c>
      <x:c r="Q89" s="28" t="n">
        <x:f>'Daily Baseline'!S86</x:f>
        <x:v>12</x:v>
      </x:c>
      <x:c r="R89" s="28" t="n">
        <x:f>'Daily Baseline'!T86</x:f>
        <x:v>15</x:v>
      </x:c>
      <x:c r="S89" s="55" t="n">
        <x:f>'Daily Baseline'!U86</x:f>
        <x:v>18</x:v>
      </x:c>
      <x:c r="T89" s="28" t="n">
        <x:f>'Daily Baseline'!V86</x:f>
        <x:v>913</x:v>
      </x:c>
      <x:c r="U89" s="55" t="n">
        <x:f>'Daily Baseline'!W86</x:f>
        <x:v>1165</x:v>
      </x:c>
      <x:c r="V89" s="28" t="n">
        <x:f>'Daily Baseline'!X86</x:f>
        <x:v>1402</x:v>
      </x:c>
    </x:row>
    <x:row r="90">
      <x:c r="A90" s="30" t="n">
        <x:f>'Daily Baseline'!A87</x:f>
        <x:v>85</x:v>
      </x:c>
      <x:c r="B90" s="11" t="str">
        <x:f>'Daily Baseline'!B87</x:f>
        <x:v>Ripening</x:v>
      </x:c>
      <x:c r="C90" s="28" t="n">
        <x:f>'Daily Baseline'!C87</x:f>
        <x:v>79.5</x:v>
      </x:c>
      <x:c r="D90" s="28" t="n">
        <x:f>'Daily Baseline'!D87</x:f>
        <x:v>80</x:v>
      </x:c>
      <x:c r="E90" s="30" t="n">
        <x:f>'Daily Baseline'!F87</x:f>
        <x:v>9</x:v>
      </x:c>
      <x:c r="F90" s="30" t="n">
        <x:f>'Daily Baseline'!H87</x:f>
        <x:v>9</x:v>
      </x:c>
      <x:c r="G90" s="28" t="n">
        <x:f>'Daily Baseline'!I87</x:f>
        <x:v>43.75</x:v>
      </x:c>
      <x:c r="H90" s="28" t="n">
        <x:f>'Daily Baseline'!J87</x:f>
        <x:v>8</x:v>
      </x:c>
      <x:c r="I90" s="55" t="n">
        <x:f>'Daily Baseline'!K87</x:f>
        <x:v>9</x:v>
      </x:c>
      <x:c r="J90" s="28" t="n">
        <x:f>'Daily Baseline'!L87</x:f>
        <x:v>10</x:v>
      </x:c>
      <x:c r="K90" s="28" t="n">
        <x:f>'Daily Baseline'!M87</x:f>
        <x:v>55</x:v>
      </x:c>
      <x:c r="L90" s="55" t="n">
        <x:f>'Daily Baseline'!N87</x:f>
        <x:v>62</x:v>
      </x:c>
      <x:c r="M90" s="28" t="n">
        <x:f>'Daily Baseline'!O87</x:f>
        <x:v>70</x:v>
      </x:c>
      <x:c r="N90" s="28" t="n">
        <x:f>'Daily Baseline'!P87</x:f>
        <x:v>60</x:v>
      </x:c>
      <x:c r="O90" s="55" t="n">
        <x:f>'Daily Baseline'!Q87</x:f>
        <x:v>70</x:v>
      </x:c>
      <x:c r="P90" s="28" t="n">
        <x:f>'Daily Baseline'!R87</x:f>
        <x:v>80</x:v>
      </x:c>
      <x:c r="Q90" s="28" t="n">
        <x:f>'Daily Baseline'!S87</x:f>
        <x:v>12</x:v>
      </x:c>
      <x:c r="R90" s="28" t="n">
        <x:f>'Daily Baseline'!T87</x:f>
        <x:v>15</x:v>
      </x:c>
      <x:c r="S90" s="55" t="n">
        <x:f>'Daily Baseline'!U87</x:f>
        <x:v>18</x:v>
      </x:c>
      <x:c r="T90" s="28" t="n">
        <x:f>'Daily Baseline'!V87</x:f>
        <x:v>925</x:v>
      </x:c>
      <x:c r="U90" s="55" t="n">
        <x:f>'Daily Baseline'!W87</x:f>
        <x:v>1180</x:v>
      </x:c>
      <x:c r="V90" s="28" t="n">
        <x:f>'Daily Baseline'!X87</x:f>
        <x:v>1420</x:v>
      </x:c>
    </x:row>
    <x:row r="91">
      <x:c r="A91" s="30" t="n">
        <x:f>'Daily Baseline'!A88</x:f>
        <x:v>86</x:v>
      </x:c>
      <x:c r="B91" s="11" t="str">
        <x:f>'Daily Baseline'!B88</x:f>
        <x:v>Ripening</x:v>
      </x:c>
      <x:c r="C91" s="28" t="n">
        <x:f>'Daily Baseline'!C88</x:f>
        <x:v>80</x:v>
      </x:c>
      <x:c r="D91" s="28" t="n">
        <x:f>'Daily Baseline'!D88</x:f>
        <x:v>81</x:v>
      </x:c>
      <x:c r="E91" s="30" t="n">
        <x:f>'Daily Baseline'!F88</x:f>
        <x:v>9</x:v>
      </x:c>
      <x:c r="F91" s="30" t="n">
        <x:f>'Daily Baseline'!H88</x:f>
        <x:v>9</x:v>
      </x:c>
      <x:c r="G91" s="28" t="n">
        <x:f>'Daily Baseline'!I88</x:f>
        <x:v>45</x:v>
      </x:c>
      <x:c r="H91" s="28" t="n">
        <x:f>'Daily Baseline'!J88</x:f>
        <x:v>8</x:v>
      </x:c>
      <x:c r="I91" s="55" t="n">
        <x:f>'Daily Baseline'!K88</x:f>
        <x:v>9</x:v>
      </x:c>
      <x:c r="J91" s="28" t="n">
        <x:f>'Daily Baseline'!L88</x:f>
        <x:v>10</x:v>
      </x:c>
      <x:c r="K91" s="28" t="n">
        <x:f>'Daily Baseline'!M88</x:f>
        <x:v>55</x:v>
      </x:c>
      <x:c r="L91" s="55" t="n">
        <x:f>'Daily Baseline'!N88</x:f>
        <x:v>62</x:v>
      </x:c>
      <x:c r="M91" s="28" t="n">
        <x:f>'Daily Baseline'!O88</x:f>
        <x:v>70</x:v>
      </x:c>
      <x:c r="N91" s="28" t="n">
        <x:f>'Daily Baseline'!P88</x:f>
        <x:v>60</x:v>
      </x:c>
      <x:c r="O91" s="55" t="n">
        <x:f>'Daily Baseline'!Q88</x:f>
        <x:v>70</x:v>
      </x:c>
      <x:c r="P91" s="28" t="n">
        <x:f>'Daily Baseline'!R88</x:f>
        <x:v>80</x:v>
      </x:c>
      <x:c r="Q91" s="28" t="n">
        <x:f>'Daily Baseline'!S88</x:f>
        <x:v>12</x:v>
      </x:c>
      <x:c r="R91" s="28" t="n">
        <x:f>'Daily Baseline'!T88</x:f>
        <x:v>15</x:v>
      </x:c>
      <x:c r="S91" s="55" t="n">
        <x:f>'Daily Baseline'!U88</x:f>
        <x:v>18</x:v>
      </x:c>
      <x:c r="T91" s="28" t="n">
        <x:f>'Daily Baseline'!V88</x:f>
        <x:v>937</x:v>
      </x:c>
      <x:c r="U91" s="55" t="n">
        <x:f>'Daily Baseline'!W88</x:f>
        <x:v>1195</x:v>
      </x:c>
      <x:c r="V91" s="28" t="n">
        <x:f>'Daily Baseline'!X88</x:f>
        <x:v>1438</x:v>
      </x:c>
    </x:row>
    <x:row r="92">
      <x:c r="A92" s="30" t="n">
        <x:f>'Daily Baseline'!A89</x:f>
        <x:v>87</x:v>
      </x:c>
      <x:c r="B92" s="11" t="str">
        <x:f>'Daily Baseline'!B89</x:f>
        <x:v>Ripening</x:v>
      </x:c>
      <x:c r="C92" s="28" t="n">
        <x:f>'Daily Baseline'!C89</x:f>
        <x:v>80.5</x:v>
      </x:c>
      <x:c r="D92" s="28" t="n">
        <x:f>'Daily Baseline'!D89</x:f>
        <x:v>82</x:v>
      </x:c>
      <x:c r="E92" s="30" t="n">
        <x:f>'Daily Baseline'!F89</x:f>
        <x:v>9</x:v>
      </x:c>
      <x:c r="F92" s="30" t="n">
        <x:f>'Daily Baseline'!H89</x:f>
        <x:v>9</x:v>
      </x:c>
      <x:c r="G92" s="28" t="n">
        <x:f>'Daily Baseline'!I89</x:f>
        <x:v>46.25</x:v>
      </x:c>
      <x:c r="H92" s="28" t="n">
        <x:f>'Daily Baseline'!J89</x:f>
        <x:v>8</x:v>
      </x:c>
      <x:c r="I92" s="55" t="n">
        <x:f>'Daily Baseline'!K89</x:f>
        <x:v>9</x:v>
      </x:c>
      <x:c r="J92" s="28" t="n">
        <x:f>'Daily Baseline'!L89</x:f>
        <x:v>10</x:v>
      </x:c>
      <x:c r="K92" s="28" t="n">
        <x:f>'Daily Baseline'!M89</x:f>
        <x:v>55</x:v>
      </x:c>
      <x:c r="L92" s="55" t="n">
        <x:f>'Daily Baseline'!N89</x:f>
        <x:v>62</x:v>
      </x:c>
      <x:c r="M92" s="28" t="n">
        <x:f>'Daily Baseline'!O89</x:f>
        <x:v>70</x:v>
      </x:c>
      <x:c r="N92" s="28" t="n">
        <x:f>'Daily Baseline'!P89</x:f>
        <x:v>60</x:v>
      </x:c>
      <x:c r="O92" s="55" t="n">
        <x:f>'Daily Baseline'!Q89</x:f>
        <x:v>70</x:v>
      </x:c>
      <x:c r="P92" s="28" t="n">
        <x:f>'Daily Baseline'!R89</x:f>
        <x:v>80</x:v>
      </x:c>
      <x:c r="Q92" s="28" t="n">
        <x:f>'Daily Baseline'!S89</x:f>
        <x:v>12</x:v>
      </x:c>
      <x:c r="R92" s="28" t="n">
        <x:f>'Daily Baseline'!T89</x:f>
        <x:v>15</x:v>
      </x:c>
      <x:c r="S92" s="55" t="n">
        <x:f>'Daily Baseline'!U89</x:f>
        <x:v>18</x:v>
      </x:c>
      <x:c r="T92" s="28" t="n">
        <x:f>'Daily Baseline'!V89</x:f>
        <x:v>949</x:v>
      </x:c>
      <x:c r="U92" s="55" t="n">
        <x:f>'Daily Baseline'!W89</x:f>
        <x:v>1210</x:v>
      </x:c>
      <x:c r="V92" s="28" t="n">
        <x:f>'Daily Baseline'!X89</x:f>
        <x:v>1456</x:v>
      </x:c>
    </x:row>
    <x:row r="93">
      <x:c r="A93" s="30" t="n">
        <x:f>'Daily Baseline'!A90</x:f>
        <x:v>88</x:v>
      </x:c>
      <x:c r="B93" s="11" t="str">
        <x:f>'Daily Baseline'!B90</x:f>
        <x:v>Ripening</x:v>
      </x:c>
      <x:c r="C93" s="28" t="n">
        <x:f>'Daily Baseline'!C90</x:f>
        <x:v>81</x:v>
      </x:c>
      <x:c r="D93" s="28" t="n">
        <x:f>'Daily Baseline'!D90</x:f>
        <x:v>83</x:v>
      </x:c>
      <x:c r="E93" s="30" t="n">
        <x:f>'Daily Baseline'!F90</x:f>
        <x:v>8</x:v>
      </x:c>
      <x:c r="F93" s="30" t="n">
        <x:f>'Daily Baseline'!H90</x:f>
        <x:v>10</x:v>
      </x:c>
      <x:c r="G93" s="28" t="n">
        <x:f>'Daily Baseline'!I90</x:f>
        <x:v>47.5</x:v>
      </x:c>
      <x:c r="H93" s="28" t="n">
        <x:f>'Daily Baseline'!J90</x:f>
        <x:v>8</x:v>
      </x:c>
      <x:c r="I93" s="55" t="n">
        <x:f>'Daily Baseline'!K90</x:f>
        <x:v>9</x:v>
      </x:c>
      <x:c r="J93" s="28" t="n">
        <x:f>'Daily Baseline'!L90</x:f>
        <x:v>10</x:v>
      </x:c>
      <x:c r="K93" s="28" t="n">
        <x:f>'Daily Baseline'!M90</x:f>
        <x:v>55</x:v>
      </x:c>
      <x:c r="L93" s="55" t="n">
        <x:f>'Daily Baseline'!N90</x:f>
        <x:v>62</x:v>
      </x:c>
      <x:c r="M93" s="28" t="n">
        <x:f>'Daily Baseline'!O90</x:f>
        <x:v>70</x:v>
      </x:c>
      <x:c r="N93" s="28" t="n">
        <x:f>'Daily Baseline'!P90</x:f>
        <x:v>60</x:v>
      </x:c>
      <x:c r="O93" s="55" t="n">
        <x:f>'Daily Baseline'!Q90</x:f>
        <x:v>70</x:v>
      </x:c>
      <x:c r="P93" s="28" t="n">
        <x:f>'Daily Baseline'!R90</x:f>
        <x:v>80</x:v>
      </x:c>
      <x:c r="Q93" s="28" t="n">
        <x:f>'Daily Baseline'!S90</x:f>
        <x:v>12</x:v>
      </x:c>
      <x:c r="R93" s="28" t="n">
        <x:f>'Daily Baseline'!T90</x:f>
        <x:v>15</x:v>
      </x:c>
      <x:c r="S93" s="55" t="n">
        <x:f>'Daily Baseline'!U90</x:f>
        <x:v>18</x:v>
      </x:c>
      <x:c r="T93" s="28" t="n">
        <x:f>'Daily Baseline'!V90</x:f>
        <x:v>961</x:v>
      </x:c>
      <x:c r="U93" s="55" t="n">
        <x:f>'Daily Baseline'!W90</x:f>
        <x:v>1225</x:v>
      </x:c>
      <x:c r="V93" s="28" t="n">
        <x:f>'Daily Baseline'!X90</x:f>
        <x:v>1474</x:v>
      </x:c>
    </x:row>
    <x:row r="94">
      <x:c r="A94" s="30" t="n">
        <x:f>'Daily Baseline'!A91</x:f>
        <x:v>89</x:v>
      </x:c>
      <x:c r="B94" s="11" t="str">
        <x:f>'Daily Baseline'!B91</x:f>
        <x:v>Ripening</x:v>
      </x:c>
      <x:c r="C94" s="28" t="n">
        <x:f>'Daily Baseline'!C91</x:f>
        <x:v>81.5</x:v>
      </x:c>
      <x:c r="D94" s="28" t="n">
        <x:f>'Daily Baseline'!D91</x:f>
        <x:v>84</x:v>
      </x:c>
      <x:c r="E94" s="30" t="n">
        <x:f>'Daily Baseline'!F91</x:f>
        <x:v>8</x:v>
      </x:c>
      <x:c r="F94" s="30" t="n">
        <x:f>'Daily Baseline'!H91</x:f>
        <x:v>10</x:v>
      </x:c>
      <x:c r="G94" s="28" t="n">
        <x:f>'Daily Baseline'!I91</x:f>
        <x:v>48.75</x:v>
      </x:c>
      <x:c r="H94" s="28" t="n">
        <x:f>'Daily Baseline'!J91</x:f>
        <x:v>8</x:v>
      </x:c>
      <x:c r="I94" s="55" t="n">
        <x:f>'Daily Baseline'!K91</x:f>
        <x:v>9</x:v>
      </x:c>
      <x:c r="J94" s="28" t="n">
        <x:f>'Daily Baseline'!L91</x:f>
        <x:v>10</x:v>
      </x:c>
      <x:c r="K94" s="28" t="n">
        <x:f>'Daily Baseline'!M91</x:f>
        <x:v>55</x:v>
      </x:c>
      <x:c r="L94" s="55" t="n">
        <x:f>'Daily Baseline'!N91</x:f>
        <x:v>62</x:v>
      </x:c>
      <x:c r="M94" s="28" t="n">
        <x:f>'Daily Baseline'!O91</x:f>
        <x:v>70</x:v>
      </x:c>
      <x:c r="N94" s="28" t="n">
        <x:f>'Daily Baseline'!P91</x:f>
        <x:v>60</x:v>
      </x:c>
      <x:c r="O94" s="55" t="n">
        <x:f>'Daily Baseline'!Q91</x:f>
        <x:v>70</x:v>
      </x:c>
      <x:c r="P94" s="28" t="n">
        <x:f>'Daily Baseline'!R91</x:f>
        <x:v>80</x:v>
      </x:c>
      <x:c r="Q94" s="28" t="n">
        <x:f>'Daily Baseline'!S91</x:f>
        <x:v>12</x:v>
      </x:c>
      <x:c r="R94" s="28" t="n">
        <x:f>'Daily Baseline'!T91</x:f>
        <x:v>15</x:v>
      </x:c>
      <x:c r="S94" s="55" t="n">
        <x:f>'Daily Baseline'!U91</x:f>
        <x:v>18</x:v>
      </x:c>
      <x:c r="T94" s="28" t="n">
        <x:f>'Daily Baseline'!V91</x:f>
        <x:v>973</x:v>
      </x:c>
      <x:c r="U94" s="55" t="n">
        <x:f>'Daily Baseline'!W91</x:f>
        <x:v>1240</x:v>
      </x:c>
      <x:c r="V94" s="28" t="n">
        <x:f>'Daily Baseline'!X91</x:f>
        <x:v>1492</x:v>
      </x:c>
    </x:row>
    <x:row r="95">
      <x:c r="A95" s="30" t="n">
        <x:f>'Daily Baseline'!A92</x:f>
        <x:v>90</x:v>
      </x:c>
      <x:c r="B95" s="11" t="str">
        <x:f>'Daily Baseline'!B92</x:f>
        <x:v>Ripening</x:v>
      </x:c>
      <x:c r="C95" s="28" t="n">
        <x:f>'Daily Baseline'!C92</x:f>
        <x:v>82</x:v>
      </x:c>
      <x:c r="D95" s="28" t="n">
        <x:f>'Daily Baseline'!D92</x:f>
        <x:v>85</x:v>
      </x:c>
      <x:c r="E95" s="30" t="n">
        <x:f>'Daily Baseline'!F92</x:f>
        <x:v>8</x:v>
      </x:c>
      <x:c r="F95" s="30" t="n">
        <x:f>'Daily Baseline'!H92</x:f>
        <x:v>10</x:v>
      </x:c>
      <x:c r="G95" s="28" t="n">
        <x:f>'Daily Baseline'!I92</x:f>
        <x:v>50</x:v>
      </x:c>
      <x:c r="H95" s="28" t="n">
        <x:f>'Daily Baseline'!J92</x:f>
        <x:v>8</x:v>
      </x:c>
      <x:c r="I95" s="55" t="n">
        <x:f>'Daily Baseline'!K92</x:f>
        <x:v>9</x:v>
      </x:c>
      <x:c r="J95" s="28" t="n">
        <x:f>'Daily Baseline'!L92</x:f>
        <x:v>10</x:v>
      </x:c>
      <x:c r="K95" s="28" t="n">
        <x:f>'Daily Baseline'!M92</x:f>
        <x:v>55</x:v>
      </x:c>
      <x:c r="L95" s="55" t="n">
        <x:f>'Daily Baseline'!N92</x:f>
        <x:v>62</x:v>
      </x:c>
      <x:c r="M95" s="28" t="n">
        <x:f>'Daily Baseline'!O92</x:f>
        <x:v>70</x:v>
      </x:c>
      <x:c r="N95" s="28" t="n">
        <x:f>'Daily Baseline'!P92</x:f>
        <x:v>60</x:v>
      </x:c>
      <x:c r="O95" s="55" t="n">
        <x:f>'Daily Baseline'!Q92</x:f>
        <x:v>70</x:v>
      </x:c>
      <x:c r="P95" s="28" t="n">
        <x:f>'Daily Baseline'!R92</x:f>
        <x:v>80</x:v>
      </x:c>
      <x:c r="Q95" s="28" t="n">
        <x:f>'Daily Baseline'!S92</x:f>
        <x:v>12</x:v>
      </x:c>
      <x:c r="R95" s="28" t="n">
        <x:f>'Daily Baseline'!T92</x:f>
        <x:v>15</x:v>
      </x:c>
      <x:c r="S95" s="55" t="n">
        <x:f>'Daily Baseline'!U92</x:f>
        <x:v>18</x:v>
      </x:c>
      <x:c r="T95" s="28" t="n">
        <x:f>'Daily Baseline'!V92</x:f>
        <x:v>985</x:v>
      </x:c>
      <x:c r="U95" s="55" t="n">
        <x:f>'Daily Baseline'!W92</x:f>
        <x:v>1255</x:v>
      </x:c>
      <x:c r="V95" s="28" t="n">
        <x:f>'Daily Baseline'!X92</x:f>
        <x:v>1510</x:v>
      </x:c>
    </x:row>
    <x:row r="96">
      <x:c r="A96" s="30" t="n">
        <x:f>'Daily Baseline'!A93</x:f>
        <x:v>91</x:v>
      </x:c>
      <x:c r="B96" s="11" t="str">
        <x:f>'Daily Baseline'!B93</x:f>
        <x:v>Ripening</x:v>
      </x:c>
      <x:c r="C96" s="28" t="n">
        <x:f>'Daily Baseline'!C93</x:f>
        <x:v>82.26666666666667</x:v>
      </x:c>
      <x:c r="D96" s="28" t="n">
        <x:f>'Daily Baseline'!D93</x:f>
        <x:v>85.5</x:v>
      </x:c>
      <x:c r="E96" s="30" t="n">
        <x:f>'Daily Baseline'!F93</x:f>
        <x:v>8</x:v>
      </x:c>
      <x:c r="F96" s="30" t="n">
        <x:f>'Daily Baseline'!H93</x:f>
        <x:v>10</x:v>
      </x:c>
      <x:c r="G96" s="28" t="n">
        <x:f>'Daily Baseline'!I93</x:f>
        <x:v>50.166666666666664</x:v>
      </x:c>
      <x:c r="H96" s="28" t="n">
        <x:f>'Daily Baseline'!J93</x:f>
        <x:v>8</x:v>
      </x:c>
      <x:c r="I96" s="55" t="n">
        <x:f>'Daily Baseline'!K93</x:f>
        <x:v>9</x:v>
      </x:c>
      <x:c r="J96" s="28" t="n">
        <x:f>'Daily Baseline'!L93</x:f>
        <x:v>10</x:v>
      </x:c>
      <x:c r="K96" s="28" t="n">
        <x:f>'Daily Baseline'!M93</x:f>
        <x:v>55</x:v>
      </x:c>
      <x:c r="L96" s="55" t="n">
        <x:f>'Daily Baseline'!N93</x:f>
        <x:v>62</x:v>
      </x:c>
      <x:c r="M96" s="28" t="n">
        <x:f>'Daily Baseline'!O93</x:f>
        <x:v>70</x:v>
      </x:c>
      <x:c r="N96" s="28" t="n">
        <x:f>'Daily Baseline'!P93</x:f>
        <x:v>60</x:v>
      </x:c>
      <x:c r="O96" s="55" t="n">
        <x:f>'Daily Baseline'!Q93</x:f>
        <x:v>70</x:v>
      </x:c>
      <x:c r="P96" s="28" t="n">
        <x:f>'Daily Baseline'!R93</x:f>
        <x:v>80</x:v>
      </x:c>
      <x:c r="Q96" s="28" t="n">
        <x:f>'Daily Baseline'!S93</x:f>
        <x:v>12</x:v>
      </x:c>
      <x:c r="R96" s="28" t="n">
        <x:f>'Daily Baseline'!T93</x:f>
        <x:v>15</x:v>
      </x:c>
      <x:c r="S96" s="55" t="n">
        <x:f>'Daily Baseline'!U93</x:f>
        <x:v>18</x:v>
      </x:c>
      <x:c r="T96" s="28" t="n">
        <x:f>'Daily Baseline'!V93</x:f>
        <x:v>997</x:v>
      </x:c>
      <x:c r="U96" s="55" t="n">
        <x:f>'Daily Baseline'!W93</x:f>
        <x:v>1270</x:v>
      </x:c>
      <x:c r="V96" s="28" t="n">
        <x:f>'Daily Baseline'!X93</x:f>
        <x:v>1528</x:v>
      </x:c>
    </x:row>
    <x:row r="97">
      <x:c r="A97" s="30" t="n">
        <x:f>'Daily Baseline'!A94</x:f>
        <x:v>92</x:v>
      </x:c>
      <x:c r="B97" s="11" t="str">
        <x:f>'Daily Baseline'!B94</x:f>
        <x:v>Ripening</x:v>
      </x:c>
      <x:c r="C97" s="28" t="n">
        <x:f>'Daily Baseline'!C94</x:f>
        <x:v>82.53333333333333</x:v>
      </x:c>
      <x:c r="D97" s="28" t="n">
        <x:f>'Daily Baseline'!D94</x:f>
        <x:v>86</x:v>
      </x:c>
      <x:c r="E97" s="30" t="n">
        <x:f>'Daily Baseline'!F94</x:f>
        <x:v>8</x:v>
      </x:c>
      <x:c r="F97" s="30" t="n">
        <x:f>'Daily Baseline'!H94</x:f>
        <x:v>10</x:v>
      </x:c>
      <x:c r="G97" s="28" t="n">
        <x:f>'Daily Baseline'!I94</x:f>
        <x:v>50.333333333333336</x:v>
      </x:c>
      <x:c r="H97" s="28" t="n">
        <x:f>'Daily Baseline'!J94</x:f>
        <x:v>8</x:v>
      </x:c>
      <x:c r="I97" s="55" t="n">
        <x:f>'Daily Baseline'!K94</x:f>
        <x:v>9</x:v>
      </x:c>
      <x:c r="J97" s="28" t="n">
        <x:f>'Daily Baseline'!L94</x:f>
        <x:v>10</x:v>
      </x:c>
      <x:c r="K97" s="28" t="n">
        <x:f>'Daily Baseline'!M94</x:f>
        <x:v>55</x:v>
      </x:c>
      <x:c r="L97" s="55" t="n">
        <x:f>'Daily Baseline'!N94</x:f>
        <x:v>62</x:v>
      </x:c>
      <x:c r="M97" s="28" t="n">
        <x:f>'Daily Baseline'!O94</x:f>
        <x:v>70</x:v>
      </x:c>
      <x:c r="N97" s="28" t="n">
        <x:f>'Daily Baseline'!P94</x:f>
        <x:v>60</x:v>
      </x:c>
      <x:c r="O97" s="55" t="n">
        <x:f>'Daily Baseline'!Q94</x:f>
        <x:v>70</x:v>
      </x:c>
      <x:c r="P97" s="28" t="n">
        <x:f>'Daily Baseline'!R94</x:f>
        <x:v>80</x:v>
      </x:c>
      <x:c r="Q97" s="28" t="n">
        <x:f>'Daily Baseline'!S94</x:f>
        <x:v>12</x:v>
      </x:c>
      <x:c r="R97" s="28" t="n">
        <x:f>'Daily Baseline'!T94</x:f>
        <x:v>15</x:v>
      </x:c>
      <x:c r="S97" s="55" t="n">
        <x:f>'Daily Baseline'!U94</x:f>
        <x:v>18</x:v>
      </x:c>
      <x:c r="T97" s="28" t="n">
        <x:f>'Daily Baseline'!V94</x:f>
        <x:v>1009</x:v>
      </x:c>
      <x:c r="U97" s="55" t="n">
        <x:f>'Daily Baseline'!W94</x:f>
        <x:v>1285</x:v>
      </x:c>
      <x:c r="V97" s="28" t="n">
        <x:f>'Daily Baseline'!X94</x:f>
        <x:v>1546</x:v>
      </x:c>
    </x:row>
    <x:row r="98">
      <x:c r="A98" s="30" t="n">
        <x:f>'Daily Baseline'!A95</x:f>
        <x:v>93</x:v>
      </x:c>
      <x:c r="B98" s="11" t="str">
        <x:f>'Daily Baseline'!B95</x:f>
        <x:v>Ripening</x:v>
      </x:c>
      <x:c r="C98" s="28" t="n">
        <x:f>'Daily Baseline'!C95</x:f>
        <x:v>82.8</x:v>
      </x:c>
      <x:c r="D98" s="28" t="n">
        <x:f>'Daily Baseline'!D95</x:f>
        <x:v>86.5</x:v>
      </x:c>
      <x:c r="E98" s="30" t="n">
        <x:f>'Daily Baseline'!F95</x:f>
        <x:v>8</x:v>
      </x:c>
      <x:c r="F98" s="30" t="n">
        <x:f>'Daily Baseline'!H95</x:f>
        <x:v>10</x:v>
      </x:c>
      <x:c r="G98" s="28" t="n">
        <x:f>'Daily Baseline'!I95</x:f>
        <x:v>50.5</x:v>
      </x:c>
      <x:c r="H98" s="28" t="n">
        <x:f>'Daily Baseline'!J95</x:f>
        <x:v>8</x:v>
      </x:c>
      <x:c r="I98" s="55" t="n">
        <x:f>'Daily Baseline'!K95</x:f>
        <x:v>9</x:v>
      </x:c>
      <x:c r="J98" s="28" t="n">
        <x:f>'Daily Baseline'!L95</x:f>
        <x:v>10</x:v>
      </x:c>
      <x:c r="K98" s="28" t="n">
        <x:f>'Daily Baseline'!M95</x:f>
        <x:v>55</x:v>
      </x:c>
      <x:c r="L98" s="55" t="n">
        <x:f>'Daily Baseline'!N95</x:f>
        <x:v>62</x:v>
      </x:c>
      <x:c r="M98" s="28" t="n">
        <x:f>'Daily Baseline'!O95</x:f>
        <x:v>70</x:v>
      </x:c>
      <x:c r="N98" s="28" t="n">
        <x:f>'Daily Baseline'!P95</x:f>
        <x:v>60</x:v>
      </x:c>
      <x:c r="O98" s="55" t="n">
        <x:f>'Daily Baseline'!Q95</x:f>
        <x:v>70</x:v>
      </x:c>
      <x:c r="P98" s="28" t="n">
        <x:f>'Daily Baseline'!R95</x:f>
        <x:v>80</x:v>
      </x:c>
      <x:c r="Q98" s="28" t="n">
        <x:f>'Daily Baseline'!S95</x:f>
        <x:v>12</x:v>
      </x:c>
      <x:c r="R98" s="28" t="n">
        <x:f>'Daily Baseline'!T95</x:f>
        <x:v>15</x:v>
      </x:c>
      <x:c r="S98" s="55" t="n">
        <x:f>'Daily Baseline'!U95</x:f>
        <x:v>18</x:v>
      </x:c>
      <x:c r="T98" s="28" t="n">
        <x:f>'Daily Baseline'!V95</x:f>
        <x:v>1021</x:v>
      </x:c>
      <x:c r="U98" s="55" t="n">
        <x:f>'Daily Baseline'!W95</x:f>
        <x:v>1300</x:v>
      </x:c>
      <x:c r="V98" s="28" t="n">
        <x:f>'Daily Baseline'!X95</x:f>
        <x:v>1564</x:v>
      </x:c>
    </x:row>
    <x:row r="99">
      <x:c r="A99" s="30" t="n">
        <x:f>'Daily Baseline'!A96</x:f>
        <x:v>94</x:v>
      </x:c>
      <x:c r="B99" s="11" t="str">
        <x:f>'Daily Baseline'!B96</x:f>
        <x:v>Ripening</x:v>
      </x:c>
      <x:c r="C99" s="28" t="n">
        <x:f>'Daily Baseline'!C96</x:f>
        <x:v>83.06666666666666</x:v>
      </x:c>
      <x:c r="D99" s="28" t="n">
        <x:f>'Daily Baseline'!D96</x:f>
        <x:v>87</x:v>
      </x:c>
      <x:c r="E99" s="30" t="n">
        <x:f>'Daily Baseline'!F96</x:f>
        <x:v>8</x:v>
      </x:c>
      <x:c r="F99" s="30" t="n">
        <x:f>'Daily Baseline'!H96</x:f>
        <x:v>10</x:v>
      </x:c>
      <x:c r="G99" s="28" t="n">
        <x:f>'Daily Baseline'!I96</x:f>
        <x:v>50.666666666666664</x:v>
      </x:c>
      <x:c r="H99" s="28" t="n">
        <x:f>'Daily Baseline'!J96</x:f>
        <x:v>8</x:v>
      </x:c>
      <x:c r="I99" s="55" t="n">
        <x:f>'Daily Baseline'!K96</x:f>
        <x:v>9</x:v>
      </x:c>
      <x:c r="J99" s="28" t="n">
        <x:f>'Daily Baseline'!L96</x:f>
        <x:v>10</x:v>
      </x:c>
      <x:c r="K99" s="28" t="n">
        <x:f>'Daily Baseline'!M96</x:f>
        <x:v>55</x:v>
      </x:c>
      <x:c r="L99" s="55" t="n">
        <x:f>'Daily Baseline'!N96</x:f>
        <x:v>62</x:v>
      </x:c>
      <x:c r="M99" s="28" t="n">
        <x:f>'Daily Baseline'!O96</x:f>
        <x:v>70</x:v>
      </x:c>
      <x:c r="N99" s="28" t="n">
        <x:f>'Daily Baseline'!P96</x:f>
        <x:v>60</x:v>
      </x:c>
      <x:c r="O99" s="55" t="n">
        <x:f>'Daily Baseline'!Q96</x:f>
        <x:v>70</x:v>
      </x:c>
      <x:c r="P99" s="28" t="n">
        <x:f>'Daily Baseline'!R96</x:f>
        <x:v>80</x:v>
      </x:c>
      <x:c r="Q99" s="28" t="n">
        <x:f>'Daily Baseline'!S96</x:f>
        <x:v>12</x:v>
      </x:c>
      <x:c r="R99" s="28" t="n">
        <x:f>'Daily Baseline'!T96</x:f>
        <x:v>15</x:v>
      </x:c>
      <x:c r="S99" s="55" t="n">
        <x:f>'Daily Baseline'!U96</x:f>
        <x:v>18</x:v>
      </x:c>
      <x:c r="T99" s="28" t="n">
        <x:f>'Daily Baseline'!V96</x:f>
        <x:v>1033</x:v>
      </x:c>
      <x:c r="U99" s="55" t="n">
        <x:f>'Daily Baseline'!W96</x:f>
        <x:v>1315</x:v>
      </x:c>
      <x:c r="V99" s="28" t="n">
        <x:f>'Daily Baseline'!X96</x:f>
        <x:v>1582</x:v>
      </x:c>
    </x:row>
    <x:row r="100">
      <x:c r="A100" s="30" t="n">
        <x:f>'Daily Baseline'!A97</x:f>
        <x:v>95</x:v>
      </x:c>
      <x:c r="B100" s="11" t="str">
        <x:f>'Daily Baseline'!B97</x:f>
        <x:v>Ripening</x:v>
      </x:c>
      <x:c r="C100" s="28" t="n">
        <x:f>'Daily Baseline'!C97</x:f>
        <x:v>83.33333333333333</x:v>
      </x:c>
      <x:c r="D100" s="28" t="n">
        <x:f>'Daily Baseline'!D97</x:f>
        <x:v>87.5</x:v>
      </x:c>
      <x:c r="E100" s="30" t="n">
        <x:f>'Daily Baseline'!F97</x:f>
        <x:v>8</x:v>
      </x:c>
      <x:c r="F100" s="30" t="n">
        <x:f>'Daily Baseline'!H97</x:f>
        <x:v>10</x:v>
      </x:c>
      <x:c r="G100" s="28" t="n">
        <x:f>'Daily Baseline'!I97</x:f>
        <x:v>50.833333333333336</x:v>
      </x:c>
      <x:c r="H100" s="28" t="n">
        <x:f>'Daily Baseline'!J97</x:f>
        <x:v>8</x:v>
      </x:c>
      <x:c r="I100" s="55" t="n">
        <x:f>'Daily Baseline'!K97</x:f>
        <x:v>9</x:v>
      </x:c>
      <x:c r="J100" s="28" t="n">
        <x:f>'Daily Baseline'!L97</x:f>
        <x:v>10</x:v>
      </x:c>
      <x:c r="K100" s="28" t="n">
        <x:f>'Daily Baseline'!M97</x:f>
        <x:v>55</x:v>
      </x:c>
      <x:c r="L100" s="55" t="n">
        <x:f>'Daily Baseline'!N97</x:f>
        <x:v>62</x:v>
      </x:c>
      <x:c r="M100" s="28" t="n">
        <x:f>'Daily Baseline'!O97</x:f>
        <x:v>70</x:v>
      </x:c>
      <x:c r="N100" s="28" t="n">
        <x:f>'Daily Baseline'!P97</x:f>
        <x:v>60</x:v>
      </x:c>
      <x:c r="O100" s="55" t="n">
        <x:f>'Daily Baseline'!Q97</x:f>
        <x:v>70</x:v>
      </x:c>
      <x:c r="P100" s="28" t="n">
        <x:f>'Daily Baseline'!R97</x:f>
        <x:v>80</x:v>
      </x:c>
      <x:c r="Q100" s="28" t="n">
        <x:f>'Daily Baseline'!S97</x:f>
        <x:v>12</x:v>
      </x:c>
      <x:c r="R100" s="28" t="n">
        <x:f>'Daily Baseline'!T97</x:f>
        <x:v>15</x:v>
      </x:c>
      <x:c r="S100" s="55" t="n">
        <x:f>'Daily Baseline'!U97</x:f>
        <x:v>18</x:v>
      </x:c>
      <x:c r="T100" s="28" t="n">
        <x:f>'Daily Baseline'!V97</x:f>
        <x:v>1045</x:v>
      </x:c>
      <x:c r="U100" s="55" t="n">
        <x:f>'Daily Baseline'!W97</x:f>
        <x:v>1330</x:v>
      </x:c>
      <x:c r="V100" s="28" t="n">
        <x:f>'Daily Baseline'!X97</x:f>
        <x:v>1600</x:v>
      </x:c>
    </x:row>
    <x:row r="101">
      <x:c r="A101" s="30" t="n">
        <x:f>'Daily Baseline'!A98</x:f>
        <x:v>96</x:v>
      </x:c>
      <x:c r="B101" s="11" t="str">
        <x:f>'Daily Baseline'!B98</x:f>
        <x:v>Harvesting</x:v>
      </x:c>
      <x:c r="C101" s="28" t="n">
        <x:f>'Daily Baseline'!C98</x:f>
        <x:v>83.6</x:v>
      </x:c>
      <x:c r="D101" s="28" t="n">
        <x:f>'Daily Baseline'!D98</x:f>
        <x:v>88</x:v>
      </x:c>
      <x:c r="E101" s="30" t="n">
        <x:f>'Daily Baseline'!F98</x:f>
        <x:v>7</x:v>
      </x:c>
      <x:c r="F101" s="30" t="n">
        <x:f>'Daily Baseline'!H98</x:f>
        <x:v>10</x:v>
      </x:c>
      <x:c r="G101" s="28" t="n">
        <x:f>'Daily Baseline'!I98</x:f>
        <x:v>51</x:v>
      </x:c>
      <x:c r="H101" s="28" t="n">
        <x:f>'Daily Baseline'!J98</x:f>
        <x:v>8</x:v>
      </x:c>
      <x:c r="I101" s="55" t="n">
        <x:f>'Daily Baseline'!K98</x:f>
        <x:v>9</x:v>
      </x:c>
      <x:c r="J101" s="28" t="n">
        <x:f>'Daily Baseline'!L98</x:f>
        <x:v>10</x:v>
      </x:c>
      <x:c r="K101" s="28" t="n">
        <x:f>'Daily Baseline'!M98</x:f>
        <x:v>55</x:v>
      </x:c>
      <x:c r="L101" s="55" t="n">
        <x:f>'Daily Baseline'!N98</x:f>
        <x:v>62</x:v>
      </x:c>
      <x:c r="M101" s="28" t="n">
        <x:f>'Daily Baseline'!O98</x:f>
        <x:v>70</x:v>
      </x:c>
      <x:c r="N101" s="28" t="n">
        <x:f>'Daily Baseline'!P98</x:f>
        <x:v>60</x:v>
      </x:c>
      <x:c r="O101" s="55" t="n">
        <x:f>'Daily Baseline'!Q98</x:f>
        <x:v>70</x:v>
      </x:c>
      <x:c r="P101" s="28" t="n">
        <x:f>'Daily Baseline'!R98</x:f>
        <x:v>80</x:v>
      </x:c>
      <x:c r="Q101" s="28" t="n">
        <x:f>'Daily Baseline'!S98</x:f>
        <x:v>12</x:v>
      </x:c>
      <x:c r="R101" s="28" t="n">
        <x:f>'Daily Baseline'!T98</x:f>
        <x:v>15</x:v>
      </x:c>
      <x:c r="S101" s="55" t="n">
        <x:f>'Daily Baseline'!U98</x:f>
        <x:v>18</x:v>
      </x:c>
      <x:c r="T101" s="28" t="n">
        <x:f>'Daily Baseline'!V98</x:f>
        <x:v>1057</x:v>
      </x:c>
      <x:c r="U101" s="55" t="n">
        <x:f>'Daily Baseline'!W98</x:f>
        <x:v>1345</x:v>
      </x:c>
      <x:c r="V101" s="28" t="n">
        <x:f>'Daily Baseline'!X98</x:f>
        <x:v>1618</x:v>
      </x:c>
    </x:row>
    <x:row r="102">
      <x:c r="A102" s="30" t="n">
        <x:f>'Daily Baseline'!A99</x:f>
        <x:v>97</x:v>
      </x:c>
      <x:c r="B102" s="11" t="str">
        <x:f>'Daily Baseline'!B99</x:f>
        <x:v>Harvesting</x:v>
      </x:c>
      <x:c r="C102" s="28" t="n">
        <x:f>'Daily Baseline'!C99</x:f>
        <x:v>83.86666666666666</x:v>
      </x:c>
      <x:c r="D102" s="28" t="n">
        <x:f>'Daily Baseline'!D99</x:f>
        <x:v>88.5</x:v>
      </x:c>
      <x:c r="E102" s="30" t="n">
        <x:f>'Daily Baseline'!F99</x:f>
        <x:v>7</x:v>
      </x:c>
      <x:c r="F102" s="30" t="n">
        <x:f>'Daily Baseline'!H99</x:f>
        <x:v>10</x:v>
      </x:c>
      <x:c r="G102" s="28" t="n">
        <x:f>'Daily Baseline'!I99</x:f>
        <x:v>51.166666666666664</x:v>
      </x:c>
      <x:c r="H102" s="28" t="n">
        <x:f>'Daily Baseline'!J99</x:f>
        <x:v>8</x:v>
      </x:c>
      <x:c r="I102" s="55" t="n">
        <x:f>'Daily Baseline'!K99</x:f>
        <x:v>9</x:v>
      </x:c>
      <x:c r="J102" s="28" t="n">
        <x:f>'Daily Baseline'!L99</x:f>
        <x:v>10</x:v>
      </x:c>
      <x:c r="K102" s="28" t="n">
        <x:f>'Daily Baseline'!M99</x:f>
        <x:v>55</x:v>
      </x:c>
      <x:c r="L102" s="55" t="n">
        <x:f>'Daily Baseline'!N99</x:f>
        <x:v>62</x:v>
      </x:c>
      <x:c r="M102" s="28" t="n">
        <x:f>'Daily Baseline'!O99</x:f>
        <x:v>70</x:v>
      </x:c>
      <x:c r="N102" s="28" t="n">
        <x:f>'Daily Baseline'!P99</x:f>
        <x:v>60</x:v>
      </x:c>
      <x:c r="O102" s="55" t="n">
        <x:f>'Daily Baseline'!Q99</x:f>
        <x:v>70</x:v>
      </x:c>
      <x:c r="P102" s="28" t="n">
        <x:f>'Daily Baseline'!R99</x:f>
        <x:v>80</x:v>
      </x:c>
      <x:c r="Q102" s="28" t="n">
        <x:f>'Daily Baseline'!S99</x:f>
        <x:v>12</x:v>
      </x:c>
      <x:c r="R102" s="28" t="n">
        <x:f>'Daily Baseline'!T99</x:f>
        <x:v>15</x:v>
      </x:c>
      <x:c r="S102" s="55" t="n">
        <x:f>'Daily Baseline'!U99</x:f>
        <x:v>18</x:v>
      </x:c>
      <x:c r="T102" s="28" t="n">
        <x:f>'Daily Baseline'!V99</x:f>
        <x:v>1069</x:v>
      </x:c>
      <x:c r="U102" s="55" t="n">
        <x:f>'Daily Baseline'!W99</x:f>
        <x:v>1360</x:v>
      </x:c>
      <x:c r="V102" s="28" t="n">
        <x:f>'Daily Baseline'!X99</x:f>
        <x:v>1636</x:v>
      </x:c>
    </x:row>
    <x:row r="103">
      <x:c r="A103" s="30" t="n">
        <x:f>'Daily Baseline'!A100</x:f>
        <x:v>98</x:v>
      </x:c>
      <x:c r="B103" s="11" t="str">
        <x:f>'Daily Baseline'!B100</x:f>
        <x:v>Harvesting</x:v>
      </x:c>
      <x:c r="C103" s="28" t="n">
        <x:f>'Daily Baseline'!C100</x:f>
        <x:v>84.13333333333334</x:v>
      </x:c>
      <x:c r="D103" s="28" t="n">
        <x:f>'Daily Baseline'!D100</x:f>
        <x:v>89</x:v>
      </x:c>
      <x:c r="E103" s="30" t="n">
        <x:f>'Daily Baseline'!F100</x:f>
        <x:v>7</x:v>
      </x:c>
      <x:c r="F103" s="30" t="n">
        <x:f>'Daily Baseline'!H100</x:f>
        <x:v>11</x:v>
      </x:c>
      <x:c r="G103" s="28" t="n">
        <x:f>'Daily Baseline'!I100</x:f>
        <x:v>51.333333333333336</x:v>
      </x:c>
      <x:c r="H103" s="28" t="n">
        <x:f>'Daily Baseline'!J100</x:f>
        <x:v>8</x:v>
      </x:c>
      <x:c r="I103" s="55" t="n">
        <x:f>'Daily Baseline'!K100</x:f>
        <x:v>9</x:v>
      </x:c>
      <x:c r="J103" s="28" t="n">
        <x:f>'Daily Baseline'!L100</x:f>
        <x:v>10</x:v>
      </x:c>
      <x:c r="K103" s="28" t="n">
        <x:f>'Daily Baseline'!M100</x:f>
        <x:v>55</x:v>
      </x:c>
      <x:c r="L103" s="55" t="n">
        <x:f>'Daily Baseline'!N100</x:f>
        <x:v>62</x:v>
      </x:c>
      <x:c r="M103" s="28" t="n">
        <x:f>'Daily Baseline'!O100</x:f>
        <x:v>70</x:v>
      </x:c>
      <x:c r="N103" s="28" t="n">
        <x:f>'Daily Baseline'!P100</x:f>
        <x:v>60</x:v>
      </x:c>
      <x:c r="O103" s="55" t="n">
        <x:f>'Daily Baseline'!Q100</x:f>
        <x:v>70</x:v>
      </x:c>
      <x:c r="P103" s="28" t="n">
        <x:f>'Daily Baseline'!R100</x:f>
        <x:v>80</x:v>
      </x:c>
      <x:c r="Q103" s="28" t="n">
        <x:f>'Daily Baseline'!S100</x:f>
        <x:v>12</x:v>
      </x:c>
      <x:c r="R103" s="28" t="n">
        <x:f>'Daily Baseline'!T100</x:f>
        <x:v>15</x:v>
      </x:c>
      <x:c r="S103" s="55" t="n">
        <x:f>'Daily Baseline'!U100</x:f>
        <x:v>18</x:v>
      </x:c>
      <x:c r="T103" s="28" t="n">
        <x:f>'Daily Baseline'!V100</x:f>
        <x:v>1081</x:v>
      </x:c>
      <x:c r="U103" s="55" t="n">
        <x:f>'Daily Baseline'!W100</x:f>
        <x:v>1375</x:v>
      </x:c>
      <x:c r="V103" s="28" t="n">
        <x:f>'Daily Baseline'!X100</x:f>
        <x:v>1654</x:v>
      </x:c>
    </x:row>
    <x:row r="104">
      <x:c r="A104" s="30" t="n">
        <x:f>'Daily Baseline'!A101</x:f>
        <x:v>99</x:v>
      </x:c>
      <x:c r="B104" s="11" t="str">
        <x:f>'Daily Baseline'!B101</x:f>
        <x:v>Harvesting</x:v>
      </x:c>
      <x:c r="C104" s="28" t="n">
        <x:f>'Daily Baseline'!C101</x:f>
        <x:v>84.4</x:v>
      </x:c>
      <x:c r="D104" s="28" t="n">
        <x:f>'Daily Baseline'!D101</x:f>
        <x:v>89.5</x:v>
      </x:c>
      <x:c r="E104" s="30" t="n">
        <x:f>'Daily Baseline'!F101</x:f>
        <x:v>7</x:v>
      </x:c>
      <x:c r="F104" s="30" t="n">
        <x:f>'Daily Baseline'!H101</x:f>
        <x:v>11</x:v>
      </x:c>
      <x:c r="G104" s="28" t="n">
        <x:f>'Daily Baseline'!I101</x:f>
        <x:v>51.5</x:v>
      </x:c>
      <x:c r="H104" s="28" t="n">
        <x:f>'Daily Baseline'!J101</x:f>
        <x:v>8</x:v>
      </x:c>
      <x:c r="I104" s="55" t="n">
        <x:f>'Daily Baseline'!K101</x:f>
        <x:v>9</x:v>
      </x:c>
      <x:c r="J104" s="28" t="n">
        <x:f>'Daily Baseline'!L101</x:f>
        <x:v>10</x:v>
      </x:c>
      <x:c r="K104" s="28" t="n">
        <x:f>'Daily Baseline'!M101</x:f>
        <x:v>55</x:v>
      </x:c>
      <x:c r="L104" s="55" t="n">
        <x:f>'Daily Baseline'!N101</x:f>
        <x:v>62</x:v>
      </x:c>
      <x:c r="M104" s="28" t="n">
        <x:f>'Daily Baseline'!O101</x:f>
        <x:v>70</x:v>
      </x:c>
      <x:c r="N104" s="28" t="n">
        <x:f>'Daily Baseline'!P101</x:f>
        <x:v>60</x:v>
      </x:c>
      <x:c r="O104" s="55" t="n">
        <x:f>'Daily Baseline'!Q101</x:f>
        <x:v>70</x:v>
      </x:c>
      <x:c r="P104" s="28" t="n">
        <x:f>'Daily Baseline'!R101</x:f>
        <x:v>80</x:v>
      </x:c>
      <x:c r="Q104" s="28" t="n">
        <x:f>'Daily Baseline'!S101</x:f>
        <x:v>12</x:v>
      </x:c>
      <x:c r="R104" s="28" t="n">
        <x:f>'Daily Baseline'!T101</x:f>
        <x:v>15</x:v>
      </x:c>
      <x:c r="S104" s="55" t="n">
        <x:f>'Daily Baseline'!U101</x:f>
        <x:v>18</x:v>
      </x:c>
      <x:c r="T104" s="28" t="n">
        <x:f>'Daily Baseline'!V101</x:f>
        <x:v>1093</x:v>
      </x:c>
      <x:c r="U104" s="55" t="n">
        <x:f>'Daily Baseline'!W101</x:f>
        <x:v>1390</x:v>
      </x:c>
      <x:c r="V104" s="28" t="n">
        <x:f>'Daily Baseline'!X101</x:f>
        <x:v>1672</x:v>
      </x:c>
    </x:row>
    <x:row r="105">
      <x:c r="A105" s="30" t="n">
        <x:f>'Daily Baseline'!A102</x:f>
        <x:v>100</x:v>
      </x:c>
      <x:c r="B105" s="11" t="str">
        <x:f>'Daily Baseline'!B102</x:f>
        <x:v>Harvesting</x:v>
      </x:c>
      <x:c r="C105" s="28" t="n">
        <x:f>'Daily Baseline'!C102</x:f>
        <x:v>84.66666666666667</x:v>
      </x:c>
      <x:c r="D105" s="28" t="n">
        <x:f>'Daily Baseline'!D102</x:f>
        <x:v>90</x:v>
      </x:c>
      <x:c r="E105" s="30" t="n">
        <x:f>'Daily Baseline'!F102</x:f>
        <x:v>7</x:v>
      </x:c>
      <x:c r="F105" s="30" t="n">
        <x:f>'Daily Baseline'!H102</x:f>
        <x:v>11</x:v>
      </x:c>
      <x:c r="G105" s="28" t="n">
        <x:f>'Daily Baseline'!I102</x:f>
        <x:v>51.666666666666664</x:v>
      </x:c>
      <x:c r="H105" s="28" t="n">
        <x:f>'Daily Baseline'!J102</x:f>
        <x:v>8</x:v>
      </x:c>
      <x:c r="I105" s="55" t="n">
        <x:f>'Daily Baseline'!K102</x:f>
        <x:v>9</x:v>
      </x:c>
      <x:c r="J105" s="28" t="n">
        <x:f>'Daily Baseline'!L102</x:f>
        <x:v>10</x:v>
      </x:c>
      <x:c r="K105" s="28" t="n">
        <x:f>'Daily Baseline'!M102</x:f>
        <x:v>55</x:v>
      </x:c>
      <x:c r="L105" s="55" t="n">
        <x:f>'Daily Baseline'!N102</x:f>
        <x:v>62</x:v>
      </x:c>
      <x:c r="M105" s="28" t="n">
        <x:f>'Daily Baseline'!O102</x:f>
        <x:v>70</x:v>
      </x:c>
      <x:c r="N105" s="28" t="n">
        <x:f>'Daily Baseline'!P102</x:f>
        <x:v>60</x:v>
      </x:c>
      <x:c r="O105" s="55" t="n">
        <x:f>'Daily Baseline'!Q102</x:f>
        <x:v>70</x:v>
      </x:c>
      <x:c r="P105" s="28" t="n">
        <x:f>'Daily Baseline'!R102</x:f>
        <x:v>80</x:v>
      </x:c>
      <x:c r="Q105" s="28" t="n">
        <x:f>'Daily Baseline'!S102</x:f>
        <x:v>12</x:v>
      </x:c>
      <x:c r="R105" s="28" t="n">
        <x:f>'Daily Baseline'!T102</x:f>
        <x:v>15</x:v>
      </x:c>
      <x:c r="S105" s="55" t="n">
        <x:f>'Daily Baseline'!U102</x:f>
        <x:v>18</x:v>
      </x:c>
      <x:c r="T105" s="28" t="n">
        <x:f>'Daily Baseline'!V102</x:f>
        <x:v>1105</x:v>
      </x:c>
      <x:c r="U105" s="55" t="n">
        <x:f>'Daily Baseline'!W102</x:f>
        <x:v>1405</x:v>
      </x:c>
      <x:c r="V105" s="28" t="n">
        <x:f>'Daily Baseline'!X102</x:f>
        <x:v>1690</x:v>
      </x:c>
    </x:row>
    <x:row r="106">
      <x:c r="A106" s="30" t="n">
        <x:f>'Daily Baseline'!A103</x:f>
        <x:v>101</x:v>
      </x:c>
      <x:c r="B106" s="11" t="str">
        <x:f>'Daily Baseline'!B103</x:f>
        <x:v>Harvesting</x:v>
      </x:c>
      <x:c r="C106" s="28" t="n">
        <x:f>'Daily Baseline'!C103</x:f>
        <x:v>84.93333333333334</x:v>
      </x:c>
      <x:c r="D106" s="28" t="n">
        <x:f>'Daily Baseline'!D103</x:f>
        <x:v>90.5</x:v>
      </x:c>
      <x:c r="E106" s="30" t="n">
        <x:f>'Daily Baseline'!F103</x:f>
        <x:v>7</x:v>
      </x:c>
      <x:c r="F106" s="30" t="n">
        <x:f>'Daily Baseline'!H103</x:f>
        <x:v>11</x:v>
      </x:c>
      <x:c r="G106" s="28" t="n">
        <x:f>'Daily Baseline'!I103</x:f>
        <x:v>51.833333333333336</x:v>
      </x:c>
      <x:c r="H106" s="28" t="n">
        <x:f>'Daily Baseline'!J103</x:f>
        <x:v>8</x:v>
      </x:c>
      <x:c r="I106" s="55" t="n">
        <x:f>'Daily Baseline'!K103</x:f>
        <x:v>9</x:v>
      </x:c>
      <x:c r="J106" s="28" t="n">
        <x:f>'Daily Baseline'!L103</x:f>
        <x:v>10</x:v>
      </x:c>
      <x:c r="K106" s="28" t="n">
        <x:f>'Daily Baseline'!M103</x:f>
        <x:v>55</x:v>
      </x:c>
      <x:c r="L106" s="55" t="n">
        <x:f>'Daily Baseline'!N103</x:f>
        <x:v>62</x:v>
      </x:c>
      <x:c r="M106" s="28" t="n">
        <x:f>'Daily Baseline'!O103</x:f>
        <x:v>70</x:v>
      </x:c>
      <x:c r="N106" s="28" t="n">
        <x:f>'Daily Baseline'!P103</x:f>
        <x:v>60</x:v>
      </x:c>
      <x:c r="O106" s="55" t="n">
        <x:f>'Daily Baseline'!Q103</x:f>
        <x:v>70</x:v>
      </x:c>
      <x:c r="P106" s="28" t="n">
        <x:f>'Daily Baseline'!R103</x:f>
        <x:v>80</x:v>
      </x:c>
      <x:c r="Q106" s="28" t="n">
        <x:f>'Daily Baseline'!S103</x:f>
        <x:v>12</x:v>
      </x:c>
      <x:c r="R106" s="28" t="n">
        <x:f>'Daily Baseline'!T103</x:f>
        <x:v>15</x:v>
      </x:c>
      <x:c r="S106" s="55" t="n">
        <x:f>'Daily Baseline'!U103</x:f>
        <x:v>18</x:v>
      </x:c>
      <x:c r="T106" s="28" t="n">
        <x:f>'Daily Baseline'!V103</x:f>
        <x:v>1117</x:v>
      </x:c>
      <x:c r="U106" s="55" t="n">
        <x:f>'Daily Baseline'!W103</x:f>
        <x:v>1420</x:v>
      </x:c>
      <x:c r="V106" s="28" t="n">
        <x:f>'Daily Baseline'!X103</x:f>
        <x:v>1708</x:v>
      </x:c>
    </x:row>
    <x:row r="107">
      <x:c r="A107" s="30" t="n">
        <x:f>'Daily Baseline'!A104</x:f>
        <x:v>102</x:v>
      </x:c>
      <x:c r="B107" s="11" t="str">
        <x:f>'Daily Baseline'!B104</x:f>
        <x:v>Harvesting</x:v>
      </x:c>
      <x:c r="C107" s="28" t="n">
        <x:f>'Daily Baseline'!C104</x:f>
        <x:v>85.2</x:v>
      </x:c>
      <x:c r="D107" s="28" t="n">
        <x:f>'Daily Baseline'!D104</x:f>
        <x:v>91</x:v>
      </x:c>
      <x:c r="E107" s="30" t="n">
        <x:f>'Daily Baseline'!F104</x:f>
        <x:v>7</x:v>
      </x:c>
      <x:c r="F107" s="30" t="n">
        <x:f>'Daily Baseline'!H104</x:f>
        <x:v>11</x:v>
      </x:c>
      <x:c r="G107" s="28" t="n">
        <x:f>'Daily Baseline'!I104</x:f>
        <x:v>52</x:v>
      </x:c>
      <x:c r="H107" s="28" t="n">
        <x:f>'Daily Baseline'!J104</x:f>
        <x:v>8</x:v>
      </x:c>
      <x:c r="I107" s="55" t="n">
        <x:f>'Daily Baseline'!K104</x:f>
        <x:v>9</x:v>
      </x:c>
      <x:c r="J107" s="28" t="n">
        <x:f>'Daily Baseline'!L104</x:f>
        <x:v>10</x:v>
      </x:c>
      <x:c r="K107" s="28" t="n">
        <x:f>'Daily Baseline'!M104</x:f>
        <x:v>55</x:v>
      </x:c>
      <x:c r="L107" s="55" t="n">
        <x:f>'Daily Baseline'!N104</x:f>
        <x:v>62</x:v>
      </x:c>
      <x:c r="M107" s="28" t="n">
        <x:f>'Daily Baseline'!O104</x:f>
        <x:v>70</x:v>
      </x:c>
      <x:c r="N107" s="28" t="n">
        <x:f>'Daily Baseline'!P104</x:f>
        <x:v>60</x:v>
      </x:c>
      <x:c r="O107" s="55" t="n">
        <x:f>'Daily Baseline'!Q104</x:f>
        <x:v>70</x:v>
      </x:c>
      <x:c r="P107" s="28" t="n">
        <x:f>'Daily Baseline'!R104</x:f>
        <x:v>80</x:v>
      </x:c>
      <x:c r="Q107" s="28" t="n">
        <x:f>'Daily Baseline'!S104</x:f>
        <x:v>12</x:v>
      </x:c>
      <x:c r="R107" s="28" t="n">
        <x:f>'Daily Baseline'!T104</x:f>
        <x:v>15</x:v>
      </x:c>
      <x:c r="S107" s="55" t="n">
        <x:f>'Daily Baseline'!U104</x:f>
        <x:v>18</x:v>
      </x:c>
      <x:c r="T107" s="28" t="n">
        <x:f>'Daily Baseline'!V104</x:f>
        <x:v>1129</x:v>
      </x:c>
      <x:c r="U107" s="55" t="n">
        <x:f>'Daily Baseline'!W104</x:f>
        <x:v>1435</x:v>
      </x:c>
      <x:c r="V107" s="28" t="n">
        <x:f>'Daily Baseline'!X104</x:f>
        <x:v>1726</x:v>
      </x:c>
    </x:row>
    <x:row r="108">
      <x:c r="A108" s="30" t="n">
        <x:f>'Daily Baseline'!A105</x:f>
        <x:v>103</x:v>
      </x:c>
      <x:c r="B108" s="11" t="str">
        <x:f>'Daily Baseline'!B105</x:f>
        <x:v>Harvesting</x:v>
      </x:c>
      <x:c r="C108" s="28" t="n">
        <x:f>'Daily Baseline'!C105</x:f>
        <x:v>85.46666666666667</x:v>
      </x:c>
      <x:c r="D108" s="28" t="n">
        <x:f>'Daily Baseline'!D105</x:f>
        <x:v>91.5</x:v>
      </x:c>
      <x:c r="E108" s="30" t="n">
        <x:f>'Daily Baseline'!F105</x:f>
        <x:v>7</x:v>
      </x:c>
      <x:c r="F108" s="30" t="n">
        <x:f>'Daily Baseline'!H105</x:f>
        <x:v>11</x:v>
      </x:c>
      <x:c r="G108" s="28" t="n">
        <x:f>'Daily Baseline'!I105</x:f>
        <x:v>52.166666666666664</x:v>
      </x:c>
      <x:c r="H108" s="28" t="n">
        <x:f>'Daily Baseline'!J105</x:f>
        <x:v>8</x:v>
      </x:c>
      <x:c r="I108" s="55" t="n">
        <x:f>'Daily Baseline'!K105</x:f>
        <x:v>9</x:v>
      </x:c>
      <x:c r="J108" s="28" t="n">
        <x:f>'Daily Baseline'!L105</x:f>
        <x:v>10</x:v>
      </x:c>
      <x:c r="K108" s="28" t="n">
        <x:f>'Daily Baseline'!M105</x:f>
        <x:v>55</x:v>
      </x:c>
      <x:c r="L108" s="55" t="n">
        <x:f>'Daily Baseline'!N105</x:f>
        <x:v>62</x:v>
      </x:c>
      <x:c r="M108" s="28" t="n">
        <x:f>'Daily Baseline'!O105</x:f>
        <x:v>70</x:v>
      </x:c>
      <x:c r="N108" s="28" t="n">
        <x:f>'Daily Baseline'!P105</x:f>
        <x:v>60</x:v>
      </x:c>
      <x:c r="O108" s="55" t="n">
        <x:f>'Daily Baseline'!Q105</x:f>
        <x:v>70</x:v>
      </x:c>
      <x:c r="P108" s="28" t="n">
        <x:f>'Daily Baseline'!R105</x:f>
        <x:v>80</x:v>
      </x:c>
      <x:c r="Q108" s="28" t="n">
        <x:f>'Daily Baseline'!S105</x:f>
        <x:v>12</x:v>
      </x:c>
      <x:c r="R108" s="28" t="n">
        <x:f>'Daily Baseline'!T105</x:f>
        <x:v>15</x:v>
      </x:c>
      <x:c r="S108" s="55" t="n">
        <x:f>'Daily Baseline'!U105</x:f>
        <x:v>18</x:v>
      </x:c>
      <x:c r="T108" s="28" t="n">
        <x:f>'Daily Baseline'!V105</x:f>
        <x:v>1141</x:v>
      </x:c>
      <x:c r="U108" s="55" t="n">
        <x:f>'Daily Baseline'!W105</x:f>
        <x:v>1450</x:v>
      </x:c>
      <x:c r="V108" s="28" t="n">
        <x:f>'Daily Baseline'!X105</x:f>
        <x:v>1744</x:v>
      </x:c>
    </x:row>
    <x:row r="109">
      <x:c r="A109" s="30" t="n">
        <x:f>'Daily Baseline'!A106</x:f>
        <x:v>104</x:v>
      </x:c>
      <x:c r="B109" s="11" t="str">
        <x:f>'Daily Baseline'!B106</x:f>
        <x:v>Harvesting</x:v>
      </x:c>
      <x:c r="C109" s="28" t="n">
        <x:f>'Daily Baseline'!C106</x:f>
        <x:v>85.73333333333333</x:v>
      </x:c>
      <x:c r="D109" s="28" t="n">
        <x:f>'Daily Baseline'!D106</x:f>
        <x:v>92</x:v>
      </x:c>
      <x:c r="E109" s="30" t="n">
        <x:f>'Daily Baseline'!F106</x:f>
        <x:v>7</x:v>
      </x:c>
      <x:c r="F109" s="30" t="n">
        <x:f>'Daily Baseline'!H106</x:f>
        <x:v>11</x:v>
      </x:c>
      <x:c r="G109" s="28" t="n">
        <x:f>'Daily Baseline'!I106</x:f>
        <x:v>52.333333333333336</x:v>
      </x:c>
      <x:c r="H109" s="28" t="n">
        <x:f>'Daily Baseline'!J106</x:f>
        <x:v>8</x:v>
      </x:c>
      <x:c r="I109" s="55" t="n">
        <x:f>'Daily Baseline'!K106</x:f>
        <x:v>9</x:v>
      </x:c>
      <x:c r="J109" s="28" t="n">
        <x:f>'Daily Baseline'!L106</x:f>
        <x:v>10</x:v>
      </x:c>
      <x:c r="K109" s="28" t="n">
        <x:f>'Daily Baseline'!M106</x:f>
        <x:v>55</x:v>
      </x:c>
      <x:c r="L109" s="55" t="n">
        <x:f>'Daily Baseline'!N106</x:f>
        <x:v>62</x:v>
      </x:c>
      <x:c r="M109" s="28" t="n">
        <x:f>'Daily Baseline'!O106</x:f>
        <x:v>70</x:v>
      </x:c>
      <x:c r="N109" s="28" t="n">
        <x:f>'Daily Baseline'!P106</x:f>
        <x:v>60</x:v>
      </x:c>
      <x:c r="O109" s="55" t="n">
        <x:f>'Daily Baseline'!Q106</x:f>
        <x:v>70</x:v>
      </x:c>
      <x:c r="P109" s="28" t="n">
        <x:f>'Daily Baseline'!R106</x:f>
        <x:v>80</x:v>
      </x:c>
      <x:c r="Q109" s="28" t="n">
        <x:f>'Daily Baseline'!S106</x:f>
        <x:v>12</x:v>
      </x:c>
      <x:c r="R109" s="28" t="n">
        <x:f>'Daily Baseline'!T106</x:f>
        <x:v>15</x:v>
      </x:c>
      <x:c r="S109" s="55" t="n">
        <x:f>'Daily Baseline'!U106</x:f>
        <x:v>18</x:v>
      </x:c>
      <x:c r="T109" s="28" t="n">
        <x:f>'Daily Baseline'!V106</x:f>
        <x:v>1153</x:v>
      </x:c>
      <x:c r="U109" s="55" t="n">
        <x:f>'Daily Baseline'!W106</x:f>
        <x:v>1465</x:v>
      </x:c>
      <x:c r="V109" s="28" t="n">
        <x:f>'Daily Baseline'!X106</x:f>
        <x:v>1762</x:v>
      </x:c>
    </x:row>
    <x:row r="110">
      <x:c r="A110" s="30" t="n">
        <x:f>'Daily Baseline'!A107</x:f>
        <x:v>105</x:v>
      </x:c>
      <x:c r="B110" s="11" t="str">
        <x:f>'Daily Baseline'!B107</x:f>
        <x:v>Harvesting</x:v>
      </x:c>
      <x:c r="C110" s="28" t="n">
        <x:f>'Daily Baseline'!C107</x:f>
        <x:v>86</x:v>
      </x:c>
      <x:c r="D110" s="28" t="n">
        <x:f>'Daily Baseline'!D107</x:f>
        <x:v>92.5</x:v>
      </x:c>
      <x:c r="E110" s="30" t="n">
        <x:f>'Daily Baseline'!F107</x:f>
        <x:v>7</x:v>
      </x:c>
      <x:c r="F110" s="30" t="n">
        <x:f>'Daily Baseline'!H107</x:f>
        <x:v>11</x:v>
      </x:c>
      <x:c r="G110" s="28" t="n">
        <x:f>'Daily Baseline'!I107</x:f>
        <x:v>52.5</x:v>
      </x:c>
      <x:c r="H110" s="28" t="n">
        <x:f>'Daily Baseline'!J107</x:f>
        <x:v>8</x:v>
      </x:c>
      <x:c r="I110" s="55" t="n">
        <x:f>'Daily Baseline'!K107</x:f>
        <x:v>9</x:v>
      </x:c>
      <x:c r="J110" s="28" t="n">
        <x:f>'Daily Baseline'!L107</x:f>
        <x:v>10</x:v>
      </x:c>
      <x:c r="K110" s="28" t="n">
        <x:f>'Daily Baseline'!M107</x:f>
        <x:v>55</x:v>
      </x:c>
      <x:c r="L110" s="55" t="n">
        <x:f>'Daily Baseline'!N107</x:f>
        <x:v>62</x:v>
      </x:c>
      <x:c r="M110" s="28" t="n">
        <x:f>'Daily Baseline'!O107</x:f>
        <x:v>70</x:v>
      </x:c>
      <x:c r="N110" s="28" t="n">
        <x:f>'Daily Baseline'!P107</x:f>
        <x:v>60</x:v>
      </x:c>
      <x:c r="O110" s="55" t="n">
        <x:f>'Daily Baseline'!Q107</x:f>
        <x:v>70</x:v>
      </x:c>
      <x:c r="P110" s="28" t="n">
        <x:f>'Daily Baseline'!R107</x:f>
        <x:v>80</x:v>
      </x:c>
      <x:c r="Q110" s="28" t="n">
        <x:f>'Daily Baseline'!S107</x:f>
        <x:v>12</x:v>
      </x:c>
      <x:c r="R110" s="28" t="n">
        <x:f>'Daily Baseline'!T107</x:f>
        <x:v>15</x:v>
      </x:c>
      <x:c r="S110" s="55" t="n">
        <x:f>'Daily Baseline'!U107</x:f>
        <x:v>18</x:v>
      </x:c>
      <x:c r="T110" s="28" t="n">
        <x:f>'Daily Baseline'!V107</x:f>
        <x:v>1165</x:v>
      </x:c>
      <x:c r="U110" s="55" t="n">
        <x:f>'Daily Baseline'!W107</x:f>
        <x:v>1480</x:v>
      </x:c>
      <x:c r="V110" s="28" t="n">
        <x:f>'Daily Baseline'!X107</x:f>
        <x:v>1780</x:v>
      </x:c>
    </x:row>
    <x:row r="111">
      <x:c r="A111" s="30" t="n">
        <x:f>'Daily Baseline'!A108</x:f>
        <x:v>106</x:v>
      </x:c>
      <x:c r="B111" s="11" t="str">
        <x:f>'Daily Baseline'!B108</x:f>
        <x:v>Harvesting</x:v>
      </x:c>
      <x:c r="C111" s="28" t="n">
        <x:f>'Daily Baseline'!C108</x:f>
        <x:v>86.26666666666667</x:v>
      </x:c>
      <x:c r="D111" s="28" t="n">
        <x:f>'Daily Baseline'!D108</x:f>
        <x:v>93</x:v>
      </x:c>
      <x:c r="E111" s="30" t="n">
        <x:f>'Daily Baseline'!F108</x:f>
        <x:v>6</x:v>
      </x:c>
      <x:c r="F111" s="30" t="n">
        <x:f>'Daily Baseline'!H108</x:f>
        <x:v>11</x:v>
      </x:c>
      <x:c r="G111" s="28" t="n">
        <x:f>'Daily Baseline'!I108</x:f>
        <x:v>52.666666666666664</x:v>
      </x:c>
      <x:c r="H111" s="28" t="n">
        <x:f>'Daily Baseline'!J108</x:f>
        <x:v>8</x:v>
      </x:c>
      <x:c r="I111" s="55" t="n">
        <x:f>'Daily Baseline'!K108</x:f>
        <x:v>9</x:v>
      </x:c>
      <x:c r="J111" s="28" t="n">
        <x:f>'Daily Baseline'!L108</x:f>
        <x:v>10</x:v>
      </x:c>
      <x:c r="K111" s="28" t="n">
        <x:f>'Daily Baseline'!M108</x:f>
        <x:v>55</x:v>
      </x:c>
      <x:c r="L111" s="55" t="n">
        <x:f>'Daily Baseline'!N108</x:f>
        <x:v>62</x:v>
      </x:c>
      <x:c r="M111" s="28" t="n">
        <x:f>'Daily Baseline'!O108</x:f>
        <x:v>70</x:v>
      </x:c>
      <x:c r="N111" s="28" t="n">
        <x:f>'Daily Baseline'!P108</x:f>
        <x:v>60</x:v>
      </x:c>
      <x:c r="O111" s="55" t="n">
        <x:f>'Daily Baseline'!Q108</x:f>
        <x:v>70</x:v>
      </x:c>
      <x:c r="P111" s="28" t="n">
        <x:f>'Daily Baseline'!R108</x:f>
        <x:v>80</x:v>
      </x:c>
      <x:c r="Q111" s="28" t="n">
        <x:f>'Daily Baseline'!S108</x:f>
        <x:v>12</x:v>
      </x:c>
      <x:c r="R111" s="28" t="n">
        <x:f>'Daily Baseline'!T108</x:f>
        <x:v>15</x:v>
      </x:c>
      <x:c r="S111" s="55" t="n">
        <x:f>'Daily Baseline'!U108</x:f>
        <x:v>18</x:v>
      </x:c>
      <x:c r="T111" s="28" t="n">
        <x:f>'Daily Baseline'!V108</x:f>
        <x:v>1177</x:v>
      </x:c>
      <x:c r="U111" s="55" t="n">
        <x:f>'Daily Baseline'!W108</x:f>
        <x:v>1495</x:v>
      </x:c>
      <x:c r="V111" s="28" t="n">
        <x:f>'Daily Baseline'!X108</x:f>
        <x:v>1798</x:v>
      </x:c>
    </x:row>
    <x:row r="112">
      <x:c r="A112" s="30" t="n">
        <x:f>'Daily Baseline'!A109</x:f>
        <x:v>107</x:v>
      </x:c>
      <x:c r="B112" s="11" t="str">
        <x:f>'Daily Baseline'!B109</x:f>
        <x:v>Harvesting</x:v>
      </x:c>
      <x:c r="C112" s="28" t="n">
        <x:f>'Daily Baseline'!C109</x:f>
        <x:v>86.53333333333333</x:v>
      </x:c>
      <x:c r="D112" s="28" t="n">
        <x:f>'Daily Baseline'!D109</x:f>
        <x:v>93.5</x:v>
      </x:c>
      <x:c r="E112" s="30" t="n">
        <x:f>'Daily Baseline'!F109</x:f>
        <x:v>6</x:v>
      </x:c>
      <x:c r="F112" s="30" t="n">
        <x:f>'Daily Baseline'!H109</x:f>
        <x:v>11</x:v>
      </x:c>
      <x:c r="G112" s="28" t="n">
        <x:f>'Daily Baseline'!I109</x:f>
        <x:v>52.833333333333336</x:v>
      </x:c>
      <x:c r="H112" s="28" t="n">
        <x:f>'Daily Baseline'!J109</x:f>
        <x:v>8</x:v>
      </x:c>
      <x:c r="I112" s="55" t="n">
        <x:f>'Daily Baseline'!K109</x:f>
        <x:v>9</x:v>
      </x:c>
      <x:c r="J112" s="28" t="n">
        <x:f>'Daily Baseline'!L109</x:f>
        <x:v>10</x:v>
      </x:c>
      <x:c r="K112" s="28" t="n">
        <x:f>'Daily Baseline'!M109</x:f>
        <x:v>55</x:v>
      </x:c>
      <x:c r="L112" s="55" t="n">
        <x:f>'Daily Baseline'!N109</x:f>
        <x:v>62</x:v>
      </x:c>
      <x:c r="M112" s="28" t="n">
        <x:f>'Daily Baseline'!O109</x:f>
        <x:v>70</x:v>
      </x:c>
      <x:c r="N112" s="28" t="n">
        <x:f>'Daily Baseline'!P109</x:f>
        <x:v>60</x:v>
      </x:c>
      <x:c r="O112" s="55" t="n">
        <x:f>'Daily Baseline'!Q109</x:f>
        <x:v>70</x:v>
      </x:c>
      <x:c r="P112" s="28" t="n">
        <x:f>'Daily Baseline'!R109</x:f>
        <x:v>80</x:v>
      </x:c>
      <x:c r="Q112" s="28" t="n">
        <x:f>'Daily Baseline'!S109</x:f>
        <x:v>12</x:v>
      </x:c>
      <x:c r="R112" s="28" t="n">
        <x:f>'Daily Baseline'!T109</x:f>
        <x:v>15</x:v>
      </x:c>
      <x:c r="S112" s="55" t="n">
        <x:f>'Daily Baseline'!U109</x:f>
        <x:v>18</x:v>
      </x:c>
      <x:c r="T112" s="28" t="n">
        <x:f>'Daily Baseline'!V109</x:f>
        <x:v>1189</x:v>
      </x:c>
      <x:c r="U112" s="55" t="n">
        <x:f>'Daily Baseline'!W109</x:f>
        <x:v>1510</x:v>
      </x:c>
      <x:c r="V112" s="28" t="n">
        <x:f>'Daily Baseline'!X109</x:f>
        <x:v>1816</x:v>
      </x:c>
    </x:row>
    <x:row r="113">
      <x:c r="A113" s="30" t="n">
        <x:f>'Daily Baseline'!A110</x:f>
        <x:v>108</x:v>
      </x:c>
      <x:c r="B113" s="11" t="str">
        <x:f>'Daily Baseline'!B110</x:f>
        <x:v>Harvesting</x:v>
      </x:c>
      <x:c r="C113" s="28" t="n">
        <x:f>'Daily Baseline'!C110</x:f>
        <x:v>86.8</x:v>
      </x:c>
      <x:c r="D113" s="28" t="n">
        <x:f>'Daily Baseline'!D110</x:f>
        <x:v>94</x:v>
      </x:c>
      <x:c r="E113" s="30" t="n">
        <x:f>'Daily Baseline'!F110</x:f>
        <x:v>6</x:v>
      </x:c>
      <x:c r="F113" s="30" t="n">
        <x:f>'Daily Baseline'!H110</x:f>
        <x:v>11</x:v>
      </x:c>
      <x:c r="G113" s="28" t="n">
        <x:f>'Daily Baseline'!I110</x:f>
        <x:v>53</x:v>
      </x:c>
      <x:c r="H113" s="28" t="n">
        <x:f>'Daily Baseline'!J110</x:f>
        <x:v>8</x:v>
      </x:c>
      <x:c r="I113" s="55" t="n">
        <x:f>'Daily Baseline'!K110</x:f>
        <x:v>9</x:v>
      </x:c>
      <x:c r="J113" s="28" t="n">
        <x:f>'Daily Baseline'!L110</x:f>
        <x:v>10</x:v>
      </x:c>
      <x:c r="K113" s="28" t="n">
        <x:f>'Daily Baseline'!M110</x:f>
        <x:v>55</x:v>
      </x:c>
      <x:c r="L113" s="55" t="n">
        <x:f>'Daily Baseline'!N110</x:f>
        <x:v>62</x:v>
      </x:c>
      <x:c r="M113" s="28" t="n">
        <x:f>'Daily Baseline'!O110</x:f>
        <x:v>70</x:v>
      </x:c>
      <x:c r="N113" s="28" t="n">
        <x:f>'Daily Baseline'!P110</x:f>
        <x:v>60</x:v>
      </x:c>
      <x:c r="O113" s="55" t="n">
        <x:f>'Daily Baseline'!Q110</x:f>
        <x:v>70</x:v>
      </x:c>
      <x:c r="P113" s="28" t="n">
        <x:f>'Daily Baseline'!R110</x:f>
        <x:v>80</x:v>
      </x:c>
      <x:c r="Q113" s="28" t="n">
        <x:f>'Daily Baseline'!S110</x:f>
        <x:v>12</x:v>
      </x:c>
      <x:c r="R113" s="28" t="n">
        <x:f>'Daily Baseline'!T110</x:f>
        <x:v>15</x:v>
      </x:c>
      <x:c r="S113" s="55" t="n">
        <x:f>'Daily Baseline'!U110</x:f>
        <x:v>18</x:v>
      </x:c>
      <x:c r="T113" s="28" t="n">
        <x:f>'Daily Baseline'!V110</x:f>
        <x:v>1201</x:v>
      </x:c>
      <x:c r="U113" s="55" t="n">
        <x:f>'Daily Baseline'!W110</x:f>
        <x:v>1525</x:v>
      </x:c>
      <x:c r="V113" s="28" t="n">
        <x:f>'Daily Baseline'!X110</x:f>
        <x:v>1834</x:v>
      </x:c>
    </x:row>
    <x:row r="114">
      <x:c r="A114" s="30" t="n">
        <x:f>'Daily Baseline'!A111</x:f>
        <x:v>109</x:v>
      </x:c>
      <x:c r="B114" s="11" t="str">
        <x:f>'Daily Baseline'!B111</x:f>
        <x:v>Harvesting</x:v>
      </x:c>
      <x:c r="C114" s="28" t="n">
        <x:f>'Daily Baseline'!C111</x:f>
        <x:v>87.06666666666666</x:v>
      </x:c>
      <x:c r="D114" s="28" t="n">
        <x:f>'Daily Baseline'!D111</x:f>
        <x:v>94.5</x:v>
      </x:c>
      <x:c r="E114" s="30" t="n">
        <x:f>'Daily Baseline'!F111</x:f>
        <x:v>6</x:v>
      </x:c>
      <x:c r="F114" s="30" t="n">
        <x:f>'Daily Baseline'!H111</x:f>
        <x:v>11</x:v>
      </x:c>
      <x:c r="G114" s="28" t="n">
        <x:f>'Daily Baseline'!I111</x:f>
        <x:v>53.166666666666664</x:v>
      </x:c>
      <x:c r="H114" s="28" t="n">
        <x:f>'Daily Baseline'!J111</x:f>
        <x:v>8</x:v>
      </x:c>
      <x:c r="I114" s="55" t="n">
        <x:f>'Daily Baseline'!K111</x:f>
        <x:v>9</x:v>
      </x:c>
      <x:c r="J114" s="28" t="n">
        <x:f>'Daily Baseline'!L111</x:f>
        <x:v>10</x:v>
      </x:c>
      <x:c r="K114" s="28" t="n">
        <x:f>'Daily Baseline'!M111</x:f>
        <x:v>55</x:v>
      </x:c>
      <x:c r="L114" s="55" t="n">
        <x:f>'Daily Baseline'!N111</x:f>
        <x:v>62</x:v>
      </x:c>
      <x:c r="M114" s="28" t="n">
        <x:f>'Daily Baseline'!O111</x:f>
        <x:v>70</x:v>
      </x:c>
      <x:c r="N114" s="28" t="n">
        <x:f>'Daily Baseline'!P111</x:f>
        <x:v>60</x:v>
      </x:c>
      <x:c r="O114" s="55" t="n">
        <x:f>'Daily Baseline'!Q111</x:f>
        <x:v>70</x:v>
      </x:c>
      <x:c r="P114" s="28" t="n">
        <x:f>'Daily Baseline'!R111</x:f>
        <x:v>80</x:v>
      </x:c>
      <x:c r="Q114" s="28" t="n">
        <x:f>'Daily Baseline'!S111</x:f>
        <x:v>12</x:v>
      </x:c>
      <x:c r="R114" s="28" t="n">
        <x:f>'Daily Baseline'!T111</x:f>
        <x:v>15</x:v>
      </x:c>
      <x:c r="S114" s="55" t="n">
        <x:f>'Daily Baseline'!U111</x:f>
        <x:v>18</x:v>
      </x:c>
      <x:c r="T114" s="28" t="n">
        <x:f>'Daily Baseline'!V111</x:f>
        <x:v>1213</x:v>
      </x:c>
      <x:c r="U114" s="55" t="n">
        <x:f>'Daily Baseline'!W111</x:f>
        <x:v>1540</x:v>
      </x:c>
      <x:c r="V114" s="28" t="n">
        <x:f>'Daily Baseline'!X111</x:f>
        <x:v>1852</x:v>
      </x:c>
    </x:row>
    <x:row r="115">
      <x:c r="A115" s="30" t="n">
        <x:f>'Daily Baseline'!A112</x:f>
        <x:v>110</x:v>
      </x:c>
      <x:c r="B115" s="11" t="str">
        <x:f>'Daily Baseline'!B112</x:f>
        <x:v>Harvesting</x:v>
      </x:c>
      <x:c r="C115" s="28" t="n">
        <x:f>'Daily Baseline'!C112</x:f>
        <x:v>87.33333333333333</x:v>
      </x:c>
      <x:c r="D115" s="28" t="n">
        <x:f>'Daily Baseline'!D112</x:f>
        <x:v>95</x:v>
      </x:c>
      <x:c r="E115" s="30" t="n">
        <x:f>'Daily Baseline'!F112</x:f>
        <x:v>6</x:v>
      </x:c>
      <x:c r="F115" s="30" t="n">
        <x:f>'Daily Baseline'!H112</x:f>
        <x:v>11</x:v>
      </x:c>
      <x:c r="G115" s="28" t="n">
        <x:f>'Daily Baseline'!I112</x:f>
        <x:v>53.333333333333336</x:v>
      </x:c>
      <x:c r="H115" s="28" t="n">
        <x:f>'Daily Baseline'!J112</x:f>
        <x:v>8</x:v>
      </x:c>
      <x:c r="I115" s="55" t="n">
        <x:f>'Daily Baseline'!K112</x:f>
        <x:v>9</x:v>
      </x:c>
      <x:c r="J115" s="28" t="n">
        <x:f>'Daily Baseline'!L112</x:f>
        <x:v>10</x:v>
      </x:c>
      <x:c r="K115" s="28" t="n">
        <x:f>'Daily Baseline'!M112</x:f>
        <x:v>55</x:v>
      </x:c>
      <x:c r="L115" s="55" t="n">
        <x:f>'Daily Baseline'!N112</x:f>
        <x:v>62</x:v>
      </x:c>
      <x:c r="M115" s="28" t="n">
        <x:f>'Daily Baseline'!O112</x:f>
        <x:v>70</x:v>
      </x:c>
      <x:c r="N115" s="28" t="n">
        <x:f>'Daily Baseline'!P112</x:f>
        <x:v>60</x:v>
      </x:c>
      <x:c r="O115" s="55" t="n">
        <x:f>'Daily Baseline'!Q112</x:f>
        <x:v>70</x:v>
      </x:c>
      <x:c r="P115" s="28" t="n">
        <x:f>'Daily Baseline'!R112</x:f>
        <x:v>80</x:v>
      </x:c>
      <x:c r="Q115" s="28" t="n">
        <x:f>'Daily Baseline'!S112</x:f>
        <x:v>12</x:v>
      </x:c>
      <x:c r="R115" s="28" t="n">
        <x:f>'Daily Baseline'!T112</x:f>
        <x:v>15</x:v>
      </x:c>
      <x:c r="S115" s="55" t="n">
        <x:f>'Daily Baseline'!U112</x:f>
        <x:v>18</x:v>
      </x:c>
      <x:c r="T115" s="28" t="n">
        <x:f>'Daily Baseline'!V112</x:f>
        <x:v>1225</x:v>
      </x:c>
      <x:c r="U115" s="55" t="n">
        <x:f>'Daily Baseline'!W112</x:f>
        <x:v>1555</x:v>
      </x:c>
      <x:c r="V115" s="28" t="n">
        <x:f>'Daily Baseline'!X112</x:f>
        <x:v>1870</x:v>
      </x:c>
    </x:row>
    <x:row r="116">
      <x:c r="A116" s="30" t="n">
        <x:f>'Daily Baseline'!A113</x:f>
        <x:v>111</x:v>
      </x:c>
      <x:c r="B116" s="11" t="str">
        <x:f>'Daily Baseline'!B113</x:f>
        <x:v>Harvesting</x:v>
      </x:c>
      <x:c r="C116" s="28" t="n">
        <x:f>'Daily Baseline'!C113</x:f>
        <x:v>87.6</x:v>
      </x:c>
      <x:c r="D116" s="28" t="n">
        <x:f>'Daily Baseline'!D113</x:f>
        <x:v>95.5</x:v>
      </x:c>
      <x:c r="E116" s="30" t="n">
        <x:f>'Daily Baseline'!F113</x:f>
        <x:v>6</x:v>
      </x:c>
      <x:c r="F116" s="30" t="n">
        <x:f>'Daily Baseline'!H113</x:f>
        <x:v>11</x:v>
      </x:c>
      <x:c r="G116" s="28" t="n">
        <x:f>'Daily Baseline'!I113</x:f>
        <x:v>53.5</x:v>
      </x:c>
      <x:c r="H116" s="28" t="n">
        <x:f>'Daily Baseline'!J113</x:f>
        <x:v>8</x:v>
      </x:c>
      <x:c r="I116" s="55" t="n">
        <x:f>'Daily Baseline'!K113</x:f>
        <x:v>9</x:v>
      </x:c>
      <x:c r="J116" s="28" t="n">
        <x:f>'Daily Baseline'!L113</x:f>
        <x:v>10</x:v>
      </x:c>
      <x:c r="K116" s="28" t="n">
        <x:f>'Daily Baseline'!M113</x:f>
        <x:v>55</x:v>
      </x:c>
      <x:c r="L116" s="55" t="n">
        <x:f>'Daily Baseline'!N113</x:f>
        <x:v>62</x:v>
      </x:c>
      <x:c r="M116" s="28" t="n">
        <x:f>'Daily Baseline'!O113</x:f>
        <x:v>70</x:v>
      </x:c>
      <x:c r="N116" s="28" t="n">
        <x:f>'Daily Baseline'!P113</x:f>
        <x:v>60</x:v>
      </x:c>
      <x:c r="O116" s="55" t="n">
        <x:f>'Daily Baseline'!Q113</x:f>
        <x:v>70</x:v>
      </x:c>
      <x:c r="P116" s="28" t="n">
        <x:f>'Daily Baseline'!R113</x:f>
        <x:v>80</x:v>
      </x:c>
      <x:c r="Q116" s="28" t="n">
        <x:f>'Daily Baseline'!S113</x:f>
        <x:v>12</x:v>
      </x:c>
      <x:c r="R116" s="28" t="n">
        <x:f>'Daily Baseline'!T113</x:f>
        <x:v>15</x:v>
      </x:c>
      <x:c r="S116" s="55" t="n">
        <x:f>'Daily Baseline'!U113</x:f>
        <x:v>18</x:v>
      </x:c>
      <x:c r="T116" s="28" t="n">
        <x:f>'Daily Baseline'!V113</x:f>
        <x:v>1237</x:v>
      </x:c>
      <x:c r="U116" s="55" t="n">
        <x:f>'Daily Baseline'!W113</x:f>
        <x:v>1570</x:v>
      </x:c>
      <x:c r="V116" s="28" t="n">
        <x:f>'Daily Baseline'!X113</x:f>
        <x:v>1888</x:v>
      </x:c>
    </x:row>
    <x:row r="117">
      <x:c r="A117" s="30" t="n">
        <x:f>'Daily Baseline'!A114</x:f>
        <x:v>112</x:v>
      </x:c>
      <x:c r="B117" s="11" t="str">
        <x:f>'Daily Baseline'!B114</x:f>
        <x:v>Harvesting</x:v>
      </x:c>
      <x:c r="C117" s="28" t="n">
        <x:f>'Daily Baseline'!C114</x:f>
        <x:v>87.86666666666666</x:v>
      </x:c>
      <x:c r="D117" s="28" t="n">
        <x:f>'Daily Baseline'!D114</x:f>
        <x:v>96</x:v>
      </x:c>
      <x:c r="E117" s="30" t="n">
        <x:f>'Daily Baseline'!F114</x:f>
        <x:v>6</x:v>
      </x:c>
      <x:c r="F117" s="30" t="n">
        <x:f>'Daily Baseline'!H114</x:f>
        <x:v>11</x:v>
      </x:c>
      <x:c r="G117" s="28" t="n">
        <x:f>'Daily Baseline'!I114</x:f>
        <x:v>53.666666666666664</x:v>
      </x:c>
      <x:c r="H117" s="28" t="n">
        <x:f>'Daily Baseline'!J114</x:f>
        <x:v>8</x:v>
      </x:c>
      <x:c r="I117" s="55" t="n">
        <x:f>'Daily Baseline'!K114</x:f>
        <x:v>9</x:v>
      </x:c>
      <x:c r="J117" s="28" t="n">
        <x:f>'Daily Baseline'!L114</x:f>
        <x:v>10</x:v>
      </x:c>
      <x:c r="K117" s="28" t="n">
        <x:f>'Daily Baseline'!M114</x:f>
        <x:v>55</x:v>
      </x:c>
      <x:c r="L117" s="55" t="n">
        <x:f>'Daily Baseline'!N114</x:f>
        <x:v>62</x:v>
      </x:c>
      <x:c r="M117" s="28" t="n">
        <x:f>'Daily Baseline'!O114</x:f>
        <x:v>70</x:v>
      </x:c>
      <x:c r="N117" s="28" t="n">
        <x:f>'Daily Baseline'!P114</x:f>
        <x:v>60</x:v>
      </x:c>
      <x:c r="O117" s="55" t="n">
        <x:f>'Daily Baseline'!Q114</x:f>
        <x:v>70</x:v>
      </x:c>
      <x:c r="P117" s="28" t="n">
        <x:f>'Daily Baseline'!R114</x:f>
        <x:v>80</x:v>
      </x:c>
      <x:c r="Q117" s="28" t="n">
        <x:f>'Daily Baseline'!S114</x:f>
        <x:v>12</x:v>
      </x:c>
      <x:c r="R117" s="28" t="n">
        <x:f>'Daily Baseline'!T114</x:f>
        <x:v>15</x:v>
      </x:c>
      <x:c r="S117" s="55" t="n">
        <x:f>'Daily Baseline'!U114</x:f>
        <x:v>18</x:v>
      </x:c>
      <x:c r="T117" s="28" t="n">
        <x:f>'Daily Baseline'!V114</x:f>
        <x:v>1249</x:v>
      </x:c>
      <x:c r="U117" s="55" t="n">
        <x:f>'Daily Baseline'!W114</x:f>
        <x:v>1585</x:v>
      </x:c>
      <x:c r="V117" s="28" t="n">
        <x:f>'Daily Baseline'!X114</x:f>
        <x:v>1906</x:v>
      </x:c>
    </x:row>
    <x:row r="118">
      <x:c r="A118" s="30" t="n">
        <x:f>'Daily Baseline'!A115</x:f>
        <x:v>113</x:v>
      </x:c>
      <x:c r="B118" s="11" t="str">
        <x:f>'Daily Baseline'!B115</x:f>
        <x:v>Harvesting</x:v>
      </x:c>
      <x:c r="C118" s="28" t="n">
        <x:f>'Daily Baseline'!C115</x:f>
        <x:v>88.13333333333334</x:v>
      </x:c>
      <x:c r="D118" s="28" t="n">
        <x:f>'Daily Baseline'!D115</x:f>
        <x:v>96.5</x:v>
      </x:c>
      <x:c r="E118" s="30" t="n">
        <x:f>'Daily Baseline'!F115</x:f>
        <x:v>6</x:v>
      </x:c>
      <x:c r="F118" s="30" t="n">
        <x:f>'Daily Baseline'!H115</x:f>
        <x:v>12</x:v>
      </x:c>
      <x:c r="G118" s="28" t="n">
        <x:f>'Daily Baseline'!I115</x:f>
        <x:v>53.833333333333336</x:v>
      </x:c>
      <x:c r="H118" s="28" t="n">
        <x:f>'Daily Baseline'!J115</x:f>
        <x:v>8</x:v>
      </x:c>
      <x:c r="I118" s="55" t="n">
        <x:f>'Daily Baseline'!K115</x:f>
        <x:v>9</x:v>
      </x:c>
      <x:c r="J118" s="28" t="n">
        <x:f>'Daily Baseline'!L115</x:f>
        <x:v>10</x:v>
      </x:c>
      <x:c r="K118" s="28" t="n">
        <x:f>'Daily Baseline'!M115</x:f>
        <x:v>55</x:v>
      </x:c>
      <x:c r="L118" s="55" t="n">
        <x:f>'Daily Baseline'!N115</x:f>
        <x:v>62</x:v>
      </x:c>
      <x:c r="M118" s="28" t="n">
        <x:f>'Daily Baseline'!O115</x:f>
        <x:v>70</x:v>
      </x:c>
      <x:c r="N118" s="28" t="n">
        <x:f>'Daily Baseline'!P115</x:f>
        <x:v>60</x:v>
      </x:c>
      <x:c r="O118" s="55" t="n">
        <x:f>'Daily Baseline'!Q115</x:f>
        <x:v>70</x:v>
      </x:c>
      <x:c r="P118" s="28" t="n">
        <x:f>'Daily Baseline'!R115</x:f>
        <x:v>80</x:v>
      </x:c>
      <x:c r="Q118" s="28" t="n">
        <x:f>'Daily Baseline'!S115</x:f>
        <x:v>12</x:v>
      </x:c>
      <x:c r="R118" s="28" t="n">
        <x:f>'Daily Baseline'!T115</x:f>
        <x:v>15</x:v>
      </x:c>
      <x:c r="S118" s="55" t="n">
        <x:f>'Daily Baseline'!U115</x:f>
        <x:v>18</x:v>
      </x:c>
      <x:c r="T118" s="28" t="n">
        <x:f>'Daily Baseline'!V115</x:f>
        <x:v>1261</x:v>
      </x:c>
      <x:c r="U118" s="55" t="n">
        <x:f>'Daily Baseline'!W115</x:f>
        <x:v>1600</x:v>
      </x:c>
      <x:c r="V118" s="28" t="n">
        <x:f>'Daily Baseline'!X115</x:f>
        <x:v>1924</x:v>
      </x:c>
    </x:row>
    <x:row r="119">
      <x:c r="A119" s="30" t="n">
        <x:f>'Daily Baseline'!A116</x:f>
        <x:v>114</x:v>
      </x:c>
      <x:c r="B119" s="11" t="str">
        <x:f>'Daily Baseline'!B116</x:f>
        <x:v>Harvesting</x:v>
      </x:c>
      <x:c r="C119" s="28" t="n">
        <x:f>'Daily Baseline'!C116</x:f>
        <x:v>88.4</x:v>
      </x:c>
      <x:c r="D119" s="28" t="n">
        <x:f>'Daily Baseline'!D116</x:f>
        <x:v>97</x:v>
      </x:c>
      <x:c r="E119" s="30" t="n">
        <x:f>'Daily Baseline'!F116</x:f>
        <x:v>6</x:v>
      </x:c>
      <x:c r="F119" s="30" t="n">
        <x:f>'Daily Baseline'!H116</x:f>
        <x:v>12</x:v>
      </x:c>
      <x:c r="G119" s="28" t="n">
        <x:f>'Daily Baseline'!I116</x:f>
        <x:v>54</x:v>
      </x:c>
      <x:c r="H119" s="28" t="n">
        <x:f>'Daily Baseline'!J116</x:f>
        <x:v>8</x:v>
      </x:c>
      <x:c r="I119" s="55" t="n">
        <x:f>'Daily Baseline'!K116</x:f>
        <x:v>9</x:v>
      </x:c>
      <x:c r="J119" s="28" t="n">
        <x:f>'Daily Baseline'!L116</x:f>
        <x:v>10</x:v>
      </x:c>
      <x:c r="K119" s="28" t="n">
        <x:f>'Daily Baseline'!M116</x:f>
        <x:v>55</x:v>
      </x:c>
      <x:c r="L119" s="55" t="n">
        <x:f>'Daily Baseline'!N116</x:f>
        <x:v>62</x:v>
      </x:c>
      <x:c r="M119" s="28" t="n">
        <x:f>'Daily Baseline'!O116</x:f>
        <x:v>70</x:v>
      </x:c>
      <x:c r="N119" s="28" t="n">
        <x:f>'Daily Baseline'!P116</x:f>
        <x:v>60</x:v>
      </x:c>
      <x:c r="O119" s="55" t="n">
        <x:f>'Daily Baseline'!Q116</x:f>
        <x:v>70</x:v>
      </x:c>
      <x:c r="P119" s="28" t="n">
        <x:f>'Daily Baseline'!R116</x:f>
        <x:v>80</x:v>
      </x:c>
      <x:c r="Q119" s="28" t="n">
        <x:f>'Daily Baseline'!S116</x:f>
        <x:v>12</x:v>
      </x:c>
      <x:c r="R119" s="28" t="n">
        <x:f>'Daily Baseline'!T116</x:f>
        <x:v>15</x:v>
      </x:c>
      <x:c r="S119" s="55" t="n">
        <x:f>'Daily Baseline'!U116</x:f>
        <x:v>18</x:v>
      </x:c>
      <x:c r="T119" s="28" t="n">
        <x:f>'Daily Baseline'!V116</x:f>
        <x:v>1273</x:v>
      </x:c>
      <x:c r="U119" s="55" t="n">
        <x:f>'Daily Baseline'!W116</x:f>
        <x:v>1615</x:v>
      </x:c>
      <x:c r="V119" s="28" t="n">
        <x:f>'Daily Baseline'!X116</x:f>
        <x:v>1942</x:v>
      </x:c>
    </x:row>
    <x:row r="120">
      <x:c r="A120" s="30" t="n">
        <x:f>'Daily Baseline'!A117</x:f>
        <x:v>115</x:v>
      </x:c>
      <x:c r="B120" s="11" t="str">
        <x:f>'Daily Baseline'!B117</x:f>
        <x:v>Harvesting</x:v>
      </x:c>
      <x:c r="C120" s="28" t="n">
        <x:f>'Daily Baseline'!C117</x:f>
        <x:v>88.66666666666667</x:v>
      </x:c>
      <x:c r="D120" s="28" t="n">
        <x:f>'Daily Baseline'!D117</x:f>
        <x:v>97.5</x:v>
      </x:c>
      <x:c r="E120" s="30" t="n">
        <x:f>'Daily Baseline'!F117</x:f>
        <x:v>6</x:v>
      </x:c>
      <x:c r="F120" s="30" t="n">
        <x:f>'Daily Baseline'!H117</x:f>
        <x:v>12</x:v>
      </x:c>
      <x:c r="G120" s="28" t="n">
        <x:f>'Daily Baseline'!I117</x:f>
        <x:v>54.166666666666664</x:v>
      </x:c>
      <x:c r="H120" s="28" t="n">
        <x:f>'Daily Baseline'!J117</x:f>
        <x:v>8</x:v>
      </x:c>
      <x:c r="I120" s="55" t="n">
        <x:f>'Daily Baseline'!K117</x:f>
        <x:v>9</x:v>
      </x:c>
      <x:c r="J120" s="28" t="n">
        <x:f>'Daily Baseline'!L117</x:f>
        <x:v>10</x:v>
      </x:c>
      <x:c r="K120" s="28" t="n">
        <x:f>'Daily Baseline'!M117</x:f>
        <x:v>55</x:v>
      </x:c>
      <x:c r="L120" s="55" t="n">
        <x:f>'Daily Baseline'!N117</x:f>
        <x:v>62</x:v>
      </x:c>
      <x:c r="M120" s="28" t="n">
        <x:f>'Daily Baseline'!O117</x:f>
        <x:v>70</x:v>
      </x:c>
      <x:c r="N120" s="28" t="n">
        <x:f>'Daily Baseline'!P117</x:f>
        <x:v>60</x:v>
      </x:c>
      <x:c r="O120" s="55" t="n">
        <x:f>'Daily Baseline'!Q117</x:f>
        <x:v>70</x:v>
      </x:c>
      <x:c r="P120" s="28" t="n">
        <x:f>'Daily Baseline'!R117</x:f>
        <x:v>80</x:v>
      </x:c>
      <x:c r="Q120" s="28" t="n">
        <x:f>'Daily Baseline'!S117</x:f>
        <x:v>12</x:v>
      </x:c>
      <x:c r="R120" s="28" t="n">
        <x:f>'Daily Baseline'!T117</x:f>
        <x:v>15</x:v>
      </x:c>
      <x:c r="S120" s="55" t="n">
        <x:f>'Daily Baseline'!U117</x:f>
        <x:v>18</x:v>
      </x:c>
      <x:c r="T120" s="28" t="n">
        <x:f>'Daily Baseline'!V117</x:f>
        <x:v>1285</x:v>
      </x:c>
      <x:c r="U120" s="55" t="n">
        <x:f>'Daily Baseline'!W117</x:f>
        <x:v>1630</x:v>
      </x:c>
      <x:c r="V120" s="28" t="n">
        <x:f>'Daily Baseline'!X117</x:f>
        <x:v>1960</x:v>
      </x:c>
    </x:row>
    <x:row r="121">
      <x:c r="A121" s="30" t="n">
        <x:f>'Daily Baseline'!A118</x:f>
        <x:v>116</x:v>
      </x:c>
      <x:c r="B121" s="11" t="str">
        <x:f>'Daily Baseline'!B118</x:f>
        <x:v>Harvesting</x:v>
      </x:c>
      <x:c r="C121" s="28" t="n">
        <x:f>'Daily Baseline'!C118</x:f>
        <x:v>88.93333333333334</x:v>
      </x:c>
      <x:c r="D121" s="28" t="n">
        <x:f>'Daily Baseline'!D118</x:f>
        <x:v>98</x:v>
      </x:c>
      <x:c r="E121" s="30" t="n">
        <x:f>'Daily Baseline'!F118</x:f>
        <x:v>5</x:v>
      </x:c>
      <x:c r="F121" s="30" t="n">
        <x:f>'Daily Baseline'!H118</x:f>
        <x:v>12</x:v>
      </x:c>
      <x:c r="G121" s="28" t="n">
        <x:f>'Daily Baseline'!I118</x:f>
        <x:v>54.333333333333336</x:v>
      </x:c>
      <x:c r="H121" s="28" t="n">
        <x:f>'Daily Baseline'!J118</x:f>
        <x:v>8</x:v>
      </x:c>
      <x:c r="I121" s="55" t="n">
        <x:f>'Daily Baseline'!K118</x:f>
        <x:v>9</x:v>
      </x:c>
      <x:c r="J121" s="28" t="n">
        <x:f>'Daily Baseline'!L118</x:f>
        <x:v>10</x:v>
      </x:c>
      <x:c r="K121" s="28" t="n">
        <x:f>'Daily Baseline'!M118</x:f>
        <x:v>55</x:v>
      </x:c>
      <x:c r="L121" s="55" t="n">
        <x:f>'Daily Baseline'!N118</x:f>
        <x:v>62</x:v>
      </x:c>
      <x:c r="M121" s="28" t="n">
        <x:f>'Daily Baseline'!O118</x:f>
        <x:v>70</x:v>
      </x:c>
      <x:c r="N121" s="28" t="n">
        <x:f>'Daily Baseline'!P118</x:f>
        <x:v>60</x:v>
      </x:c>
      <x:c r="O121" s="55" t="n">
        <x:f>'Daily Baseline'!Q118</x:f>
        <x:v>70</x:v>
      </x:c>
      <x:c r="P121" s="28" t="n">
        <x:f>'Daily Baseline'!R118</x:f>
        <x:v>80</x:v>
      </x:c>
      <x:c r="Q121" s="28" t="n">
        <x:f>'Daily Baseline'!S118</x:f>
        <x:v>12</x:v>
      </x:c>
      <x:c r="R121" s="28" t="n">
        <x:f>'Daily Baseline'!T118</x:f>
        <x:v>15</x:v>
      </x:c>
      <x:c r="S121" s="55" t="n">
        <x:f>'Daily Baseline'!U118</x:f>
        <x:v>18</x:v>
      </x:c>
      <x:c r="T121" s="28" t="n">
        <x:f>'Daily Baseline'!V118</x:f>
        <x:v>1297</x:v>
      </x:c>
      <x:c r="U121" s="55" t="n">
        <x:f>'Daily Baseline'!W118</x:f>
        <x:v>1645</x:v>
      </x:c>
      <x:c r="V121" s="28" t="n">
        <x:f>'Daily Baseline'!X118</x:f>
        <x:v>1978</x:v>
      </x:c>
    </x:row>
    <x:row r="122">
      <x:c r="A122" s="30" t="n">
        <x:f>'Daily Baseline'!A119</x:f>
        <x:v>117</x:v>
      </x:c>
      <x:c r="B122" s="11" t="str">
        <x:f>'Daily Baseline'!B119</x:f>
        <x:v>Harvesting</x:v>
      </x:c>
      <x:c r="C122" s="28" t="n">
        <x:f>'Daily Baseline'!C119</x:f>
        <x:v>89.2</x:v>
      </x:c>
      <x:c r="D122" s="28" t="n">
        <x:f>'Daily Baseline'!D119</x:f>
        <x:v>98.5</x:v>
      </x:c>
      <x:c r="E122" s="30" t="n">
        <x:f>'Daily Baseline'!F119</x:f>
        <x:v>5</x:v>
      </x:c>
      <x:c r="F122" s="30" t="n">
        <x:f>'Daily Baseline'!H119</x:f>
        <x:v>12</x:v>
      </x:c>
      <x:c r="G122" s="28" t="n">
        <x:f>'Daily Baseline'!I119</x:f>
        <x:v>54.5</x:v>
      </x:c>
      <x:c r="H122" s="28" t="n">
        <x:f>'Daily Baseline'!J119</x:f>
        <x:v>8</x:v>
      </x:c>
      <x:c r="I122" s="55" t="n">
        <x:f>'Daily Baseline'!K119</x:f>
        <x:v>9</x:v>
      </x:c>
      <x:c r="J122" s="28" t="n">
        <x:f>'Daily Baseline'!L119</x:f>
        <x:v>10</x:v>
      </x:c>
      <x:c r="K122" s="28" t="n">
        <x:f>'Daily Baseline'!M119</x:f>
        <x:v>55</x:v>
      </x:c>
      <x:c r="L122" s="55" t="n">
        <x:f>'Daily Baseline'!N119</x:f>
        <x:v>62</x:v>
      </x:c>
      <x:c r="M122" s="28" t="n">
        <x:f>'Daily Baseline'!O119</x:f>
        <x:v>70</x:v>
      </x:c>
      <x:c r="N122" s="28" t="n">
        <x:f>'Daily Baseline'!P119</x:f>
        <x:v>60</x:v>
      </x:c>
      <x:c r="O122" s="55" t="n">
        <x:f>'Daily Baseline'!Q119</x:f>
        <x:v>70</x:v>
      </x:c>
      <x:c r="P122" s="28" t="n">
        <x:f>'Daily Baseline'!R119</x:f>
        <x:v>80</x:v>
      </x:c>
      <x:c r="Q122" s="28" t="n">
        <x:f>'Daily Baseline'!S119</x:f>
        <x:v>12</x:v>
      </x:c>
      <x:c r="R122" s="28" t="n">
        <x:f>'Daily Baseline'!T119</x:f>
        <x:v>15</x:v>
      </x:c>
      <x:c r="S122" s="55" t="n">
        <x:f>'Daily Baseline'!U119</x:f>
        <x:v>18</x:v>
      </x:c>
      <x:c r="T122" s="28" t="n">
        <x:f>'Daily Baseline'!V119</x:f>
        <x:v>1309</x:v>
      </x:c>
      <x:c r="U122" s="55" t="n">
        <x:f>'Daily Baseline'!W119</x:f>
        <x:v>1660</x:v>
      </x:c>
      <x:c r="V122" s="28" t="n">
        <x:f>'Daily Baseline'!X119</x:f>
        <x:v>1996</x:v>
      </x:c>
    </x:row>
    <x:row r="123">
      <x:c r="A123" s="30" t="n">
        <x:f>'Daily Baseline'!A120</x:f>
        <x:v>118</x:v>
      </x:c>
      <x:c r="B123" s="11" t="str">
        <x:f>'Daily Baseline'!B120</x:f>
        <x:v>Harvesting</x:v>
      </x:c>
      <x:c r="C123" s="28" t="n">
        <x:f>'Daily Baseline'!C120</x:f>
        <x:v>89.46666666666667</x:v>
      </x:c>
      <x:c r="D123" s="28" t="n">
        <x:f>'Daily Baseline'!D120</x:f>
        <x:v>99</x:v>
      </x:c>
      <x:c r="E123" s="30" t="n">
        <x:f>'Daily Baseline'!F120</x:f>
        <x:v>5</x:v>
      </x:c>
      <x:c r="F123" s="30" t="n">
        <x:f>'Daily Baseline'!H120</x:f>
        <x:v>12</x:v>
      </x:c>
      <x:c r="G123" s="28" t="n">
        <x:f>'Daily Baseline'!I120</x:f>
        <x:v>54.666666666666664</x:v>
      </x:c>
      <x:c r="H123" s="28" t="n">
        <x:f>'Daily Baseline'!J120</x:f>
        <x:v>8</x:v>
      </x:c>
      <x:c r="I123" s="55" t="n">
        <x:f>'Daily Baseline'!K120</x:f>
        <x:v>9</x:v>
      </x:c>
      <x:c r="J123" s="28" t="n">
        <x:f>'Daily Baseline'!L120</x:f>
        <x:v>10</x:v>
      </x:c>
      <x:c r="K123" s="28" t="n">
        <x:f>'Daily Baseline'!M120</x:f>
        <x:v>55</x:v>
      </x:c>
      <x:c r="L123" s="55" t="n">
        <x:f>'Daily Baseline'!N120</x:f>
        <x:v>62</x:v>
      </x:c>
      <x:c r="M123" s="28" t="n">
        <x:f>'Daily Baseline'!O120</x:f>
        <x:v>70</x:v>
      </x:c>
      <x:c r="N123" s="28" t="n">
        <x:f>'Daily Baseline'!P120</x:f>
        <x:v>60</x:v>
      </x:c>
      <x:c r="O123" s="55" t="n">
        <x:f>'Daily Baseline'!Q120</x:f>
        <x:v>70</x:v>
      </x:c>
      <x:c r="P123" s="28" t="n">
        <x:f>'Daily Baseline'!R120</x:f>
        <x:v>80</x:v>
      </x:c>
      <x:c r="Q123" s="28" t="n">
        <x:f>'Daily Baseline'!S120</x:f>
        <x:v>12</x:v>
      </x:c>
      <x:c r="R123" s="28" t="n">
        <x:f>'Daily Baseline'!T120</x:f>
        <x:v>15</x:v>
      </x:c>
      <x:c r="S123" s="55" t="n">
        <x:f>'Daily Baseline'!U120</x:f>
        <x:v>18</x:v>
      </x:c>
      <x:c r="T123" s="28" t="n">
        <x:f>'Daily Baseline'!V120</x:f>
        <x:v>1321</x:v>
      </x:c>
      <x:c r="U123" s="55" t="n">
        <x:f>'Daily Baseline'!W120</x:f>
        <x:v>1675</x:v>
      </x:c>
      <x:c r="V123" s="28" t="n">
        <x:f>'Daily Baseline'!X120</x:f>
        <x:v>2014</x:v>
      </x:c>
    </x:row>
    <x:row r="124">
      <x:c r="A124" s="30" t="n">
        <x:f>'Daily Baseline'!A121</x:f>
        <x:v>119</x:v>
      </x:c>
      <x:c r="B124" s="11" t="str">
        <x:f>'Daily Baseline'!B121</x:f>
        <x:v>Harvesting</x:v>
      </x:c>
      <x:c r="C124" s="28" t="n">
        <x:f>'Daily Baseline'!C121</x:f>
        <x:v>89.73333333333333</x:v>
      </x:c>
      <x:c r="D124" s="28" t="n">
        <x:f>'Daily Baseline'!D121</x:f>
        <x:v>99.5</x:v>
      </x:c>
      <x:c r="E124" s="30" t="n">
        <x:f>'Daily Baseline'!F121</x:f>
        <x:v>5</x:v>
      </x:c>
      <x:c r="F124" s="30" t="n">
        <x:f>'Daily Baseline'!H121</x:f>
        <x:v>12</x:v>
      </x:c>
      <x:c r="G124" s="28" t="n">
        <x:f>'Daily Baseline'!I121</x:f>
        <x:v>54.833333333333336</x:v>
      </x:c>
      <x:c r="H124" s="28" t="n">
        <x:f>'Daily Baseline'!J121</x:f>
        <x:v>8</x:v>
      </x:c>
      <x:c r="I124" s="55" t="n">
        <x:f>'Daily Baseline'!K121</x:f>
        <x:v>9</x:v>
      </x:c>
      <x:c r="J124" s="28" t="n">
        <x:f>'Daily Baseline'!L121</x:f>
        <x:v>10</x:v>
      </x:c>
      <x:c r="K124" s="28" t="n">
        <x:f>'Daily Baseline'!M121</x:f>
        <x:v>55</x:v>
      </x:c>
      <x:c r="L124" s="55" t="n">
        <x:f>'Daily Baseline'!N121</x:f>
        <x:v>62</x:v>
      </x:c>
      <x:c r="M124" s="28" t="n">
        <x:f>'Daily Baseline'!O121</x:f>
        <x:v>70</x:v>
      </x:c>
      <x:c r="N124" s="28" t="n">
        <x:f>'Daily Baseline'!P121</x:f>
        <x:v>60</x:v>
      </x:c>
      <x:c r="O124" s="55" t="n">
        <x:f>'Daily Baseline'!Q121</x:f>
        <x:v>70</x:v>
      </x:c>
      <x:c r="P124" s="28" t="n">
        <x:f>'Daily Baseline'!R121</x:f>
        <x:v>80</x:v>
      </x:c>
      <x:c r="Q124" s="28" t="n">
        <x:f>'Daily Baseline'!S121</x:f>
        <x:v>12</x:v>
      </x:c>
      <x:c r="R124" s="28" t="n">
        <x:f>'Daily Baseline'!T121</x:f>
        <x:v>15</x:v>
      </x:c>
      <x:c r="S124" s="55" t="n">
        <x:f>'Daily Baseline'!U121</x:f>
        <x:v>18</x:v>
      </x:c>
      <x:c r="T124" s="28" t="n">
        <x:f>'Daily Baseline'!V121</x:f>
        <x:v>1333</x:v>
      </x:c>
      <x:c r="U124" s="55" t="n">
        <x:f>'Daily Baseline'!W121</x:f>
        <x:v>1690</x:v>
      </x:c>
      <x:c r="V124" s="28" t="n">
        <x:f>'Daily Baseline'!X121</x:f>
        <x:v>2032</x:v>
      </x:c>
    </x:row>
    <x:row r="125">
      <x:c r="A125" s="30" t="n">
        <x:f>'Daily Baseline'!A122</x:f>
        <x:v>120</x:v>
      </x:c>
      <x:c r="B125" s="11" t="str">
        <x:f>'Daily Baseline'!B122</x:f>
        <x:v>Harvesting</x:v>
      </x:c>
      <x:c r="C125" s="28" t="n">
        <x:f>'Daily Baseline'!C122</x:f>
        <x:v>90</x:v>
      </x:c>
      <x:c r="D125" s="28" t="n">
        <x:f>'Daily Baseline'!D122</x:f>
        <x:v>100</x:v>
      </x:c>
      <x:c r="E125" s="30" t="n">
        <x:f>'Daily Baseline'!F122</x:f>
        <x:v>5</x:v>
      </x:c>
      <x:c r="F125" s="30" t="n">
        <x:f>'Daily Baseline'!H122</x:f>
        <x:v>12</x:v>
      </x:c>
      <x:c r="G125" s="28" t="n">
        <x:f>'Daily Baseline'!I122</x:f>
        <x:v>55</x:v>
      </x:c>
      <x:c r="H125" s="28" t="n">
        <x:f>'Daily Baseline'!J122</x:f>
        <x:v>8</x:v>
      </x:c>
      <x:c r="I125" s="55" t="n">
        <x:f>'Daily Baseline'!K122</x:f>
        <x:v>9</x:v>
      </x:c>
      <x:c r="J125" s="28" t="n">
        <x:f>'Daily Baseline'!L122</x:f>
        <x:v>10</x:v>
      </x:c>
      <x:c r="K125" s="28" t="n">
        <x:f>'Daily Baseline'!M122</x:f>
        <x:v>55</x:v>
      </x:c>
      <x:c r="L125" s="55" t="n">
        <x:f>'Daily Baseline'!N122</x:f>
        <x:v>62</x:v>
      </x:c>
      <x:c r="M125" s="28" t="n">
        <x:f>'Daily Baseline'!O122</x:f>
        <x:v>70</x:v>
      </x:c>
      <x:c r="N125" s="28" t="n">
        <x:f>'Daily Baseline'!P122</x:f>
        <x:v>60</x:v>
      </x:c>
      <x:c r="O125" s="55" t="n">
        <x:f>'Daily Baseline'!Q122</x:f>
        <x:v>70</x:v>
      </x:c>
      <x:c r="P125" s="28" t="n">
        <x:f>'Daily Baseline'!R122</x:f>
        <x:v>80</x:v>
      </x:c>
      <x:c r="Q125" s="28" t="n">
        <x:f>'Daily Baseline'!S122</x:f>
        <x:v>12</x:v>
      </x:c>
      <x:c r="R125" s="28" t="n">
        <x:f>'Daily Baseline'!T122</x:f>
        <x:v>15</x:v>
      </x:c>
      <x:c r="S125" s="55" t="n">
        <x:f>'Daily Baseline'!U122</x:f>
        <x:v>18</x:v>
      </x:c>
      <x:c r="T125" s="28" t="n">
        <x:f>'Daily Baseline'!V122</x:f>
        <x:v>1345</x:v>
      </x:c>
      <x:c r="U125" s="55" t="n">
        <x:f>'Daily Baseline'!W122</x:f>
        <x:v>1705</x:v>
      </x:c>
      <x:c r="V125" s="28" t="n">
        <x:f>'Daily Baseline'!X122</x:f>
        <x:v>2050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6" hidden="0" customWidth="1"/>
    <x:col min="4" max="4" width="42" hidden="0" customWidth="1"/>
    <x:col min="5" max="5" width="54" hidden="0" customWidth="1"/>
    <x:col min="6" max="6" width="48" hidden="0" customWidth="1"/>
  </x:cols>
  <x:sheetData>
    <x:row r="1">
      <x:c r="A1" s="72" t="str">
        <x:v>Parameter Definitions and Sources</x:v>
      </x:c>
      <x:c r="B1" s="72"/>
      <x:c r="C1" s="72"/>
      <x:c r="D1" s="72"/>
      <x:c r="E1" s="72"/>
      <x:c r="F1" s="72"/>
    </x:row>
    <x:row r="3">
      <x:c r="A3" s="70" t="str">
        <x:v>Parameter</x:v>
      </x:c>
      <x:c r="B3" s="70" t="str">
        <x:v>Daily Values Used</x:v>
      </x:c>
      <x:c r="C3" s="70" t="str">
        <x:v>Meaning</x:v>
      </x:c>
      <x:c r="D3" s="70" t="str">
        <x:v>Calculation / Use</x:v>
      </x:c>
      <x:c r="E3" s="70" t="str">
        <x:v>Important Note</x:v>
      </x:c>
      <x:c r="F3" s="70" t="str">
        <x:v>Source</x:v>
      </x:c>
    </x:row>
    <x:row r="4">
      <x:c r="A4" s="74" t="str">
        <x:v>Sun hours</x:v>
      </x:c>
      <x:c r="B4" s="73" t="str">
        <x:v>Stage-specific 6–10 h/day; target 7–9 h/day</x:v>
      </x:c>
      <x:c r="C4" s="73" t="str">
        <x:v>Direct usable sunlight per day</x:v>
      </x:c>
      <x:c r="D4" s="73" t="str">
        <x:v>Use the Target column as the simulator input; Min–Max is the optimal operating band.</x:v>
      </x:c>
      <x:c r="E4" s="73" t="str">
        <x:v>Tomato requires at least 6 h and generally prefers 8–10 h. Seedling targets are kept slightly lower.</x:v>
      </x:c>
      <x:c r="F4" s="73" t="str">
        <x:v>https://extension.umd.edu/resource/growing-tomatoes-home-garden</x:v>
      </x:c>
    </x:row>
    <x:row r="5">
      <x:c r="A5" s="74" t="str">
        <x:v>Relative humidity</x:v>
      </x:c>
      <x:c r="B5" s="73" t="str">
        <x:v>55–75% depending on stage; target 62–70%</x:v>
      </x:c>
      <x:c r="C5" s="73" t="str">
        <x:v>Air relative humidity</x:v>
      </x:c>
      <x:c r="D5" s="73" t="str">
        <x:v>Use target as the normal daily input. Values outside Min–Max create stress/risk.</x:v>
      </x:c>
      <x:c r="E5" s="73" t="str">
        <x:v>Pollination is reduced below about 60% RH and above about 80% RH; flowering is therefore maintained near 60–70%.</x:v>
      </x:c>
      <x:c r="F5" s="73" t="str">
        <x:v>https://www.vegetables.bayer.com/language-masters/en-us/resources/growing-tips-and-innovation-articles/cultivation-insights/temperature-humidity-and-water-in-protected-culture-tomatoes.html</x:v>
      </x:c>
    </x:row>
    <x:row r="6">
      <x:c r="A6" s="74" t="str">
        <x:v>Soil moisture</x:v>
      </x:c>
      <x:c r="B6" s="73" t="str">
        <x:v>60–90% Plant-Available Water depending on stage</x:v>
      </x:c>
      <x:c r="C6" s="73" t="str">
        <x:v>Water available between permanent wilting point and field capacity</x:v>
      </x:c>
      <x:c r="D6" s="73" t="str">
        <x:v>PAW% = 100 × (Current VWC − PWP) / (Field Capacity − PWP)</x:v>
      </x:c>
      <x:c r="E6" s="73" t="str">
        <x:v>Do not use raw sensor moisture percentage. FAO gives tomato depletion fraction p≈0.40, so stress begins near 60% PAW remaining.</x:v>
      </x:c>
      <x:c r="F6" s="73" t="str">
        <x:v>https://www.fao.org/4/x0490e/x0490e0e.htm</x:v>
      </x:c>
    </x:row>
    <x:row r="7">
      <x:c r="A7" s="74" t="str">
        <x:v>Daily GDD</x:v>
      </x:c>
      <x:c r="B7" s="73" t="str">
        <x:v>Stage-specific 8–18 °C-day; target 11–15 °C-day</x:v>
      </x:c>
      <x:c r="C7" s="73" t="str">
        <x:v>Thermal development accumulated each day</x:v>
      </x:c>
      <x:c r="D7" s="73" t="str">
        <x:v>Daily GDD = MAX(0, ((MIN(Tmax,30)+MAX(Tmin,10))/2)−10)</x:v>
      </x:c>
      <x:c r="E7" s="73" t="str">
        <x:v>The stage-specific daily values are prototype targets. Use actual Tmin/Tmax in live mode.</x:v>
      </x:c>
      <x:c r="F7" s="73" t="str">
        <x:v>https://www.frontiersin.org/journals/horticulture/articles/10.3389/fhort.2024.1425285/full</x:v>
      </x:c>
    </x:row>
    <x:row r="8">
      <x:c r="A8" s="74" t="str">
        <x:v>Cumulative GDD</x:v>
      </x:c>
      <x:c r="B8" s="73" t="str">
        <x:v>Running total of Daily GDD</x:v>
      </x:c>
      <x:c r="C8" s="73" t="str">
        <x:v>Total thermal progress from sowing</x:v>
      </x:c>
      <x:c r="D8" s="73" t="str">
        <x:v>Cum GDD(today) = Cum GDD(yesterday) + Daily GDD(today)</x:v>
      </x:c>
      <x:c r="E8" s="73" t="str">
        <x:v>Use the target as a reference curve; actual cumulative GDD should be sensor/weather based.</x:v>
      </x:c>
      <x:c r="F8" s="73" t="str">
        <x:v>https://link.springer.com/article/10.1007/s40808-018-0460-y</x:v>
      </x:c>
    </x:row>
    <x:row r="10">
      <x:c r="A10" s="75" t="str">
        <x:v>Stage-wise Values Used in the Workbook</x:v>
      </x:c>
      <x:c r="B10" s="75"/>
      <x:c r="C10" s="75"/>
      <x:c r="D10" s="75"/>
      <x:c r="E10" s="75"/>
      <x:c r="F10" s="75"/>
    </x:row>
    <x:row r="11">
      <x:c r="A11" s="39" t="str">
        <x:v>DAS Range</x:v>
      </x:c>
      <x:c r="B11" s="39" t="str">
        <x:v>Stage</x:v>
      </x:c>
      <x:c r="C11" s="39" t="str">
        <x:v>Sun Target h</x:v>
      </x:c>
      <x:c r="D11" s="39" t="str">
        <x:v>RH Target %</x:v>
      </x:c>
      <x:c r="E11" s="39" t="str">
        <x:v>Soil Target PAW%</x:v>
      </x:c>
      <x:c r="F11" s="39" t="str">
        <x:v>Daily GDD Target</x:v>
      </x:c>
    </x:row>
    <x:row r="12">
      <x:c r="A12" s="11" t="str">
        <x:v>0–15</x:v>
      </x:c>
      <x:c r="B12" s="11" t="str">
        <x:v>Seedling</x:v>
      </x:c>
      <x:c r="C12" s="11" t="n">
        <x:v>7</x:v>
      </x:c>
      <x:c r="D12" s="11" t="n">
        <x:v>70</x:v>
      </x:c>
      <x:c r="E12" s="11" t="n">
        <x:v>80</x:v>
      </x:c>
      <x:c r="F12" s="11" t="n">
        <x:v>11</x:v>
      </x:c>
    </x:row>
    <x:row r="13">
      <x:c r="A13" s="11" t="str">
        <x:v>16–25</x:v>
      </x:c>
      <x:c r="B13" s="11" t="str">
        <x:v>Establishment</x:v>
      </x:c>
      <x:c r="C13" s="11" t="n">
        <x:v>8</x:v>
      </x:c>
      <x:c r="D13" s="11" t="n">
        <x:v>68</x:v>
      </x:c>
      <x:c r="E13" s="11" t="n">
        <x:v>80</x:v>
      </x:c>
      <x:c r="F13" s="11" t="n">
        <x:v>13</x:v>
      </x:c>
    </x:row>
    <x:row r="14">
      <x:c r="A14" s="11" t="str">
        <x:v>26–40</x:v>
      </x:c>
      <x:c r="B14" s="11" t="str">
        <x:v>Vegetative Growth</x:v>
      </x:c>
      <x:c r="C14" s="11" t="n">
        <x:v>9</x:v>
      </x:c>
      <x:c r="D14" s="11" t="n">
        <x:v>65</x:v>
      </x:c>
      <x:c r="E14" s="11" t="n">
        <x:v>75</x:v>
      </x:c>
      <x:c r="F14" s="11" t="n">
        <x:v>15</x:v>
      </x:c>
    </x:row>
    <x:row r="15">
      <x:c r="A15" s="11" t="str">
        <x:v>41–55</x:v>
      </x:c>
      <x:c r="B15" s="11" t="str">
        <x:v>Flowering &amp; Initial Fruit Set</x:v>
      </x:c>
      <x:c r="C15" s="11" t="n">
        <x:v>9</x:v>
      </x:c>
      <x:c r="D15" s="11" t="n">
        <x:v>65</x:v>
      </x:c>
      <x:c r="E15" s="11" t="n">
        <x:v>80</x:v>
      </x:c>
      <x:c r="F15" s="11" t="n">
        <x:v>14</x:v>
      </x:c>
    </x:row>
    <x:row r="16">
      <x:c r="A16" s="11" t="str">
        <x:v>56–80</x:v>
      </x:c>
      <x:c r="B16" s="11" t="str">
        <x:v>Fruit Enlargement</x:v>
      </x:c>
      <x:c r="C16" s="11" t="n">
        <x:v>9</x:v>
      </x:c>
      <x:c r="D16" s="11" t="n">
        <x:v>65</x:v>
      </x:c>
      <x:c r="E16" s="11" t="n">
        <x:v>80</x:v>
      </x:c>
      <x:c r="F16" s="11" t="n">
        <x:v>15</x:v>
      </x:c>
    </x:row>
    <x:row r="17">
      <x:c r="A17" s="11" t="str">
        <x:v>81–95</x:v>
      </x:c>
      <x:c r="B17" s="11" t="str">
        <x:v>Ripening</x:v>
      </x:c>
      <x:c r="C17" s="11" t="n">
        <x:v>9</x:v>
      </x:c>
      <x:c r="D17" s="11" t="n">
        <x:v>62</x:v>
      </x:c>
      <x:c r="E17" s="11" t="n">
        <x:v>70</x:v>
      </x:c>
      <x:c r="F17" s="11" t="n">
        <x:v>15</x:v>
      </x:c>
    </x:row>
    <x:row r="18">
      <x:c r="A18" s="11" t="str">
        <x:v>96–120</x:v>
      </x:c>
      <x:c r="B18" s="11" t="str">
        <x:v>Harvesting</x:v>
      </x:c>
      <x:c r="C18" s="11" t="n">
        <x:v>9</x:v>
      </x:c>
      <x:c r="D18" s="11" t="n">
        <x:v>62</x:v>
      </x:c>
      <x:c r="E18" s="11" t="n">
        <x:v>70</x:v>
      </x:c>
      <x:c r="F18" s="11" t="n">
        <x:v>15</x:v>
      </x:c>
    </x:row>
  </x:sheetData>
  <x:mergeCells>
    <x:mergeCell ref="A1:F1"/>
    <x:mergeCell ref="A10:F10"/>
  </x:mergeCells>
  <x:pageMargins left="0.7" right="0.7" top="0.75" bottom="0.75" header="0.3" footer="0.3"/>
</x:worksheet>
</file>