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c2ef292f7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Baseline" sheetId="1" r:id="Rc2b0022e2b2e47b6"/>
    <x:sheet xmlns:r="http://schemas.openxmlformats.org/officeDocument/2006/relationships" name="Anchor Points" sheetId="2" r:id="R697cfe13c7e1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32D"/>
      <x:name val="Carlito"/>
    </x:font>
    <x:font>
      <x:b/>
      <x:sz val="11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532D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53008841f46e6" /><Relationship Type="http://schemas.openxmlformats.org/officeDocument/2006/relationships/theme" Target="/xl/theme/theme1.xml" Id="R69cbdedf3fef40d2" /><Relationship Type="http://schemas.openxmlformats.org/officeDocument/2006/relationships/sharedStrings" Target="/xl/sharedStrings.xml" Id="Rdee6529a6ffd4bac" /><Relationship Type="http://schemas.openxmlformats.org/officeDocument/2006/relationships/worksheet" Target="/xl/worksheets/sheet1.xml" Id="Rc2b0022e2b2e47b6" /><Relationship Type="http://schemas.openxmlformats.org/officeDocument/2006/relationships/worksheet" Target="/xl/worksheets/sheet2.xml" Id="R697cfe13c7e146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550345a34b437b" /><Relationship Type="http://schemas.openxmlformats.org/officeDocument/2006/relationships/chart" Target="/xl/drawings/charts/chart2.xml" Id="R652e226f51ff4f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Height and Biomass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Stage</c:v>
          </c:tx>
          <c:cat>
            <c:strRef>
              <c:f>'Daily Baseline'!$A$2:$A$122</c:f>
              <c:strCache>
                <c:ptCount val="0"/>
              </c:strCache>
            </c:strRef>
          </c:cat>
          <c:val>
            <c:numRef>
              <c:f>'Daily Baseline'!$B$2:$B$122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Height (cm)</c:v>
          </c:tx>
          <c:cat>
            <c:strRef>
              <c:f>'Daily Baseline'!$A$2:$A$122</c:f>
              <c:strCache>
                <c:ptCount val="0"/>
              </c:strCache>
            </c:strRef>
          </c:cat>
          <c:val>
            <c:numRef>
              <c:f>'Daily Baseline'!$C$2:$C$122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Biomass Index</c:v>
          </c:tx>
          <c:cat>
            <c:strRef>
              <c:f>'Daily Baseline'!$A$2:$A$122</c:f>
              <c:strCache>
                <c:ptCount val="0"/>
              </c:strCache>
            </c:strRef>
          </c:cat>
          <c:val>
            <c:numRef>
              <c:f>'Daily Baseline'!$D$2:$D$122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Flowers, Fruits and Fruit Diameter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Flowers</c:v>
          </c:tx>
          <c:cat>
            <c:strRef>
              <c:f>'Daily Baseline'!$K$26:$K$146</c:f>
              <c:strCache>
                <c:ptCount val="0"/>
              </c:strCache>
            </c:strRef>
          </c:cat>
          <c:val>
            <c:numRef>
              <c:f>'Daily Baseline'!$L$26:$L$146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Fruits</c:v>
          </c:tx>
          <c:cat>
            <c:strRef>
              <c:f>'Daily Baseline'!$K$26:$K$146</c:f>
              <c:strCache>
                <c:ptCount val="0"/>
              </c:strCache>
            </c:strRef>
          </c:cat>
          <c:val>
            <c:numRef>
              <c:f>'Daily Baseline'!$M$26:$M$146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Fruit Diameter (mm)</c:v>
          </c:tx>
          <c:cat>
            <c:strRef>
              <c:f>'Daily Baseline'!$K$26:$K$146</c:f>
              <c:strCache>
                <c:ptCount val="0"/>
              </c:strCache>
            </c:strRef>
          </c:cat>
          <c:val>
            <c:numRef>
              <c:f>'Daily Baseline'!$N$26:$N$146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6</xdr:row>
      <xdr:rowOff>0</xdr:rowOff>
    </xdr:from>
    <xdr:to>
      <xdr:col>19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50345a34b437b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19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2e226f51ff4f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BaselineTable" displayName="DailyBaselineTable" ref="A1:I122" headerRowCount="1">
  <x:tableColumns count="9">
    <x:tableColumn id="1" name="DAS"/>
    <x:tableColumn id="2" name="Stage"/>
    <x:tableColumn id="3" name="Height (cm)"/>
    <x:tableColumn id="4" name="Biomass Index"/>
    <x:tableColumn id="5" name="Flowers (Model)"/>
    <x:tableColumn id="6" name="Flowers (Display)"/>
    <x:tableColumn id="7" name="Fruits (Model)"/>
    <x:tableColumn id="8" name="Fruits (Display)"/>
    <x:tableColumn id="9" name="Fruit Diameter (mm)"/>
  </x:tableColumns>
  <x:tableStyleInfo name="TableStyleMedium2" showRowStripes="1"/>
</x:table>
</file>

<file path=xl/tables/table2.xml><?xml version="1.0" encoding="utf-8"?>
<x:table xmlns:x="http://schemas.openxmlformats.org/spreadsheetml/2006/main" id="2" name="AnchorPointsTable" displayName="AnchorPointsTable" ref="A1:F9" headerRowCount="1">
  <x:tableColumns count="6">
    <x:tableColumn id="1" name="DAS"/>
    <x:tableColumn id="2" name="Height (cm)"/>
    <x:tableColumn id="3" name="Biomass Index"/>
    <x:tableColumn id="4" name="Flowers"/>
    <x:tableColumn id="5" name="Fruits"/>
    <x:tableColumn id="6" name="Fruit Diameter (mm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d4016187b04c97" /><Relationship Type="http://schemas.openxmlformats.org/officeDocument/2006/relationships/table" Target="/xl/tables/table1.xml" Id="Re9af8dcb1f494c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624950ec4f49e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4" t="str">
        <x:v>DAS</x:v>
      </x:c>
      <x:c r="B1" s="24" t="str">
        <x:v>Stage</x:v>
      </x:c>
      <x:c r="C1" s="24" t="str">
        <x:v>Height (cm)</x:v>
      </x:c>
      <x:c r="D1" s="24" t="str">
        <x:v>Biomass Index</x:v>
      </x:c>
      <x:c r="E1" s="24" t="str">
        <x:v>Flowers (Model)</x:v>
      </x:c>
      <x:c r="F1" s="24" t="str">
        <x:v>Flowers (Display)</x:v>
      </x:c>
      <x:c r="G1" s="24" t="str">
        <x:v>Fruits (Model)</x:v>
      </x:c>
      <x:c r="H1" s="24" t="str">
        <x:v>Fruits (Display)</x:v>
      </x:c>
      <x:c r="I1" s="24" t="str">
        <x:v>Fruit Diameter (mm)</x:v>
      </x:c>
      <x:c r="K1" s="4" t="str">
        <x:v>Daily Tomato Baseline Summary</x:v>
      </x:c>
    </x:row>
    <x:row r="2">
      <x:c r="A2" s="30" t="n">
        <x:v>0</x:v>
      </x:c>
      <x:c r="B2" s="11" t="str">
        <x:f>IF(A2&lt;=15,"Seedling",IF(A2&lt;=25,"Establishment",IF(A2&lt;=40,"Vegetative Growth",IF(A2&lt;=55,"Flowering &amp; Initial Fruit Set",IF(A2&lt;=80,"Fruit Enlargement",IF(A2&lt;=95,"Ripening","Harvesting"))))))</x:f>
        <x:v>Seedling</x:v>
      </x:c>
      <x:c r="C2" s="28" t="n">
        <x:f>IF(A2&lt;=15,'Anchor Points'!$B$2+(A2-'Anchor Points'!$A$2)/('Anchor Points'!$A$3-'Anchor Points'!$A$2)*('Anchor Points'!$B$3-'Anchor Points'!$B$2),IF(A2&lt;=25,'Anchor Points'!$B$3+(A2-'Anchor Points'!$A$3)/('Anchor Points'!$A$4-'Anchor Points'!$A$3)*('Anchor Points'!$B$4-'Anchor Points'!$B$3),IF(A2&lt;=40,'Anchor Points'!$B$4+(A2-'Anchor Points'!$A$4)/('Anchor Points'!$A$5-'Anchor Points'!$A$4)*('Anchor Points'!$B$5-'Anchor Points'!$B$4),IF(A2&lt;=55,'Anchor Points'!$B$5+(A2-'Anchor Points'!$A$5)/('Anchor Points'!$A$6-'Anchor Points'!$A$5)*('Anchor Points'!$B$6-'Anchor Points'!$B$5),IF(A2&lt;=70,'Anchor Points'!$B$6+(A2-'Anchor Points'!$A$6)/('Anchor Points'!$A$7-'Anchor Points'!$A$6)*('Anchor Points'!$B$7-'Anchor Points'!$B$6),IF(A2&lt;=90,'Anchor Points'!$B$7+(A2-'Anchor Points'!$A$7)/('Anchor Points'!$A$8-'Anchor Points'!$A$7)*('Anchor Points'!$B$8-'Anchor Points'!$B$7),'Anchor Points'!$B$8+(A2-'Anchor Points'!$A$8)/('Anchor Points'!$A$9-'Anchor Points'!$A$8)*('Anchor Points'!$B$9-'Anchor Points'!$B$8)))))))</x:f>
        <x:v>0</x:v>
      </x:c>
      <x:c r="D2" s="28" t="n">
        <x:f>IF(A2&lt;=15,'Anchor Points'!$C$2+(A2-'Anchor Points'!$A$2)/('Anchor Points'!$A$3-'Anchor Points'!$A$2)*('Anchor Points'!$C$3-'Anchor Points'!$C$2),IF(A2&lt;=25,'Anchor Points'!$C$3+(A2-'Anchor Points'!$A$3)/('Anchor Points'!$A$4-'Anchor Points'!$A$3)*('Anchor Points'!$C$4-'Anchor Points'!$C$3),IF(A2&lt;=40,'Anchor Points'!$C$4+(A2-'Anchor Points'!$A$4)/('Anchor Points'!$A$5-'Anchor Points'!$A$4)*('Anchor Points'!$C$5-'Anchor Points'!$C$4),IF(A2&lt;=55,'Anchor Points'!$C$5+(A2-'Anchor Points'!$A$5)/('Anchor Points'!$A$6-'Anchor Points'!$A$5)*('Anchor Points'!$C$6-'Anchor Points'!$C$5),IF(A2&lt;=70,'Anchor Points'!$C$6+(A2-'Anchor Points'!$A$6)/('Anchor Points'!$A$7-'Anchor Points'!$A$6)*('Anchor Points'!$C$7-'Anchor Points'!$C$6),IF(A2&lt;=90,'Anchor Points'!$C$7+(A2-'Anchor Points'!$A$7)/('Anchor Points'!$A$8-'Anchor Points'!$A$7)*('Anchor Points'!$C$8-'Anchor Points'!$C$7),'Anchor Points'!$C$8+(A2-'Anchor Points'!$A$8)/('Anchor Points'!$A$9-'Anchor Points'!$A$8)*('Anchor Points'!$C$9-'Anchor Points'!$C$8)))))))</x:f>
        <x:v>0</x:v>
      </x:c>
      <x:c r="E2" s="28" t="n">
        <x:f>IF(A2&lt;=15,'Anchor Points'!$D$2+(A2-'Anchor Points'!$A$2)/('Anchor Points'!$A$3-'Anchor Points'!$A$2)*('Anchor Points'!$D$3-'Anchor Points'!$D$2),IF(A2&lt;=25,'Anchor Points'!$D$3+(A2-'Anchor Points'!$A$3)/('Anchor Points'!$A$4-'Anchor Points'!$A$3)*('Anchor Points'!$D$4-'Anchor Points'!$D$3),IF(A2&lt;=40,'Anchor Points'!$D$4+(A2-'Anchor Points'!$A$4)/('Anchor Points'!$A$5-'Anchor Points'!$A$4)*('Anchor Points'!$D$5-'Anchor Points'!$D$4),IF(A2&lt;=55,'Anchor Points'!$D$5+(A2-'Anchor Points'!$A$5)/('Anchor Points'!$A$6-'Anchor Points'!$A$5)*('Anchor Points'!$D$6-'Anchor Points'!$D$5),IF(A2&lt;=70,'Anchor Points'!$D$6+(A2-'Anchor Points'!$A$6)/('Anchor Points'!$A$7-'Anchor Points'!$A$6)*('Anchor Points'!$D$7-'Anchor Points'!$D$6),IF(A2&lt;=90,'Anchor Points'!$D$7+(A2-'Anchor Points'!$A$7)/('Anchor Points'!$A$8-'Anchor Points'!$A$7)*('Anchor Points'!$D$8-'Anchor Points'!$D$7),'Anchor Points'!$D$8+(A2-'Anchor Points'!$A$8)/('Anchor Points'!$A$9-'Anchor Points'!$A$8)*('Anchor Points'!$D$9-'Anchor Points'!$D$8)))))))</x:f>
        <x:v>0</x:v>
      </x:c>
      <x:c r="F2" s="30" t="n">
        <x:f>ROUND(E2,0)</x:f>
        <x:v>0</x:v>
      </x:c>
      <x:c r="G2" s="28" t="n">
        <x:f>IF(A2&lt;=15,'Anchor Points'!$E$2+(A2-'Anchor Points'!$A$2)/('Anchor Points'!$A$3-'Anchor Points'!$A$2)*('Anchor Points'!$E$3-'Anchor Points'!$E$2),IF(A2&lt;=25,'Anchor Points'!$E$3+(A2-'Anchor Points'!$A$3)/('Anchor Points'!$A$4-'Anchor Points'!$A$3)*('Anchor Points'!$E$4-'Anchor Points'!$E$3),IF(A2&lt;=40,'Anchor Points'!$E$4+(A2-'Anchor Points'!$A$4)/('Anchor Points'!$A$5-'Anchor Points'!$A$4)*('Anchor Points'!$E$5-'Anchor Points'!$E$4),IF(A2&lt;=55,'Anchor Points'!$E$5+(A2-'Anchor Points'!$A$5)/('Anchor Points'!$A$6-'Anchor Points'!$A$5)*('Anchor Points'!$E$6-'Anchor Points'!$E$5),IF(A2&lt;=70,'Anchor Points'!$E$6+(A2-'Anchor Points'!$A$6)/('Anchor Points'!$A$7-'Anchor Points'!$A$6)*('Anchor Points'!$E$7-'Anchor Points'!$E$6),IF(A2&lt;=90,'Anchor Points'!$E$7+(A2-'Anchor Points'!$A$7)/('Anchor Points'!$A$8-'Anchor Points'!$A$7)*('Anchor Points'!$E$8-'Anchor Points'!$E$7),'Anchor Points'!$E$8+(A2-'Anchor Points'!$A$8)/('Anchor Points'!$A$9-'Anchor Points'!$A$8)*('Anchor Points'!$E$9-'Anchor Points'!$E$8)))))))</x:f>
        <x:v>0</x:v>
      </x:c>
      <x:c r="H2" s="30" t="n">
        <x:f>ROUND(G2,0)</x:f>
        <x:v>0</x:v>
      </x:c>
      <x:c r="I2" s="28" t="n">
        <x:f>IF(A2&lt;=15,'Anchor Points'!$F$2+(A2-'Anchor Points'!$A$2)/('Anchor Points'!$A$3-'Anchor Points'!$A$2)*('Anchor Points'!$F$3-'Anchor Points'!$F$2),IF(A2&lt;=25,'Anchor Points'!$F$3+(A2-'Anchor Points'!$A$3)/('Anchor Points'!$A$4-'Anchor Points'!$A$3)*('Anchor Points'!$F$4-'Anchor Points'!$F$3),IF(A2&lt;=40,'Anchor Points'!$F$4+(A2-'Anchor Points'!$A$4)/('Anchor Points'!$A$5-'Anchor Points'!$A$4)*('Anchor Points'!$F$5-'Anchor Points'!$F$4),IF(A2&lt;=55,'Anchor Points'!$F$5+(A2-'Anchor Points'!$A$5)/('Anchor Points'!$A$6-'Anchor Points'!$A$5)*('Anchor Points'!$F$6-'Anchor Points'!$F$5),IF(A2&lt;=70,'Anchor Points'!$F$6+(A2-'Anchor Points'!$A$6)/('Anchor Points'!$A$7-'Anchor Points'!$A$6)*('Anchor Points'!$F$7-'Anchor Points'!$F$6),IF(A2&lt;=90,'Anchor Points'!$F$7+(A2-'Anchor Points'!$A$7)/('Anchor Points'!$A$8-'Anchor Points'!$A$7)*('Anchor Points'!$F$8-'Anchor Points'!$F$7),'Anchor Points'!$F$8+(A2-'Anchor Points'!$A$8)/('Anchor Points'!$A$9-'Anchor Points'!$A$8)*('Anchor Points'!$F$9-'Anchor Points'!$F$8)))))))</x:f>
        <x:v>0</x:v>
      </x:c>
      <x:c r="K2" s="32" t="str">
        <x:v>Method</x:v>
      </x:c>
      <x:c r="L2" s="20" t="str">
        <x:v>Linear interpolation</x:v>
      </x:c>
      <x:c r="M2" s="20" t="str"/>
      <x:c r="N2" s="20" t="str"/>
    </x:row>
    <x:row r="3">
      <x:c r="A3" s="30" t="n">
        <x:v>1</x:v>
      </x:c>
      <x:c r="B3" s="11" t="str">
        <x:f>IF(A3&lt;=15,"Seedling",IF(A3&lt;=25,"Establishment",IF(A3&lt;=40,"Vegetative Growth",IF(A3&lt;=55,"Flowering &amp; Initial Fruit Set",IF(A3&lt;=80,"Fruit Enlargement",IF(A3&lt;=95,"Ripening","Harvesting"))))))</x:f>
        <x:v>Seedling</x:v>
      </x:c>
      <x:c r="C3" s="28" t="n">
        <x:f>IF(A3&lt;=15,'Anchor Points'!$B$2+(A3-'Anchor Points'!$A$2)/('Anchor Points'!$A$3-'Anchor Points'!$A$2)*('Anchor Points'!$B$3-'Anchor Points'!$B$2),IF(A3&lt;=25,'Anchor Points'!$B$3+(A3-'Anchor Points'!$A$3)/('Anchor Points'!$A$4-'Anchor Points'!$A$3)*('Anchor Points'!$B$4-'Anchor Points'!$B$3),IF(A3&lt;=40,'Anchor Points'!$B$4+(A3-'Anchor Points'!$A$4)/('Anchor Points'!$A$5-'Anchor Points'!$A$4)*('Anchor Points'!$B$5-'Anchor Points'!$B$4),IF(A3&lt;=55,'Anchor Points'!$B$5+(A3-'Anchor Points'!$A$5)/('Anchor Points'!$A$6-'Anchor Points'!$A$5)*('Anchor Points'!$B$6-'Anchor Points'!$B$5),IF(A3&lt;=70,'Anchor Points'!$B$6+(A3-'Anchor Points'!$A$6)/('Anchor Points'!$A$7-'Anchor Points'!$A$6)*('Anchor Points'!$B$7-'Anchor Points'!$B$6),IF(A3&lt;=90,'Anchor Points'!$B$7+(A3-'Anchor Points'!$A$7)/('Anchor Points'!$A$8-'Anchor Points'!$A$7)*('Anchor Points'!$B$8-'Anchor Points'!$B$7),'Anchor Points'!$B$8+(A3-'Anchor Points'!$A$8)/('Anchor Points'!$A$9-'Anchor Points'!$A$8)*('Anchor Points'!$B$9-'Anchor Points'!$B$8)))))))</x:f>
        <x:v>0.6</x:v>
      </x:c>
      <x:c r="D3" s="28" t="n">
        <x:f>IF(A3&lt;=15,'Anchor Points'!$C$2+(A3-'Anchor Points'!$A$2)/('Anchor Points'!$A$3-'Anchor Points'!$A$2)*('Anchor Points'!$C$3-'Anchor Points'!$C$2),IF(A3&lt;=25,'Anchor Points'!$C$3+(A3-'Anchor Points'!$A$3)/('Anchor Points'!$A$4-'Anchor Points'!$A$3)*('Anchor Points'!$C$4-'Anchor Points'!$C$3),IF(A3&lt;=40,'Anchor Points'!$C$4+(A3-'Anchor Points'!$A$4)/('Anchor Points'!$A$5-'Anchor Points'!$A$4)*('Anchor Points'!$C$5-'Anchor Points'!$C$4),IF(A3&lt;=55,'Anchor Points'!$C$5+(A3-'Anchor Points'!$A$5)/('Anchor Points'!$A$6-'Anchor Points'!$A$5)*('Anchor Points'!$C$6-'Anchor Points'!$C$5),IF(A3&lt;=70,'Anchor Points'!$C$6+(A3-'Anchor Points'!$A$6)/('Anchor Points'!$A$7-'Anchor Points'!$A$6)*('Anchor Points'!$C$7-'Anchor Points'!$C$6),IF(A3&lt;=90,'Anchor Points'!$C$7+(A3-'Anchor Points'!$A$7)/('Anchor Points'!$A$8-'Anchor Points'!$A$7)*('Anchor Points'!$C$8-'Anchor Points'!$C$7),'Anchor Points'!$C$8+(A3-'Anchor Points'!$A$8)/('Anchor Points'!$A$9-'Anchor Points'!$A$8)*('Anchor Points'!$C$9-'Anchor Points'!$C$8)))))))</x:f>
        <x:v>0.3333333333333333</x:v>
      </x:c>
      <x:c r="E3" s="28" t="n">
        <x:f>IF(A3&lt;=15,'Anchor Points'!$D$2+(A3-'Anchor Points'!$A$2)/('Anchor Points'!$A$3-'Anchor Points'!$A$2)*('Anchor Points'!$D$3-'Anchor Points'!$D$2),IF(A3&lt;=25,'Anchor Points'!$D$3+(A3-'Anchor Points'!$A$3)/('Anchor Points'!$A$4-'Anchor Points'!$A$3)*('Anchor Points'!$D$4-'Anchor Points'!$D$3),IF(A3&lt;=40,'Anchor Points'!$D$4+(A3-'Anchor Points'!$A$4)/('Anchor Points'!$A$5-'Anchor Points'!$A$4)*('Anchor Points'!$D$5-'Anchor Points'!$D$4),IF(A3&lt;=55,'Anchor Points'!$D$5+(A3-'Anchor Points'!$A$5)/('Anchor Points'!$A$6-'Anchor Points'!$A$5)*('Anchor Points'!$D$6-'Anchor Points'!$D$5),IF(A3&lt;=70,'Anchor Points'!$D$6+(A3-'Anchor Points'!$A$6)/('Anchor Points'!$A$7-'Anchor Points'!$A$6)*('Anchor Points'!$D$7-'Anchor Points'!$D$6),IF(A3&lt;=90,'Anchor Points'!$D$7+(A3-'Anchor Points'!$A$7)/('Anchor Points'!$A$8-'Anchor Points'!$A$7)*('Anchor Points'!$D$8-'Anchor Points'!$D$7),'Anchor Points'!$D$8+(A3-'Anchor Points'!$A$8)/('Anchor Points'!$A$9-'Anchor Points'!$A$8)*('Anchor Points'!$D$9-'Anchor Points'!$D$8)))))))</x:f>
        <x:v>0</x:v>
      </x:c>
      <x:c r="F3" s="30" t="n">
        <x:f>ROUND(E3,0)</x:f>
        <x:v>0</x:v>
      </x:c>
      <x:c r="G3" s="28" t="n">
        <x:f>IF(A3&lt;=15,'Anchor Points'!$E$2+(A3-'Anchor Points'!$A$2)/('Anchor Points'!$A$3-'Anchor Points'!$A$2)*('Anchor Points'!$E$3-'Anchor Points'!$E$2),IF(A3&lt;=25,'Anchor Points'!$E$3+(A3-'Anchor Points'!$A$3)/('Anchor Points'!$A$4-'Anchor Points'!$A$3)*('Anchor Points'!$E$4-'Anchor Points'!$E$3),IF(A3&lt;=40,'Anchor Points'!$E$4+(A3-'Anchor Points'!$A$4)/('Anchor Points'!$A$5-'Anchor Points'!$A$4)*('Anchor Points'!$E$5-'Anchor Points'!$E$4),IF(A3&lt;=55,'Anchor Points'!$E$5+(A3-'Anchor Points'!$A$5)/('Anchor Points'!$A$6-'Anchor Points'!$A$5)*('Anchor Points'!$E$6-'Anchor Points'!$E$5),IF(A3&lt;=70,'Anchor Points'!$E$6+(A3-'Anchor Points'!$A$6)/('Anchor Points'!$A$7-'Anchor Points'!$A$6)*('Anchor Points'!$E$7-'Anchor Points'!$E$6),IF(A3&lt;=90,'Anchor Points'!$E$7+(A3-'Anchor Points'!$A$7)/('Anchor Points'!$A$8-'Anchor Points'!$A$7)*('Anchor Points'!$E$8-'Anchor Points'!$E$7),'Anchor Points'!$E$8+(A3-'Anchor Points'!$A$8)/('Anchor Points'!$A$9-'Anchor Points'!$A$8)*('Anchor Points'!$E$9-'Anchor Points'!$E$8)))))))</x:f>
        <x:v>0</x:v>
      </x:c>
      <x:c r="H3" s="30" t="n">
        <x:f>ROUND(G3,0)</x:f>
        <x:v>0</x:v>
      </x:c>
      <x:c r="I3" s="28" t="n">
        <x:f>IF(A3&lt;=15,'Anchor Points'!$F$2+(A3-'Anchor Points'!$A$2)/('Anchor Points'!$A$3-'Anchor Points'!$A$2)*('Anchor Points'!$F$3-'Anchor Points'!$F$2),IF(A3&lt;=25,'Anchor Points'!$F$3+(A3-'Anchor Points'!$A$3)/('Anchor Points'!$A$4-'Anchor Points'!$A$3)*('Anchor Points'!$F$4-'Anchor Points'!$F$3),IF(A3&lt;=40,'Anchor Points'!$F$4+(A3-'Anchor Points'!$A$4)/('Anchor Points'!$A$5-'Anchor Points'!$A$4)*('Anchor Points'!$F$5-'Anchor Points'!$F$4),IF(A3&lt;=55,'Anchor Points'!$F$5+(A3-'Anchor Points'!$A$5)/('Anchor Points'!$A$6-'Anchor Points'!$A$5)*('Anchor Points'!$F$6-'Anchor Points'!$F$5),IF(A3&lt;=70,'Anchor Points'!$F$6+(A3-'Anchor Points'!$A$6)/('Anchor Points'!$A$7-'Anchor Points'!$A$6)*('Anchor Points'!$F$7-'Anchor Points'!$F$6),IF(A3&lt;=90,'Anchor Points'!$F$7+(A3-'Anchor Points'!$A$7)/('Anchor Points'!$A$8-'Anchor Points'!$A$7)*('Anchor Points'!$F$8-'Anchor Points'!$F$7),'Anchor Points'!$F$8+(A3-'Anchor Points'!$A$8)/('Anchor Points'!$A$9-'Anchor Points'!$A$8)*('Anchor Points'!$F$9-'Anchor Points'!$F$8)))))))</x:f>
        <x:v>0</x:v>
      </x:c>
      <x:c r="K3" s="32" t="str">
        <x:v>Range</x:v>
      </x:c>
      <x:c r="L3" s="20" t="str">
        <x:v>0–120 DAS</x:v>
      </x:c>
      <x:c r="M3" s="20" t="str"/>
      <x:c r="N3" s="20" t="str"/>
    </x:row>
    <x:row r="4">
      <x:c r="A4" s="30" t="n">
        <x:v>2</x:v>
      </x:c>
      <x:c r="B4" s="11" t="str">
        <x:f>IF(A4&lt;=15,"Seedling",IF(A4&lt;=25,"Establishment",IF(A4&lt;=40,"Vegetative Growth",IF(A4&lt;=55,"Flowering &amp; Initial Fruit Set",IF(A4&lt;=80,"Fruit Enlargement",IF(A4&lt;=95,"Ripening","Harvesting"))))))</x:f>
        <x:v>Seedling</x:v>
      </x:c>
      <x:c r="C4" s="28" t="n">
        <x:f>IF(A4&lt;=15,'Anchor Points'!$B$2+(A4-'Anchor Points'!$A$2)/('Anchor Points'!$A$3-'Anchor Points'!$A$2)*('Anchor Points'!$B$3-'Anchor Points'!$B$2),IF(A4&lt;=25,'Anchor Points'!$B$3+(A4-'Anchor Points'!$A$3)/('Anchor Points'!$A$4-'Anchor Points'!$A$3)*('Anchor Points'!$B$4-'Anchor Points'!$B$3),IF(A4&lt;=40,'Anchor Points'!$B$4+(A4-'Anchor Points'!$A$4)/('Anchor Points'!$A$5-'Anchor Points'!$A$4)*('Anchor Points'!$B$5-'Anchor Points'!$B$4),IF(A4&lt;=55,'Anchor Points'!$B$5+(A4-'Anchor Points'!$A$5)/('Anchor Points'!$A$6-'Anchor Points'!$A$5)*('Anchor Points'!$B$6-'Anchor Points'!$B$5),IF(A4&lt;=70,'Anchor Points'!$B$6+(A4-'Anchor Points'!$A$6)/('Anchor Points'!$A$7-'Anchor Points'!$A$6)*('Anchor Points'!$B$7-'Anchor Points'!$B$6),IF(A4&lt;=90,'Anchor Points'!$B$7+(A4-'Anchor Points'!$A$7)/('Anchor Points'!$A$8-'Anchor Points'!$A$7)*('Anchor Points'!$B$8-'Anchor Points'!$B$7),'Anchor Points'!$B$8+(A4-'Anchor Points'!$A$8)/('Anchor Points'!$A$9-'Anchor Points'!$A$8)*('Anchor Points'!$B$9-'Anchor Points'!$B$8)))))))</x:f>
        <x:v>1.2</x:v>
      </x:c>
      <x:c r="D4" s="28" t="n">
        <x:f>IF(A4&lt;=15,'Anchor Points'!$C$2+(A4-'Anchor Points'!$A$2)/('Anchor Points'!$A$3-'Anchor Points'!$A$2)*('Anchor Points'!$C$3-'Anchor Points'!$C$2),IF(A4&lt;=25,'Anchor Points'!$C$3+(A4-'Anchor Points'!$A$3)/('Anchor Points'!$A$4-'Anchor Points'!$A$3)*('Anchor Points'!$C$4-'Anchor Points'!$C$3),IF(A4&lt;=40,'Anchor Points'!$C$4+(A4-'Anchor Points'!$A$4)/('Anchor Points'!$A$5-'Anchor Points'!$A$4)*('Anchor Points'!$C$5-'Anchor Points'!$C$4),IF(A4&lt;=55,'Anchor Points'!$C$5+(A4-'Anchor Points'!$A$5)/('Anchor Points'!$A$6-'Anchor Points'!$A$5)*('Anchor Points'!$C$6-'Anchor Points'!$C$5),IF(A4&lt;=70,'Anchor Points'!$C$6+(A4-'Anchor Points'!$A$6)/('Anchor Points'!$A$7-'Anchor Points'!$A$6)*('Anchor Points'!$C$7-'Anchor Points'!$C$6),IF(A4&lt;=90,'Anchor Points'!$C$7+(A4-'Anchor Points'!$A$7)/('Anchor Points'!$A$8-'Anchor Points'!$A$7)*('Anchor Points'!$C$8-'Anchor Points'!$C$7),'Anchor Points'!$C$8+(A4-'Anchor Points'!$A$8)/('Anchor Points'!$A$9-'Anchor Points'!$A$8)*('Anchor Points'!$C$9-'Anchor Points'!$C$8)))))))</x:f>
        <x:v>0.6666666666666666</x:v>
      </x:c>
      <x:c r="E4" s="28" t="n">
        <x:f>IF(A4&lt;=15,'Anchor Points'!$D$2+(A4-'Anchor Points'!$A$2)/('Anchor Points'!$A$3-'Anchor Points'!$A$2)*('Anchor Points'!$D$3-'Anchor Points'!$D$2),IF(A4&lt;=25,'Anchor Points'!$D$3+(A4-'Anchor Points'!$A$3)/('Anchor Points'!$A$4-'Anchor Points'!$A$3)*('Anchor Points'!$D$4-'Anchor Points'!$D$3),IF(A4&lt;=40,'Anchor Points'!$D$4+(A4-'Anchor Points'!$A$4)/('Anchor Points'!$A$5-'Anchor Points'!$A$4)*('Anchor Points'!$D$5-'Anchor Points'!$D$4),IF(A4&lt;=55,'Anchor Points'!$D$5+(A4-'Anchor Points'!$A$5)/('Anchor Points'!$A$6-'Anchor Points'!$A$5)*('Anchor Points'!$D$6-'Anchor Points'!$D$5),IF(A4&lt;=70,'Anchor Points'!$D$6+(A4-'Anchor Points'!$A$6)/('Anchor Points'!$A$7-'Anchor Points'!$A$6)*('Anchor Points'!$D$7-'Anchor Points'!$D$6),IF(A4&lt;=90,'Anchor Points'!$D$7+(A4-'Anchor Points'!$A$7)/('Anchor Points'!$A$8-'Anchor Points'!$A$7)*('Anchor Points'!$D$8-'Anchor Points'!$D$7),'Anchor Points'!$D$8+(A4-'Anchor Points'!$A$8)/('Anchor Points'!$A$9-'Anchor Points'!$A$8)*('Anchor Points'!$D$9-'Anchor Points'!$D$8)))))))</x:f>
        <x:v>0</x:v>
      </x:c>
      <x:c r="F4" s="30" t="n">
        <x:f>ROUND(E4,0)</x:f>
        <x:v>0</x:v>
      </x:c>
      <x:c r="G4" s="28" t="n">
        <x:f>IF(A4&lt;=15,'Anchor Points'!$E$2+(A4-'Anchor Points'!$A$2)/('Anchor Points'!$A$3-'Anchor Points'!$A$2)*('Anchor Points'!$E$3-'Anchor Points'!$E$2),IF(A4&lt;=25,'Anchor Points'!$E$3+(A4-'Anchor Points'!$A$3)/('Anchor Points'!$A$4-'Anchor Points'!$A$3)*('Anchor Points'!$E$4-'Anchor Points'!$E$3),IF(A4&lt;=40,'Anchor Points'!$E$4+(A4-'Anchor Points'!$A$4)/('Anchor Points'!$A$5-'Anchor Points'!$A$4)*('Anchor Points'!$E$5-'Anchor Points'!$E$4),IF(A4&lt;=55,'Anchor Points'!$E$5+(A4-'Anchor Points'!$A$5)/('Anchor Points'!$A$6-'Anchor Points'!$A$5)*('Anchor Points'!$E$6-'Anchor Points'!$E$5),IF(A4&lt;=70,'Anchor Points'!$E$6+(A4-'Anchor Points'!$A$6)/('Anchor Points'!$A$7-'Anchor Points'!$A$6)*('Anchor Points'!$E$7-'Anchor Points'!$E$6),IF(A4&lt;=90,'Anchor Points'!$E$7+(A4-'Anchor Points'!$A$7)/('Anchor Points'!$A$8-'Anchor Points'!$A$7)*('Anchor Points'!$E$8-'Anchor Points'!$E$7),'Anchor Points'!$E$8+(A4-'Anchor Points'!$A$8)/('Anchor Points'!$A$9-'Anchor Points'!$A$8)*('Anchor Points'!$E$9-'Anchor Points'!$E$8)))))))</x:f>
        <x:v>0</x:v>
      </x:c>
      <x:c r="H4" s="30" t="n">
        <x:f>ROUND(G4,0)</x:f>
        <x:v>0</x:v>
      </x:c>
      <x:c r="I4" s="28" t="n">
        <x:f>IF(A4&lt;=15,'Anchor Points'!$F$2+(A4-'Anchor Points'!$A$2)/('Anchor Points'!$A$3-'Anchor Points'!$A$2)*('Anchor Points'!$F$3-'Anchor Points'!$F$2),IF(A4&lt;=25,'Anchor Points'!$F$3+(A4-'Anchor Points'!$A$3)/('Anchor Points'!$A$4-'Anchor Points'!$A$3)*('Anchor Points'!$F$4-'Anchor Points'!$F$3),IF(A4&lt;=40,'Anchor Points'!$F$4+(A4-'Anchor Points'!$A$4)/('Anchor Points'!$A$5-'Anchor Points'!$A$4)*('Anchor Points'!$F$5-'Anchor Points'!$F$4),IF(A4&lt;=55,'Anchor Points'!$F$5+(A4-'Anchor Points'!$A$5)/('Anchor Points'!$A$6-'Anchor Points'!$A$5)*('Anchor Points'!$F$6-'Anchor Points'!$F$5),IF(A4&lt;=70,'Anchor Points'!$F$6+(A4-'Anchor Points'!$A$6)/('Anchor Points'!$A$7-'Anchor Points'!$A$6)*('Anchor Points'!$F$7-'Anchor Points'!$F$6),IF(A4&lt;=90,'Anchor Points'!$F$7+(A4-'Anchor Points'!$A$7)/('Anchor Points'!$A$8-'Anchor Points'!$A$7)*('Anchor Points'!$F$8-'Anchor Points'!$F$7),'Anchor Points'!$F$8+(A4-'Anchor Points'!$A$8)/('Anchor Points'!$A$9-'Anchor Points'!$A$8)*('Anchor Points'!$F$9-'Anchor Points'!$F$8)))))))</x:f>
        <x:v>0</x:v>
      </x:c>
      <x:c r="K4" s="32" t="str">
        <x:v>Flower/Fruit display</x:v>
      </x:c>
      <x:c r="L4" s="20" t="str">
        <x:v>Rounded to nearest whole number</x:v>
      </x:c>
      <x:c r="M4" s="20" t="str"/>
      <x:c r="N4" s="20" t="str"/>
    </x:row>
    <x:row r="5">
      <x:c r="A5" s="30" t="n">
        <x:v>3</x:v>
      </x:c>
      <x:c r="B5" s="11" t="str">
        <x:f>IF(A5&lt;=15,"Seedling",IF(A5&lt;=25,"Establishment",IF(A5&lt;=40,"Vegetative Growth",IF(A5&lt;=55,"Flowering &amp; Initial Fruit Set",IF(A5&lt;=80,"Fruit Enlargement",IF(A5&lt;=95,"Ripening","Harvesting"))))))</x:f>
        <x:v>Seedling</x:v>
      </x:c>
      <x:c r="C5" s="28" t="n">
        <x:f>IF(A5&lt;=15,'Anchor Points'!$B$2+(A5-'Anchor Points'!$A$2)/('Anchor Points'!$A$3-'Anchor Points'!$A$2)*('Anchor Points'!$B$3-'Anchor Points'!$B$2),IF(A5&lt;=25,'Anchor Points'!$B$3+(A5-'Anchor Points'!$A$3)/('Anchor Points'!$A$4-'Anchor Points'!$A$3)*('Anchor Points'!$B$4-'Anchor Points'!$B$3),IF(A5&lt;=40,'Anchor Points'!$B$4+(A5-'Anchor Points'!$A$4)/('Anchor Points'!$A$5-'Anchor Points'!$A$4)*('Anchor Points'!$B$5-'Anchor Points'!$B$4),IF(A5&lt;=55,'Anchor Points'!$B$5+(A5-'Anchor Points'!$A$5)/('Anchor Points'!$A$6-'Anchor Points'!$A$5)*('Anchor Points'!$B$6-'Anchor Points'!$B$5),IF(A5&lt;=70,'Anchor Points'!$B$6+(A5-'Anchor Points'!$A$6)/('Anchor Points'!$A$7-'Anchor Points'!$A$6)*('Anchor Points'!$B$7-'Anchor Points'!$B$6),IF(A5&lt;=90,'Anchor Points'!$B$7+(A5-'Anchor Points'!$A$7)/('Anchor Points'!$A$8-'Anchor Points'!$A$7)*('Anchor Points'!$B$8-'Anchor Points'!$B$7),'Anchor Points'!$B$8+(A5-'Anchor Points'!$A$8)/('Anchor Points'!$A$9-'Anchor Points'!$A$8)*('Anchor Points'!$B$9-'Anchor Points'!$B$8)))))))</x:f>
        <x:v>1.8</x:v>
      </x:c>
      <x:c r="D5" s="28" t="n">
        <x:f>IF(A5&lt;=15,'Anchor Points'!$C$2+(A5-'Anchor Points'!$A$2)/('Anchor Points'!$A$3-'Anchor Points'!$A$2)*('Anchor Points'!$C$3-'Anchor Points'!$C$2),IF(A5&lt;=25,'Anchor Points'!$C$3+(A5-'Anchor Points'!$A$3)/('Anchor Points'!$A$4-'Anchor Points'!$A$3)*('Anchor Points'!$C$4-'Anchor Points'!$C$3),IF(A5&lt;=40,'Anchor Points'!$C$4+(A5-'Anchor Points'!$A$4)/('Anchor Points'!$A$5-'Anchor Points'!$A$4)*('Anchor Points'!$C$5-'Anchor Points'!$C$4),IF(A5&lt;=55,'Anchor Points'!$C$5+(A5-'Anchor Points'!$A$5)/('Anchor Points'!$A$6-'Anchor Points'!$A$5)*('Anchor Points'!$C$6-'Anchor Points'!$C$5),IF(A5&lt;=70,'Anchor Points'!$C$6+(A5-'Anchor Points'!$A$6)/('Anchor Points'!$A$7-'Anchor Points'!$A$6)*('Anchor Points'!$C$7-'Anchor Points'!$C$6),IF(A5&lt;=90,'Anchor Points'!$C$7+(A5-'Anchor Points'!$A$7)/('Anchor Points'!$A$8-'Anchor Points'!$A$7)*('Anchor Points'!$C$8-'Anchor Points'!$C$7),'Anchor Points'!$C$8+(A5-'Anchor Points'!$A$8)/('Anchor Points'!$A$9-'Anchor Points'!$A$8)*('Anchor Points'!$C$9-'Anchor Points'!$C$8)))))))</x:f>
        <x:v>1</x:v>
      </x:c>
      <x:c r="E5" s="28" t="n">
        <x:f>IF(A5&lt;=15,'Anchor Points'!$D$2+(A5-'Anchor Points'!$A$2)/('Anchor Points'!$A$3-'Anchor Points'!$A$2)*('Anchor Points'!$D$3-'Anchor Points'!$D$2),IF(A5&lt;=25,'Anchor Points'!$D$3+(A5-'Anchor Points'!$A$3)/('Anchor Points'!$A$4-'Anchor Points'!$A$3)*('Anchor Points'!$D$4-'Anchor Points'!$D$3),IF(A5&lt;=40,'Anchor Points'!$D$4+(A5-'Anchor Points'!$A$4)/('Anchor Points'!$A$5-'Anchor Points'!$A$4)*('Anchor Points'!$D$5-'Anchor Points'!$D$4),IF(A5&lt;=55,'Anchor Points'!$D$5+(A5-'Anchor Points'!$A$5)/('Anchor Points'!$A$6-'Anchor Points'!$A$5)*('Anchor Points'!$D$6-'Anchor Points'!$D$5),IF(A5&lt;=70,'Anchor Points'!$D$6+(A5-'Anchor Points'!$A$6)/('Anchor Points'!$A$7-'Anchor Points'!$A$6)*('Anchor Points'!$D$7-'Anchor Points'!$D$6),IF(A5&lt;=90,'Anchor Points'!$D$7+(A5-'Anchor Points'!$A$7)/('Anchor Points'!$A$8-'Anchor Points'!$A$7)*('Anchor Points'!$D$8-'Anchor Points'!$D$7),'Anchor Points'!$D$8+(A5-'Anchor Points'!$A$8)/('Anchor Points'!$A$9-'Anchor Points'!$A$8)*('Anchor Points'!$D$9-'Anchor Points'!$D$8)))))))</x:f>
        <x:v>0</x:v>
      </x:c>
      <x:c r="F5" s="30" t="n">
        <x:f>ROUND(E5,0)</x:f>
        <x:v>0</x:v>
      </x:c>
      <x:c r="G5" s="28" t="n">
        <x:f>IF(A5&lt;=15,'Anchor Points'!$E$2+(A5-'Anchor Points'!$A$2)/('Anchor Points'!$A$3-'Anchor Points'!$A$2)*('Anchor Points'!$E$3-'Anchor Points'!$E$2),IF(A5&lt;=25,'Anchor Points'!$E$3+(A5-'Anchor Points'!$A$3)/('Anchor Points'!$A$4-'Anchor Points'!$A$3)*('Anchor Points'!$E$4-'Anchor Points'!$E$3),IF(A5&lt;=40,'Anchor Points'!$E$4+(A5-'Anchor Points'!$A$4)/('Anchor Points'!$A$5-'Anchor Points'!$A$4)*('Anchor Points'!$E$5-'Anchor Points'!$E$4),IF(A5&lt;=55,'Anchor Points'!$E$5+(A5-'Anchor Points'!$A$5)/('Anchor Points'!$A$6-'Anchor Points'!$A$5)*('Anchor Points'!$E$6-'Anchor Points'!$E$5),IF(A5&lt;=70,'Anchor Points'!$E$6+(A5-'Anchor Points'!$A$6)/('Anchor Points'!$A$7-'Anchor Points'!$A$6)*('Anchor Points'!$E$7-'Anchor Points'!$E$6),IF(A5&lt;=90,'Anchor Points'!$E$7+(A5-'Anchor Points'!$A$7)/('Anchor Points'!$A$8-'Anchor Points'!$A$7)*('Anchor Points'!$E$8-'Anchor Points'!$E$7),'Anchor Points'!$E$8+(A5-'Anchor Points'!$A$8)/('Anchor Points'!$A$9-'Anchor Points'!$A$8)*('Anchor Points'!$E$9-'Anchor Points'!$E$8)))))))</x:f>
        <x:v>0</x:v>
      </x:c>
      <x:c r="H5" s="30" t="n">
        <x:f>ROUND(G5,0)</x:f>
        <x:v>0</x:v>
      </x:c>
      <x:c r="I5" s="28" t="n">
        <x:f>IF(A5&lt;=15,'Anchor Points'!$F$2+(A5-'Anchor Points'!$A$2)/('Anchor Points'!$A$3-'Anchor Points'!$A$2)*('Anchor Points'!$F$3-'Anchor Points'!$F$2),IF(A5&lt;=25,'Anchor Points'!$F$3+(A5-'Anchor Points'!$A$3)/('Anchor Points'!$A$4-'Anchor Points'!$A$3)*('Anchor Points'!$F$4-'Anchor Points'!$F$3),IF(A5&lt;=40,'Anchor Points'!$F$4+(A5-'Anchor Points'!$A$4)/('Anchor Points'!$A$5-'Anchor Points'!$A$4)*('Anchor Points'!$F$5-'Anchor Points'!$F$4),IF(A5&lt;=55,'Anchor Points'!$F$5+(A5-'Anchor Points'!$A$5)/('Anchor Points'!$A$6-'Anchor Points'!$A$5)*('Anchor Points'!$F$6-'Anchor Points'!$F$5),IF(A5&lt;=70,'Anchor Points'!$F$6+(A5-'Anchor Points'!$A$6)/('Anchor Points'!$A$7-'Anchor Points'!$A$6)*('Anchor Points'!$F$7-'Anchor Points'!$F$6),IF(A5&lt;=90,'Anchor Points'!$F$7+(A5-'Anchor Points'!$A$7)/('Anchor Points'!$A$8-'Anchor Points'!$A$7)*('Anchor Points'!$F$8-'Anchor Points'!$F$7),'Anchor Points'!$F$8+(A5-'Anchor Points'!$A$8)/('Anchor Points'!$A$9-'Anchor Points'!$A$8)*('Anchor Points'!$F$9-'Anchor Points'!$F$8)))))))</x:f>
        <x:v>0</x:v>
      </x:c>
      <x:c r="K5" s="32" t="str">
        <x:v>Status</x:v>
      </x:c>
      <x:c r="L5" s="20" t="str">
        <x:v>Prototype baseline, not official Saaho standard</x:v>
      </x:c>
      <x:c r="M5" s="20" t="str"/>
      <x:c r="N5" s="20" t="str"/>
    </x:row>
    <x:row r="6">
      <x:c r="A6" s="30" t="n">
        <x:v>4</x:v>
      </x:c>
      <x:c r="B6" s="11" t="str">
        <x:f>IF(A6&lt;=15,"Seedling",IF(A6&lt;=25,"Establishment",IF(A6&lt;=40,"Vegetative Growth",IF(A6&lt;=55,"Flowering &amp; Initial Fruit Set",IF(A6&lt;=80,"Fruit Enlargement",IF(A6&lt;=95,"Ripening","Harvesting"))))))</x:f>
        <x:v>Seedling</x:v>
      </x:c>
      <x:c r="C6" s="28" t="n">
        <x:f>IF(A6&lt;=15,'Anchor Points'!$B$2+(A6-'Anchor Points'!$A$2)/('Anchor Points'!$A$3-'Anchor Points'!$A$2)*('Anchor Points'!$B$3-'Anchor Points'!$B$2),IF(A6&lt;=25,'Anchor Points'!$B$3+(A6-'Anchor Points'!$A$3)/('Anchor Points'!$A$4-'Anchor Points'!$A$3)*('Anchor Points'!$B$4-'Anchor Points'!$B$3),IF(A6&lt;=40,'Anchor Points'!$B$4+(A6-'Anchor Points'!$A$4)/('Anchor Points'!$A$5-'Anchor Points'!$A$4)*('Anchor Points'!$B$5-'Anchor Points'!$B$4),IF(A6&lt;=55,'Anchor Points'!$B$5+(A6-'Anchor Points'!$A$5)/('Anchor Points'!$A$6-'Anchor Points'!$A$5)*('Anchor Points'!$B$6-'Anchor Points'!$B$5),IF(A6&lt;=70,'Anchor Points'!$B$6+(A6-'Anchor Points'!$A$6)/('Anchor Points'!$A$7-'Anchor Points'!$A$6)*('Anchor Points'!$B$7-'Anchor Points'!$B$6),IF(A6&lt;=90,'Anchor Points'!$B$7+(A6-'Anchor Points'!$A$7)/('Anchor Points'!$A$8-'Anchor Points'!$A$7)*('Anchor Points'!$B$8-'Anchor Points'!$B$7),'Anchor Points'!$B$8+(A6-'Anchor Points'!$A$8)/('Anchor Points'!$A$9-'Anchor Points'!$A$8)*('Anchor Points'!$B$9-'Anchor Points'!$B$8)))))))</x:f>
        <x:v>2.4</x:v>
      </x:c>
      <x:c r="D6" s="28" t="n">
        <x:f>IF(A6&lt;=15,'Anchor Points'!$C$2+(A6-'Anchor Points'!$A$2)/('Anchor Points'!$A$3-'Anchor Points'!$A$2)*('Anchor Points'!$C$3-'Anchor Points'!$C$2),IF(A6&lt;=25,'Anchor Points'!$C$3+(A6-'Anchor Points'!$A$3)/('Anchor Points'!$A$4-'Anchor Points'!$A$3)*('Anchor Points'!$C$4-'Anchor Points'!$C$3),IF(A6&lt;=40,'Anchor Points'!$C$4+(A6-'Anchor Points'!$A$4)/('Anchor Points'!$A$5-'Anchor Points'!$A$4)*('Anchor Points'!$C$5-'Anchor Points'!$C$4),IF(A6&lt;=55,'Anchor Points'!$C$5+(A6-'Anchor Points'!$A$5)/('Anchor Points'!$A$6-'Anchor Points'!$A$5)*('Anchor Points'!$C$6-'Anchor Points'!$C$5),IF(A6&lt;=70,'Anchor Points'!$C$6+(A6-'Anchor Points'!$A$6)/('Anchor Points'!$A$7-'Anchor Points'!$A$6)*('Anchor Points'!$C$7-'Anchor Points'!$C$6),IF(A6&lt;=90,'Anchor Points'!$C$7+(A6-'Anchor Points'!$A$7)/('Anchor Points'!$A$8-'Anchor Points'!$A$7)*('Anchor Points'!$C$8-'Anchor Points'!$C$7),'Anchor Points'!$C$8+(A6-'Anchor Points'!$A$8)/('Anchor Points'!$A$9-'Anchor Points'!$A$8)*('Anchor Points'!$C$9-'Anchor Points'!$C$8)))))))</x:f>
        <x:v>1.3333333333333333</x:v>
      </x:c>
      <x:c r="E6" s="28" t="n">
        <x:f>IF(A6&lt;=15,'Anchor Points'!$D$2+(A6-'Anchor Points'!$A$2)/('Anchor Points'!$A$3-'Anchor Points'!$A$2)*('Anchor Points'!$D$3-'Anchor Points'!$D$2),IF(A6&lt;=25,'Anchor Points'!$D$3+(A6-'Anchor Points'!$A$3)/('Anchor Points'!$A$4-'Anchor Points'!$A$3)*('Anchor Points'!$D$4-'Anchor Points'!$D$3),IF(A6&lt;=40,'Anchor Points'!$D$4+(A6-'Anchor Points'!$A$4)/('Anchor Points'!$A$5-'Anchor Points'!$A$4)*('Anchor Points'!$D$5-'Anchor Points'!$D$4),IF(A6&lt;=55,'Anchor Points'!$D$5+(A6-'Anchor Points'!$A$5)/('Anchor Points'!$A$6-'Anchor Points'!$A$5)*('Anchor Points'!$D$6-'Anchor Points'!$D$5),IF(A6&lt;=70,'Anchor Points'!$D$6+(A6-'Anchor Points'!$A$6)/('Anchor Points'!$A$7-'Anchor Points'!$A$6)*('Anchor Points'!$D$7-'Anchor Points'!$D$6),IF(A6&lt;=90,'Anchor Points'!$D$7+(A6-'Anchor Points'!$A$7)/('Anchor Points'!$A$8-'Anchor Points'!$A$7)*('Anchor Points'!$D$8-'Anchor Points'!$D$7),'Anchor Points'!$D$8+(A6-'Anchor Points'!$A$8)/('Anchor Points'!$A$9-'Anchor Points'!$A$8)*('Anchor Points'!$D$9-'Anchor Points'!$D$8)))))))</x:f>
        <x:v>0</x:v>
      </x:c>
      <x:c r="F6" s="30" t="n">
        <x:f>ROUND(E6,0)</x:f>
        <x:v>0</x:v>
      </x:c>
      <x:c r="G6" s="28" t="n">
        <x:f>IF(A6&lt;=15,'Anchor Points'!$E$2+(A6-'Anchor Points'!$A$2)/('Anchor Points'!$A$3-'Anchor Points'!$A$2)*('Anchor Points'!$E$3-'Anchor Points'!$E$2),IF(A6&lt;=25,'Anchor Points'!$E$3+(A6-'Anchor Points'!$A$3)/('Anchor Points'!$A$4-'Anchor Points'!$A$3)*('Anchor Points'!$E$4-'Anchor Points'!$E$3),IF(A6&lt;=40,'Anchor Points'!$E$4+(A6-'Anchor Points'!$A$4)/('Anchor Points'!$A$5-'Anchor Points'!$A$4)*('Anchor Points'!$E$5-'Anchor Points'!$E$4),IF(A6&lt;=55,'Anchor Points'!$E$5+(A6-'Anchor Points'!$A$5)/('Anchor Points'!$A$6-'Anchor Points'!$A$5)*('Anchor Points'!$E$6-'Anchor Points'!$E$5),IF(A6&lt;=70,'Anchor Points'!$E$6+(A6-'Anchor Points'!$A$6)/('Anchor Points'!$A$7-'Anchor Points'!$A$6)*('Anchor Points'!$E$7-'Anchor Points'!$E$6),IF(A6&lt;=90,'Anchor Points'!$E$7+(A6-'Anchor Points'!$A$7)/('Anchor Points'!$A$8-'Anchor Points'!$A$7)*('Anchor Points'!$E$8-'Anchor Points'!$E$7),'Anchor Points'!$E$8+(A6-'Anchor Points'!$A$8)/('Anchor Points'!$A$9-'Anchor Points'!$A$8)*('Anchor Points'!$E$9-'Anchor Points'!$E$8)))))))</x:f>
        <x:v>0</x:v>
      </x:c>
      <x:c r="H6" s="30" t="n">
        <x:f>ROUND(G6,0)</x:f>
        <x:v>0</x:v>
      </x:c>
      <x:c r="I6" s="28" t="n">
        <x:f>IF(A6&lt;=15,'Anchor Points'!$F$2+(A6-'Anchor Points'!$A$2)/('Anchor Points'!$A$3-'Anchor Points'!$A$2)*('Anchor Points'!$F$3-'Anchor Points'!$F$2),IF(A6&lt;=25,'Anchor Points'!$F$3+(A6-'Anchor Points'!$A$3)/('Anchor Points'!$A$4-'Anchor Points'!$A$3)*('Anchor Points'!$F$4-'Anchor Points'!$F$3),IF(A6&lt;=40,'Anchor Points'!$F$4+(A6-'Anchor Points'!$A$4)/('Anchor Points'!$A$5-'Anchor Points'!$A$4)*('Anchor Points'!$F$5-'Anchor Points'!$F$4),IF(A6&lt;=55,'Anchor Points'!$F$5+(A6-'Anchor Points'!$A$5)/('Anchor Points'!$A$6-'Anchor Points'!$A$5)*('Anchor Points'!$F$6-'Anchor Points'!$F$5),IF(A6&lt;=70,'Anchor Points'!$F$6+(A6-'Anchor Points'!$A$6)/('Anchor Points'!$A$7-'Anchor Points'!$A$6)*('Anchor Points'!$F$7-'Anchor Points'!$F$6),IF(A6&lt;=90,'Anchor Points'!$F$7+(A6-'Anchor Points'!$A$7)/('Anchor Points'!$A$8-'Anchor Points'!$A$7)*('Anchor Points'!$F$8-'Anchor Points'!$F$7),'Anchor Points'!$F$8+(A6-'Anchor Points'!$A$8)/('Anchor Points'!$A$9-'Anchor Points'!$A$8)*('Anchor Points'!$F$9-'Anchor Points'!$F$8)))))))</x:f>
        <x:v>0</x:v>
      </x:c>
    </x:row>
    <x:row r="7">
      <x:c r="A7" s="30" t="n">
        <x:v>5</x:v>
      </x:c>
      <x:c r="B7" s="11" t="str">
        <x:f>IF(A7&lt;=15,"Seedling",IF(A7&lt;=25,"Establishment",IF(A7&lt;=40,"Vegetative Growth",IF(A7&lt;=55,"Flowering &amp; Initial Fruit Set",IF(A7&lt;=80,"Fruit Enlargement",IF(A7&lt;=95,"Ripening","Harvesting"))))))</x:f>
        <x:v>Seedling</x:v>
      </x:c>
      <x:c r="C7" s="28" t="n">
        <x:f>IF(A7&lt;=15,'Anchor Points'!$B$2+(A7-'Anchor Points'!$A$2)/('Anchor Points'!$A$3-'Anchor Points'!$A$2)*('Anchor Points'!$B$3-'Anchor Points'!$B$2),IF(A7&lt;=25,'Anchor Points'!$B$3+(A7-'Anchor Points'!$A$3)/('Anchor Points'!$A$4-'Anchor Points'!$A$3)*('Anchor Points'!$B$4-'Anchor Points'!$B$3),IF(A7&lt;=40,'Anchor Points'!$B$4+(A7-'Anchor Points'!$A$4)/('Anchor Points'!$A$5-'Anchor Points'!$A$4)*('Anchor Points'!$B$5-'Anchor Points'!$B$4),IF(A7&lt;=55,'Anchor Points'!$B$5+(A7-'Anchor Points'!$A$5)/('Anchor Points'!$A$6-'Anchor Points'!$A$5)*('Anchor Points'!$B$6-'Anchor Points'!$B$5),IF(A7&lt;=70,'Anchor Points'!$B$6+(A7-'Anchor Points'!$A$6)/('Anchor Points'!$A$7-'Anchor Points'!$A$6)*('Anchor Points'!$B$7-'Anchor Points'!$B$6),IF(A7&lt;=90,'Anchor Points'!$B$7+(A7-'Anchor Points'!$A$7)/('Anchor Points'!$A$8-'Anchor Points'!$A$7)*('Anchor Points'!$B$8-'Anchor Points'!$B$7),'Anchor Points'!$B$8+(A7-'Anchor Points'!$A$8)/('Anchor Points'!$A$9-'Anchor Points'!$A$8)*('Anchor Points'!$B$9-'Anchor Points'!$B$8)))))))</x:f>
        <x:v>3</x:v>
      </x:c>
      <x:c r="D7" s="28" t="n">
        <x:f>IF(A7&lt;=15,'Anchor Points'!$C$2+(A7-'Anchor Points'!$A$2)/('Anchor Points'!$A$3-'Anchor Points'!$A$2)*('Anchor Points'!$C$3-'Anchor Points'!$C$2),IF(A7&lt;=25,'Anchor Points'!$C$3+(A7-'Anchor Points'!$A$3)/('Anchor Points'!$A$4-'Anchor Points'!$A$3)*('Anchor Points'!$C$4-'Anchor Points'!$C$3),IF(A7&lt;=40,'Anchor Points'!$C$4+(A7-'Anchor Points'!$A$4)/('Anchor Points'!$A$5-'Anchor Points'!$A$4)*('Anchor Points'!$C$5-'Anchor Points'!$C$4),IF(A7&lt;=55,'Anchor Points'!$C$5+(A7-'Anchor Points'!$A$5)/('Anchor Points'!$A$6-'Anchor Points'!$A$5)*('Anchor Points'!$C$6-'Anchor Points'!$C$5),IF(A7&lt;=70,'Anchor Points'!$C$6+(A7-'Anchor Points'!$A$6)/('Anchor Points'!$A$7-'Anchor Points'!$A$6)*('Anchor Points'!$C$7-'Anchor Points'!$C$6),IF(A7&lt;=90,'Anchor Points'!$C$7+(A7-'Anchor Points'!$A$7)/('Anchor Points'!$A$8-'Anchor Points'!$A$7)*('Anchor Points'!$C$8-'Anchor Points'!$C$7),'Anchor Points'!$C$8+(A7-'Anchor Points'!$A$8)/('Anchor Points'!$A$9-'Anchor Points'!$A$8)*('Anchor Points'!$C$9-'Anchor Points'!$C$8)))))))</x:f>
        <x:v>1.6666666666666665</x:v>
      </x:c>
      <x:c r="E7" s="28" t="n">
        <x:f>IF(A7&lt;=15,'Anchor Points'!$D$2+(A7-'Anchor Points'!$A$2)/('Anchor Points'!$A$3-'Anchor Points'!$A$2)*('Anchor Points'!$D$3-'Anchor Points'!$D$2),IF(A7&lt;=25,'Anchor Points'!$D$3+(A7-'Anchor Points'!$A$3)/('Anchor Points'!$A$4-'Anchor Points'!$A$3)*('Anchor Points'!$D$4-'Anchor Points'!$D$3),IF(A7&lt;=40,'Anchor Points'!$D$4+(A7-'Anchor Points'!$A$4)/('Anchor Points'!$A$5-'Anchor Points'!$A$4)*('Anchor Points'!$D$5-'Anchor Points'!$D$4),IF(A7&lt;=55,'Anchor Points'!$D$5+(A7-'Anchor Points'!$A$5)/('Anchor Points'!$A$6-'Anchor Points'!$A$5)*('Anchor Points'!$D$6-'Anchor Points'!$D$5),IF(A7&lt;=70,'Anchor Points'!$D$6+(A7-'Anchor Points'!$A$6)/('Anchor Points'!$A$7-'Anchor Points'!$A$6)*('Anchor Points'!$D$7-'Anchor Points'!$D$6),IF(A7&lt;=90,'Anchor Points'!$D$7+(A7-'Anchor Points'!$A$7)/('Anchor Points'!$A$8-'Anchor Points'!$A$7)*('Anchor Points'!$D$8-'Anchor Points'!$D$7),'Anchor Points'!$D$8+(A7-'Anchor Points'!$A$8)/('Anchor Points'!$A$9-'Anchor Points'!$A$8)*('Anchor Points'!$D$9-'Anchor Points'!$D$8)))))))</x:f>
        <x:v>0</x:v>
      </x:c>
      <x:c r="F7" s="30" t="n">
        <x:f>ROUND(E7,0)</x:f>
        <x:v>0</x:v>
      </x:c>
      <x:c r="G7" s="28" t="n">
        <x:f>IF(A7&lt;=15,'Anchor Points'!$E$2+(A7-'Anchor Points'!$A$2)/('Anchor Points'!$A$3-'Anchor Points'!$A$2)*('Anchor Points'!$E$3-'Anchor Points'!$E$2),IF(A7&lt;=25,'Anchor Points'!$E$3+(A7-'Anchor Points'!$A$3)/('Anchor Points'!$A$4-'Anchor Points'!$A$3)*('Anchor Points'!$E$4-'Anchor Points'!$E$3),IF(A7&lt;=40,'Anchor Points'!$E$4+(A7-'Anchor Points'!$A$4)/('Anchor Points'!$A$5-'Anchor Points'!$A$4)*('Anchor Points'!$E$5-'Anchor Points'!$E$4),IF(A7&lt;=55,'Anchor Points'!$E$5+(A7-'Anchor Points'!$A$5)/('Anchor Points'!$A$6-'Anchor Points'!$A$5)*('Anchor Points'!$E$6-'Anchor Points'!$E$5),IF(A7&lt;=70,'Anchor Points'!$E$6+(A7-'Anchor Points'!$A$6)/('Anchor Points'!$A$7-'Anchor Points'!$A$6)*('Anchor Points'!$E$7-'Anchor Points'!$E$6),IF(A7&lt;=90,'Anchor Points'!$E$7+(A7-'Anchor Points'!$A$7)/('Anchor Points'!$A$8-'Anchor Points'!$A$7)*('Anchor Points'!$E$8-'Anchor Points'!$E$7),'Anchor Points'!$E$8+(A7-'Anchor Points'!$A$8)/('Anchor Points'!$A$9-'Anchor Points'!$A$8)*('Anchor Points'!$E$9-'Anchor Points'!$E$8)))))))</x:f>
        <x:v>0</x:v>
      </x:c>
      <x:c r="H7" s="30" t="n">
        <x:f>ROUND(G7,0)</x:f>
        <x:v>0</x:v>
      </x:c>
      <x:c r="I7" s="28" t="n">
        <x:f>IF(A7&lt;=15,'Anchor Points'!$F$2+(A7-'Anchor Points'!$A$2)/('Anchor Points'!$A$3-'Anchor Points'!$A$2)*('Anchor Points'!$F$3-'Anchor Points'!$F$2),IF(A7&lt;=25,'Anchor Points'!$F$3+(A7-'Anchor Points'!$A$3)/('Anchor Points'!$A$4-'Anchor Points'!$A$3)*('Anchor Points'!$F$4-'Anchor Points'!$F$3),IF(A7&lt;=40,'Anchor Points'!$F$4+(A7-'Anchor Points'!$A$4)/('Anchor Points'!$A$5-'Anchor Points'!$A$4)*('Anchor Points'!$F$5-'Anchor Points'!$F$4),IF(A7&lt;=55,'Anchor Points'!$F$5+(A7-'Anchor Points'!$A$5)/('Anchor Points'!$A$6-'Anchor Points'!$A$5)*('Anchor Points'!$F$6-'Anchor Points'!$F$5),IF(A7&lt;=70,'Anchor Points'!$F$6+(A7-'Anchor Points'!$A$6)/('Anchor Points'!$A$7-'Anchor Points'!$A$6)*('Anchor Points'!$F$7-'Anchor Points'!$F$6),IF(A7&lt;=90,'Anchor Points'!$F$7+(A7-'Anchor Points'!$A$7)/('Anchor Points'!$A$8-'Anchor Points'!$A$7)*('Anchor Points'!$F$8-'Anchor Points'!$F$7),'Anchor Points'!$F$8+(A7-'Anchor Points'!$A$8)/('Anchor Points'!$A$9-'Anchor Points'!$A$8)*('Anchor Points'!$F$9-'Anchor Points'!$F$8)))))))</x:f>
        <x:v>0</x:v>
      </x:c>
    </x:row>
    <x:row r="8">
      <x:c r="A8" s="30" t="n">
        <x:v>6</x:v>
      </x:c>
      <x:c r="B8" s="11" t="str">
        <x:f>IF(A8&lt;=15,"Seedling",IF(A8&lt;=25,"Establishment",IF(A8&lt;=40,"Vegetative Growth",IF(A8&lt;=55,"Flowering &amp; Initial Fruit Set",IF(A8&lt;=80,"Fruit Enlargement",IF(A8&lt;=95,"Ripening","Harvesting"))))))</x:f>
        <x:v>Seedling</x:v>
      </x:c>
      <x:c r="C8" s="28" t="n">
        <x:f>IF(A8&lt;=15,'Anchor Points'!$B$2+(A8-'Anchor Points'!$A$2)/('Anchor Points'!$A$3-'Anchor Points'!$A$2)*('Anchor Points'!$B$3-'Anchor Points'!$B$2),IF(A8&lt;=25,'Anchor Points'!$B$3+(A8-'Anchor Points'!$A$3)/('Anchor Points'!$A$4-'Anchor Points'!$A$3)*('Anchor Points'!$B$4-'Anchor Points'!$B$3),IF(A8&lt;=40,'Anchor Points'!$B$4+(A8-'Anchor Points'!$A$4)/('Anchor Points'!$A$5-'Anchor Points'!$A$4)*('Anchor Points'!$B$5-'Anchor Points'!$B$4),IF(A8&lt;=55,'Anchor Points'!$B$5+(A8-'Anchor Points'!$A$5)/('Anchor Points'!$A$6-'Anchor Points'!$A$5)*('Anchor Points'!$B$6-'Anchor Points'!$B$5),IF(A8&lt;=70,'Anchor Points'!$B$6+(A8-'Anchor Points'!$A$6)/('Anchor Points'!$A$7-'Anchor Points'!$A$6)*('Anchor Points'!$B$7-'Anchor Points'!$B$6),IF(A8&lt;=90,'Anchor Points'!$B$7+(A8-'Anchor Points'!$A$7)/('Anchor Points'!$A$8-'Anchor Points'!$A$7)*('Anchor Points'!$B$8-'Anchor Points'!$B$7),'Anchor Points'!$B$8+(A8-'Anchor Points'!$A$8)/('Anchor Points'!$A$9-'Anchor Points'!$A$8)*('Anchor Points'!$B$9-'Anchor Points'!$B$8)))))))</x:f>
        <x:v>3.6</x:v>
      </x:c>
      <x:c r="D8" s="28" t="n">
        <x:f>IF(A8&lt;=15,'Anchor Points'!$C$2+(A8-'Anchor Points'!$A$2)/('Anchor Points'!$A$3-'Anchor Points'!$A$2)*('Anchor Points'!$C$3-'Anchor Points'!$C$2),IF(A8&lt;=25,'Anchor Points'!$C$3+(A8-'Anchor Points'!$A$3)/('Anchor Points'!$A$4-'Anchor Points'!$A$3)*('Anchor Points'!$C$4-'Anchor Points'!$C$3),IF(A8&lt;=40,'Anchor Points'!$C$4+(A8-'Anchor Points'!$A$4)/('Anchor Points'!$A$5-'Anchor Points'!$A$4)*('Anchor Points'!$C$5-'Anchor Points'!$C$4),IF(A8&lt;=55,'Anchor Points'!$C$5+(A8-'Anchor Points'!$A$5)/('Anchor Points'!$A$6-'Anchor Points'!$A$5)*('Anchor Points'!$C$6-'Anchor Points'!$C$5),IF(A8&lt;=70,'Anchor Points'!$C$6+(A8-'Anchor Points'!$A$6)/('Anchor Points'!$A$7-'Anchor Points'!$A$6)*('Anchor Points'!$C$7-'Anchor Points'!$C$6),IF(A8&lt;=90,'Anchor Points'!$C$7+(A8-'Anchor Points'!$A$7)/('Anchor Points'!$A$8-'Anchor Points'!$A$7)*('Anchor Points'!$C$8-'Anchor Points'!$C$7),'Anchor Points'!$C$8+(A8-'Anchor Points'!$A$8)/('Anchor Points'!$A$9-'Anchor Points'!$A$8)*('Anchor Points'!$C$9-'Anchor Points'!$C$8)))))))</x:f>
        <x:v>2</x:v>
      </x:c>
      <x:c r="E8" s="28" t="n">
        <x:f>IF(A8&lt;=15,'Anchor Points'!$D$2+(A8-'Anchor Points'!$A$2)/('Anchor Points'!$A$3-'Anchor Points'!$A$2)*('Anchor Points'!$D$3-'Anchor Points'!$D$2),IF(A8&lt;=25,'Anchor Points'!$D$3+(A8-'Anchor Points'!$A$3)/('Anchor Points'!$A$4-'Anchor Points'!$A$3)*('Anchor Points'!$D$4-'Anchor Points'!$D$3),IF(A8&lt;=40,'Anchor Points'!$D$4+(A8-'Anchor Points'!$A$4)/('Anchor Points'!$A$5-'Anchor Points'!$A$4)*('Anchor Points'!$D$5-'Anchor Points'!$D$4),IF(A8&lt;=55,'Anchor Points'!$D$5+(A8-'Anchor Points'!$A$5)/('Anchor Points'!$A$6-'Anchor Points'!$A$5)*('Anchor Points'!$D$6-'Anchor Points'!$D$5),IF(A8&lt;=70,'Anchor Points'!$D$6+(A8-'Anchor Points'!$A$6)/('Anchor Points'!$A$7-'Anchor Points'!$A$6)*('Anchor Points'!$D$7-'Anchor Points'!$D$6),IF(A8&lt;=90,'Anchor Points'!$D$7+(A8-'Anchor Points'!$A$7)/('Anchor Points'!$A$8-'Anchor Points'!$A$7)*('Anchor Points'!$D$8-'Anchor Points'!$D$7),'Anchor Points'!$D$8+(A8-'Anchor Points'!$A$8)/('Anchor Points'!$A$9-'Anchor Points'!$A$8)*('Anchor Points'!$D$9-'Anchor Points'!$D$8)))))))</x:f>
        <x:v>0</x:v>
      </x:c>
      <x:c r="F8" s="30" t="n">
        <x:f>ROUND(E8,0)</x:f>
        <x:v>0</x:v>
      </x:c>
      <x:c r="G8" s="28" t="n">
        <x:f>IF(A8&lt;=15,'Anchor Points'!$E$2+(A8-'Anchor Points'!$A$2)/('Anchor Points'!$A$3-'Anchor Points'!$A$2)*('Anchor Points'!$E$3-'Anchor Points'!$E$2),IF(A8&lt;=25,'Anchor Points'!$E$3+(A8-'Anchor Points'!$A$3)/('Anchor Points'!$A$4-'Anchor Points'!$A$3)*('Anchor Points'!$E$4-'Anchor Points'!$E$3),IF(A8&lt;=40,'Anchor Points'!$E$4+(A8-'Anchor Points'!$A$4)/('Anchor Points'!$A$5-'Anchor Points'!$A$4)*('Anchor Points'!$E$5-'Anchor Points'!$E$4),IF(A8&lt;=55,'Anchor Points'!$E$5+(A8-'Anchor Points'!$A$5)/('Anchor Points'!$A$6-'Anchor Points'!$A$5)*('Anchor Points'!$E$6-'Anchor Points'!$E$5),IF(A8&lt;=70,'Anchor Points'!$E$6+(A8-'Anchor Points'!$A$6)/('Anchor Points'!$A$7-'Anchor Points'!$A$6)*('Anchor Points'!$E$7-'Anchor Points'!$E$6),IF(A8&lt;=90,'Anchor Points'!$E$7+(A8-'Anchor Points'!$A$7)/('Anchor Points'!$A$8-'Anchor Points'!$A$7)*('Anchor Points'!$E$8-'Anchor Points'!$E$7),'Anchor Points'!$E$8+(A8-'Anchor Points'!$A$8)/('Anchor Points'!$A$9-'Anchor Points'!$A$8)*('Anchor Points'!$E$9-'Anchor Points'!$E$8)))))))</x:f>
        <x:v>0</x:v>
      </x:c>
      <x:c r="H8" s="30" t="n">
        <x:f>ROUND(G8,0)</x:f>
        <x:v>0</x:v>
      </x:c>
      <x:c r="I8" s="28" t="n">
        <x:f>IF(A8&lt;=15,'Anchor Points'!$F$2+(A8-'Anchor Points'!$A$2)/('Anchor Points'!$A$3-'Anchor Points'!$A$2)*('Anchor Points'!$F$3-'Anchor Points'!$F$2),IF(A8&lt;=25,'Anchor Points'!$F$3+(A8-'Anchor Points'!$A$3)/('Anchor Points'!$A$4-'Anchor Points'!$A$3)*('Anchor Points'!$F$4-'Anchor Points'!$F$3),IF(A8&lt;=40,'Anchor Points'!$F$4+(A8-'Anchor Points'!$A$4)/('Anchor Points'!$A$5-'Anchor Points'!$A$4)*('Anchor Points'!$F$5-'Anchor Points'!$F$4),IF(A8&lt;=55,'Anchor Points'!$F$5+(A8-'Anchor Points'!$A$5)/('Anchor Points'!$A$6-'Anchor Points'!$A$5)*('Anchor Points'!$F$6-'Anchor Points'!$F$5),IF(A8&lt;=70,'Anchor Points'!$F$6+(A8-'Anchor Points'!$A$6)/('Anchor Points'!$A$7-'Anchor Points'!$A$6)*('Anchor Points'!$F$7-'Anchor Points'!$F$6),IF(A8&lt;=90,'Anchor Points'!$F$7+(A8-'Anchor Points'!$A$7)/('Anchor Points'!$A$8-'Anchor Points'!$A$7)*('Anchor Points'!$F$8-'Anchor Points'!$F$7),'Anchor Points'!$F$8+(A8-'Anchor Points'!$A$8)/('Anchor Points'!$A$9-'Anchor Points'!$A$8)*('Anchor Points'!$F$9-'Anchor Points'!$F$8)))))))</x:f>
        <x:v>0</x:v>
      </x:c>
    </x:row>
    <x:row r="9">
      <x:c r="A9" s="30" t="n">
        <x:v>7</x:v>
      </x:c>
      <x:c r="B9" s="11" t="str">
        <x:f>IF(A9&lt;=15,"Seedling",IF(A9&lt;=25,"Establishment",IF(A9&lt;=40,"Vegetative Growth",IF(A9&lt;=55,"Flowering &amp; Initial Fruit Set",IF(A9&lt;=80,"Fruit Enlargement",IF(A9&lt;=95,"Ripening","Harvesting"))))))</x:f>
        <x:v>Seedling</x:v>
      </x:c>
      <x:c r="C9" s="28" t="n">
        <x:f>IF(A9&lt;=15,'Anchor Points'!$B$2+(A9-'Anchor Points'!$A$2)/('Anchor Points'!$A$3-'Anchor Points'!$A$2)*('Anchor Points'!$B$3-'Anchor Points'!$B$2),IF(A9&lt;=25,'Anchor Points'!$B$3+(A9-'Anchor Points'!$A$3)/('Anchor Points'!$A$4-'Anchor Points'!$A$3)*('Anchor Points'!$B$4-'Anchor Points'!$B$3),IF(A9&lt;=40,'Anchor Points'!$B$4+(A9-'Anchor Points'!$A$4)/('Anchor Points'!$A$5-'Anchor Points'!$A$4)*('Anchor Points'!$B$5-'Anchor Points'!$B$4),IF(A9&lt;=55,'Anchor Points'!$B$5+(A9-'Anchor Points'!$A$5)/('Anchor Points'!$A$6-'Anchor Points'!$A$5)*('Anchor Points'!$B$6-'Anchor Points'!$B$5),IF(A9&lt;=70,'Anchor Points'!$B$6+(A9-'Anchor Points'!$A$6)/('Anchor Points'!$A$7-'Anchor Points'!$A$6)*('Anchor Points'!$B$7-'Anchor Points'!$B$6),IF(A9&lt;=90,'Anchor Points'!$B$7+(A9-'Anchor Points'!$A$7)/('Anchor Points'!$A$8-'Anchor Points'!$A$7)*('Anchor Points'!$B$8-'Anchor Points'!$B$7),'Anchor Points'!$B$8+(A9-'Anchor Points'!$A$8)/('Anchor Points'!$A$9-'Anchor Points'!$A$8)*('Anchor Points'!$B$9-'Anchor Points'!$B$8)))))))</x:f>
        <x:v>4.2</x:v>
      </x:c>
      <x:c r="D9" s="28" t="n">
        <x:f>IF(A9&lt;=15,'Anchor Points'!$C$2+(A9-'Anchor Points'!$A$2)/('Anchor Points'!$A$3-'Anchor Points'!$A$2)*('Anchor Points'!$C$3-'Anchor Points'!$C$2),IF(A9&lt;=25,'Anchor Points'!$C$3+(A9-'Anchor Points'!$A$3)/('Anchor Points'!$A$4-'Anchor Points'!$A$3)*('Anchor Points'!$C$4-'Anchor Points'!$C$3),IF(A9&lt;=40,'Anchor Points'!$C$4+(A9-'Anchor Points'!$A$4)/('Anchor Points'!$A$5-'Anchor Points'!$A$4)*('Anchor Points'!$C$5-'Anchor Points'!$C$4),IF(A9&lt;=55,'Anchor Points'!$C$5+(A9-'Anchor Points'!$A$5)/('Anchor Points'!$A$6-'Anchor Points'!$A$5)*('Anchor Points'!$C$6-'Anchor Points'!$C$5),IF(A9&lt;=70,'Anchor Points'!$C$6+(A9-'Anchor Points'!$A$6)/('Anchor Points'!$A$7-'Anchor Points'!$A$6)*('Anchor Points'!$C$7-'Anchor Points'!$C$6),IF(A9&lt;=90,'Anchor Points'!$C$7+(A9-'Anchor Points'!$A$7)/('Anchor Points'!$A$8-'Anchor Points'!$A$7)*('Anchor Points'!$C$8-'Anchor Points'!$C$7),'Anchor Points'!$C$8+(A9-'Anchor Points'!$A$8)/('Anchor Points'!$A$9-'Anchor Points'!$A$8)*('Anchor Points'!$C$9-'Anchor Points'!$C$8)))))))</x:f>
        <x:v>2.3333333333333335</x:v>
      </x:c>
      <x:c r="E9" s="28" t="n">
        <x:f>IF(A9&lt;=15,'Anchor Points'!$D$2+(A9-'Anchor Points'!$A$2)/('Anchor Points'!$A$3-'Anchor Points'!$A$2)*('Anchor Points'!$D$3-'Anchor Points'!$D$2),IF(A9&lt;=25,'Anchor Points'!$D$3+(A9-'Anchor Points'!$A$3)/('Anchor Points'!$A$4-'Anchor Points'!$A$3)*('Anchor Points'!$D$4-'Anchor Points'!$D$3),IF(A9&lt;=40,'Anchor Points'!$D$4+(A9-'Anchor Points'!$A$4)/('Anchor Points'!$A$5-'Anchor Points'!$A$4)*('Anchor Points'!$D$5-'Anchor Points'!$D$4),IF(A9&lt;=55,'Anchor Points'!$D$5+(A9-'Anchor Points'!$A$5)/('Anchor Points'!$A$6-'Anchor Points'!$A$5)*('Anchor Points'!$D$6-'Anchor Points'!$D$5),IF(A9&lt;=70,'Anchor Points'!$D$6+(A9-'Anchor Points'!$A$6)/('Anchor Points'!$A$7-'Anchor Points'!$A$6)*('Anchor Points'!$D$7-'Anchor Points'!$D$6),IF(A9&lt;=90,'Anchor Points'!$D$7+(A9-'Anchor Points'!$A$7)/('Anchor Points'!$A$8-'Anchor Points'!$A$7)*('Anchor Points'!$D$8-'Anchor Points'!$D$7),'Anchor Points'!$D$8+(A9-'Anchor Points'!$A$8)/('Anchor Points'!$A$9-'Anchor Points'!$A$8)*('Anchor Points'!$D$9-'Anchor Points'!$D$8)))))))</x:f>
        <x:v>0</x:v>
      </x:c>
      <x:c r="F9" s="30" t="n">
        <x:f>ROUND(E9,0)</x:f>
        <x:v>0</x:v>
      </x:c>
      <x:c r="G9" s="28" t="n">
        <x:f>IF(A9&lt;=15,'Anchor Points'!$E$2+(A9-'Anchor Points'!$A$2)/('Anchor Points'!$A$3-'Anchor Points'!$A$2)*('Anchor Points'!$E$3-'Anchor Points'!$E$2),IF(A9&lt;=25,'Anchor Points'!$E$3+(A9-'Anchor Points'!$A$3)/('Anchor Points'!$A$4-'Anchor Points'!$A$3)*('Anchor Points'!$E$4-'Anchor Points'!$E$3),IF(A9&lt;=40,'Anchor Points'!$E$4+(A9-'Anchor Points'!$A$4)/('Anchor Points'!$A$5-'Anchor Points'!$A$4)*('Anchor Points'!$E$5-'Anchor Points'!$E$4),IF(A9&lt;=55,'Anchor Points'!$E$5+(A9-'Anchor Points'!$A$5)/('Anchor Points'!$A$6-'Anchor Points'!$A$5)*('Anchor Points'!$E$6-'Anchor Points'!$E$5),IF(A9&lt;=70,'Anchor Points'!$E$6+(A9-'Anchor Points'!$A$6)/('Anchor Points'!$A$7-'Anchor Points'!$A$6)*('Anchor Points'!$E$7-'Anchor Points'!$E$6),IF(A9&lt;=90,'Anchor Points'!$E$7+(A9-'Anchor Points'!$A$7)/('Anchor Points'!$A$8-'Anchor Points'!$A$7)*('Anchor Points'!$E$8-'Anchor Points'!$E$7),'Anchor Points'!$E$8+(A9-'Anchor Points'!$A$8)/('Anchor Points'!$A$9-'Anchor Points'!$A$8)*('Anchor Points'!$E$9-'Anchor Points'!$E$8)))))))</x:f>
        <x:v>0</x:v>
      </x:c>
      <x:c r="H9" s="30" t="n">
        <x:f>ROUND(G9,0)</x:f>
        <x:v>0</x:v>
      </x:c>
      <x:c r="I9" s="28" t="n">
        <x:f>IF(A9&lt;=15,'Anchor Points'!$F$2+(A9-'Anchor Points'!$A$2)/('Anchor Points'!$A$3-'Anchor Points'!$A$2)*('Anchor Points'!$F$3-'Anchor Points'!$F$2),IF(A9&lt;=25,'Anchor Points'!$F$3+(A9-'Anchor Points'!$A$3)/('Anchor Points'!$A$4-'Anchor Points'!$A$3)*('Anchor Points'!$F$4-'Anchor Points'!$F$3),IF(A9&lt;=40,'Anchor Points'!$F$4+(A9-'Anchor Points'!$A$4)/('Anchor Points'!$A$5-'Anchor Points'!$A$4)*('Anchor Points'!$F$5-'Anchor Points'!$F$4),IF(A9&lt;=55,'Anchor Points'!$F$5+(A9-'Anchor Points'!$A$5)/('Anchor Points'!$A$6-'Anchor Points'!$A$5)*('Anchor Points'!$F$6-'Anchor Points'!$F$5),IF(A9&lt;=70,'Anchor Points'!$F$6+(A9-'Anchor Points'!$A$6)/('Anchor Points'!$A$7-'Anchor Points'!$A$6)*('Anchor Points'!$F$7-'Anchor Points'!$F$6),IF(A9&lt;=90,'Anchor Points'!$F$7+(A9-'Anchor Points'!$A$7)/('Anchor Points'!$A$8-'Anchor Points'!$A$7)*('Anchor Points'!$F$8-'Anchor Points'!$F$7),'Anchor Points'!$F$8+(A9-'Anchor Points'!$A$8)/('Anchor Points'!$A$9-'Anchor Points'!$A$8)*('Anchor Points'!$F$9-'Anchor Points'!$F$8)))))))</x:f>
        <x:v>0</x:v>
      </x:c>
    </x:row>
    <x:row r="10">
      <x:c r="A10" s="30" t="n">
        <x:v>8</x:v>
      </x:c>
      <x:c r="B10" s="11" t="str">
        <x:f>IF(A10&lt;=15,"Seedling",IF(A10&lt;=25,"Establishment",IF(A10&lt;=40,"Vegetative Growth",IF(A10&lt;=55,"Flowering &amp; Initial Fruit Set",IF(A10&lt;=80,"Fruit Enlargement",IF(A10&lt;=95,"Ripening","Harvesting"))))))</x:f>
        <x:v>Seedling</x:v>
      </x:c>
      <x:c r="C10" s="28" t="n">
        <x:f>IF(A10&lt;=15,'Anchor Points'!$B$2+(A10-'Anchor Points'!$A$2)/('Anchor Points'!$A$3-'Anchor Points'!$A$2)*('Anchor Points'!$B$3-'Anchor Points'!$B$2),IF(A10&lt;=25,'Anchor Points'!$B$3+(A10-'Anchor Points'!$A$3)/('Anchor Points'!$A$4-'Anchor Points'!$A$3)*('Anchor Points'!$B$4-'Anchor Points'!$B$3),IF(A10&lt;=40,'Anchor Points'!$B$4+(A10-'Anchor Points'!$A$4)/('Anchor Points'!$A$5-'Anchor Points'!$A$4)*('Anchor Points'!$B$5-'Anchor Points'!$B$4),IF(A10&lt;=55,'Anchor Points'!$B$5+(A10-'Anchor Points'!$A$5)/('Anchor Points'!$A$6-'Anchor Points'!$A$5)*('Anchor Points'!$B$6-'Anchor Points'!$B$5),IF(A10&lt;=70,'Anchor Points'!$B$6+(A10-'Anchor Points'!$A$6)/('Anchor Points'!$A$7-'Anchor Points'!$A$6)*('Anchor Points'!$B$7-'Anchor Points'!$B$6),IF(A10&lt;=90,'Anchor Points'!$B$7+(A10-'Anchor Points'!$A$7)/('Anchor Points'!$A$8-'Anchor Points'!$A$7)*('Anchor Points'!$B$8-'Anchor Points'!$B$7),'Anchor Points'!$B$8+(A10-'Anchor Points'!$A$8)/('Anchor Points'!$A$9-'Anchor Points'!$A$8)*('Anchor Points'!$B$9-'Anchor Points'!$B$8)))))))</x:f>
        <x:v>4.8</x:v>
      </x:c>
      <x:c r="D10" s="28" t="n">
        <x:f>IF(A10&lt;=15,'Anchor Points'!$C$2+(A10-'Anchor Points'!$A$2)/('Anchor Points'!$A$3-'Anchor Points'!$A$2)*('Anchor Points'!$C$3-'Anchor Points'!$C$2),IF(A10&lt;=25,'Anchor Points'!$C$3+(A10-'Anchor Points'!$A$3)/('Anchor Points'!$A$4-'Anchor Points'!$A$3)*('Anchor Points'!$C$4-'Anchor Points'!$C$3),IF(A10&lt;=40,'Anchor Points'!$C$4+(A10-'Anchor Points'!$A$4)/('Anchor Points'!$A$5-'Anchor Points'!$A$4)*('Anchor Points'!$C$5-'Anchor Points'!$C$4),IF(A10&lt;=55,'Anchor Points'!$C$5+(A10-'Anchor Points'!$A$5)/('Anchor Points'!$A$6-'Anchor Points'!$A$5)*('Anchor Points'!$C$6-'Anchor Points'!$C$5),IF(A10&lt;=70,'Anchor Points'!$C$6+(A10-'Anchor Points'!$A$6)/('Anchor Points'!$A$7-'Anchor Points'!$A$6)*('Anchor Points'!$C$7-'Anchor Points'!$C$6),IF(A10&lt;=90,'Anchor Points'!$C$7+(A10-'Anchor Points'!$A$7)/('Anchor Points'!$A$8-'Anchor Points'!$A$7)*('Anchor Points'!$C$8-'Anchor Points'!$C$7),'Anchor Points'!$C$8+(A10-'Anchor Points'!$A$8)/('Anchor Points'!$A$9-'Anchor Points'!$A$8)*('Anchor Points'!$C$9-'Anchor Points'!$C$8)))))))</x:f>
        <x:v>2.6666666666666665</x:v>
      </x:c>
      <x:c r="E10" s="28" t="n">
        <x:f>IF(A10&lt;=15,'Anchor Points'!$D$2+(A10-'Anchor Points'!$A$2)/('Anchor Points'!$A$3-'Anchor Points'!$A$2)*('Anchor Points'!$D$3-'Anchor Points'!$D$2),IF(A10&lt;=25,'Anchor Points'!$D$3+(A10-'Anchor Points'!$A$3)/('Anchor Points'!$A$4-'Anchor Points'!$A$3)*('Anchor Points'!$D$4-'Anchor Points'!$D$3),IF(A10&lt;=40,'Anchor Points'!$D$4+(A10-'Anchor Points'!$A$4)/('Anchor Points'!$A$5-'Anchor Points'!$A$4)*('Anchor Points'!$D$5-'Anchor Points'!$D$4),IF(A10&lt;=55,'Anchor Points'!$D$5+(A10-'Anchor Points'!$A$5)/('Anchor Points'!$A$6-'Anchor Points'!$A$5)*('Anchor Points'!$D$6-'Anchor Points'!$D$5),IF(A10&lt;=70,'Anchor Points'!$D$6+(A10-'Anchor Points'!$A$6)/('Anchor Points'!$A$7-'Anchor Points'!$A$6)*('Anchor Points'!$D$7-'Anchor Points'!$D$6),IF(A10&lt;=90,'Anchor Points'!$D$7+(A10-'Anchor Points'!$A$7)/('Anchor Points'!$A$8-'Anchor Points'!$A$7)*('Anchor Points'!$D$8-'Anchor Points'!$D$7),'Anchor Points'!$D$8+(A10-'Anchor Points'!$A$8)/('Anchor Points'!$A$9-'Anchor Points'!$A$8)*('Anchor Points'!$D$9-'Anchor Points'!$D$8)))))))</x:f>
        <x:v>0</x:v>
      </x:c>
      <x:c r="F10" s="30" t="n">
        <x:f>ROUND(E10,0)</x:f>
        <x:v>0</x:v>
      </x:c>
      <x:c r="G10" s="28" t="n">
        <x:f>IF(A10&lt;=15,'Anchor Points'!$E$2+(A10-'Anchor Points'!$A$2)/('Anchor Points'!$A$3-'Anchor Points'!$A$2)*('Anchor Points'!$E$3-'Anchor Points'!$E$2),IF(A10&lt;=25,'Anchor Points'!$E$3+(A10-'Anchor Points'!$A$3)/('Anchor Points'!$A$4-'Anchor Points'!$A$3)*('Anchor Points'!$E$4-'Anchor Points'!$E$3),IF(A10&lt;=40,'Anchor Points'!$E$4+(A10-'Anchor Points'!$A$4)/('Anchor Points'!$A$5-'Anchor Points'!$A$4)*('Anchor Points'!$E$5-'Anchor Points'!$E$4),IF(A10&lt;=55,'Anchor Points'!$E$5+(A10-'Anchor Points'!$A$5)/('Anchor Points'!$A$6-'Anchor Points'!$A$5)*('Anchor Points'!$E$6-'Anchor Points'!$E$5),IF(A10&lt;=70,'Anchor Points'!$E$6+(A10-'Anchor Points'!$A$6)/('Anchor Points'!$A$7-'Anchor Points'!$A$6)*('Anchor Points'!$E$7-'Anchor Points'!$E$6),IF(A10&lt;=90,'Anchor Points'!$E$7+(A10-'Anchor Points'!$A$7)/('Anchor Points'!$A$8-'Anchor Points'!$A$7)*('Anchor Points'!$E$8-'Anchor Points'!$E$7),'Anchor Points'!$E$8+(A10-'Anchor Points'!$A$8)/('Anchor Points'!$A$9-'Anchor Points'!$A$8)*('Anchor Points'!$E$9-'Anchor Points'!$E$8)))))))</x:f>
        <x:v>0</x:v>
      </x:c>
      <x:c r="H10" s="30" t="n">
        <x:f>ROUND(G10,0)</x:f>
        <x:v>0</x:v>
      </x:c>
      <x:c r="I10" s="28" t="n">
        <x:f>IF(A10&lt;=15,'Anchor Points'!$F$2+(A10-'Anchor Points'!$A$2)/('Anchor Points'!$A$3-'Anchor Points'!$A$2)*('Anchor Points'!$F$3-'Anchor Points'!$F$2),IF(A10&lt;=25,'Anchor Points'!$F$3+(A10-'Anchor Points'!$A$3)/('Anchor Points'!$A$4-'Anchor Points'!$A$3)*('Anchor Points'!$F$4-'Anchor Points'!$F$3),IF(A10&lt;=40,'Anchor Points'!$F$4+(A10-'Anchor Points'!$A$4)/('Anchor Points'!$A$5-'Anchor Points'!$A$4)*('Anchor Points'!$F$5-'Anchor Points'!$F$4),IF(A10&lt;=55,'Anchor Points'!$F$5+(A10-'Anchor Points'!$A$5)/('Anchor Points'!$A$6-'Anchor Points'!$A$5)*('Anchor Points'!$F$6-'Anchor Points'!$F$5),IF(A10&lt;=70,'Anchor Points'!$F$6+(A10-'Anchor Points'!$A$6)/('Anchor Points'!$A$7-'Anchor Points'!$A$6)*('Anchor Points'!$F$7-'Anchor Points'!$F$6),IF(A10&lt;=90,'Anchor Points'!$F$7+(A10-'Anchor Points'!$A$7)/('Anchor Points'!$A$8-'Anchor Points'!$A$7)*('Anchor Points'!$F$8-'Anchor Points'!$F$7),'Anchor Points'!$F$8+(A10-'Anchor Points'!$A$8)/('Anchor Points'!$A$9-'Anchor Points'!$A$8)*('Anchor Points'!$F$9-'Anchor Points'!$F$8)))))))</x:f>
        <x:v>0</x:v>
      </x:c>
    </x:row>
    <x:row r="11">
      <x:c r="A11" s="30" t="n">
        <x:v>9</x:v>
      </x:c>
      <x:c r="B11" s="11" t="str">
        <x:f>IF(A11&lt;=15,"Seedling",IF(A11&lt;=25,"Establishment",IF(A11&lt;=40,"Vegetative Growth",IF(A11&lt;=55,"Flowering &amp; Initial Fruit Set",IF(A11&lt;=80,"Fruit Enlargement",IF(A11&lt;=95,"Ripening","Harvesting"))))))</x:f>
        <x:v>Seedling</x:v>
      </x:c>
      <x:c r="C11" s="28" t="n">
        <x:f>IF(A11&lt;=15,'Anchor Points'!$B$2+(A11-'Anchor Points'!$A$2)/('Anchor Points'!$A$3-'Anchor Points'!$A$2)*('Anchor Points'!$B$3-'Anchor Points'!$B$2),IF(A11&lt;=25,'Anchor Points'!$B$3+(A11-'Anchor Points'!$A$3)/('Anchor Points'!$A$4-'Anchor Points'!$A$3)*('Anchor Points'!$B$4-'Anchor Points'!$B$3),IF(A11&lt;=40,'Anchor Points'!$B$4+(A11-'Anchor Points'!$A$4)/('Anchor Points'!$A$5-'Anchor Points'!$A$4)*('Anchor Points'!$B$5-'Anchor Points'!$B$4),IF(A11&lt;=55,'Anchor Points'!$B$5+(A11-'Anchor Points'!$A$5)/('Anchor Points'!$A$6-'Anchor Points'!$A$5)*('Anchor Points'!$B$6-'Anchor Points'!$B$5),IF(A11&lt;=70,'Anchor Points'!$B$6+(A11-'Anchor Points'!$A$6)/('Anchor Points'!$A$7-'Anchor Points'!$A$6)*('Anchor Points'!$B$7-'Anchor Points'!$B$6),IF(A11&lt;=90,'Anchor Points'!$B$7+(A11-'Anchor Points'!$A$7)/('Anchor Points'!$A$8-'Anchor Points'!$A$7)*('Anchor Points'!$B$8-'Anchor Points'!$B$7),'Anchor Points'!$B$8+(A11-'Anchor Points'!$A$8)/('Anchor Points'!$A$9-'Anchor Points'!$A$8)*('Anchor Points'!$B$9-'Anchor Points'!$B$8)))))))</x:f>
        <x:v>5.3999999999999995</x:v>
      </x:c>
      <x:c r="D11" s="28" t="n">
        <x:f>IF(A11&lt;=15,'Anchor Points'!$C$2+(A11-'Anchor Points'!$A$2)/('Anchor Points'!$A$3-'Anchor Points'!$A$2)*('Anchor Points'!$C$3-'Anchor Points'!$C$2),IF(A11&lt;=25,'Anchor Points'!$C$3+(A11-'Anchor Points'!$A$3)/('Anchor Points'!$A$4-'Anchor Points'!$A$3)*('Anchor Points'!$C$4-'Anchor Points'!$C$3),IF(A11&lt;=40,'Anchor Points'!$C$4+(A11-'Anchor Points'!$A$4)/('Anchor Points'!$A$5-'Anchor Points'!$A$4)*('Anchor Points'!$C$5-'Anchor Points'!$C$4),IF(A11&lt;=55,'Anchor Points'!$C$5+(A11-'Anchor Points'!$A$5)/('Anchor Points'!$A$6-'Anchor Points'!$A$5)*('Anchor Points'!$C$6-'Anchor Points'!$C$5),IF(A11&lt;=70,'Anchor Points'!$C$6+(A11-'Anchor Points'!$A$6)/('Anchor Points'!$A$7-'Anchor Points'!$A$6)*('Anchor Points'!$C$7-'Anchor Points'!$C$6),IF(A11&lt;=90,'Anchor Points'!$C$7+(A11-'Anchor Points'!$A$7)/('Anchor Points'!$A$8-'Anchor Points'!$A$7)*('Anchor Points'!$C$8-'Anchor Points'!$C$7),'Anchor Points'!$C$8+(A11-'Anchor Points'!$A$8)/('Anchor Points'!$A$9-'Anchor Points'!$A$8)*('Anchor Points'!$C$9-'Anchor Points'!$C$8)))))))</x:f>
        <x:v>3</x:v>
      </x:c>
      <x:c r="E11" s="28" t="n">
        <x:f>IF(A11&lt;=15,'Anchor Points'!$D$2+(A11-'Anchor Points'!$A$2)/('Anchor Points'!$A$3-'Anchor Points'!$A$2)*('Anchor Points'!$D$3-'Anchor Points'!$D$2),IF(A11&lt;=25,'Anchor Points'!$D$3+(A11-'Anchor Points'!$A$3)/('Anchor Points'!$A$4-'Anchor Points'!$A$3)*('Anchor Points'!$D$4-'Anchor Points'!$D$3),IF(A11&lt;=40,'Anchor Points'!$D$4+(A11-'Anchor Points'!$A$4)/('Anchor Points'!$A$5-'Anchor Points'!$A$4)*('Anchor Points'!$D$5-'Anchor Points'!$D$4),IF(A11&lt;=55,'Anchor Points'!$D$5+(A11-'Anchor Points'!$A$5)/('Anchor Points'!$A$6-'Anchor Points'!$A$5)*('Anchor Points'!$D$6-'Anchor Points'!$D$5),IF(A11&lt;=70,'Anchor Points'!$D$6+(A11-'Anchor Points'!$A$6)/('Anchor Points'!$A$7-'Anchor Points'!$A$6)*('Anchor Points'!$D$7-'Anchor Points'!$D$6),IF(A11&lt;=90,'Anchor Points'!$D$7+(A11-'Anchor Points'!$A$7)/('Anchor Points'!$A$8-'Anchor Points'!$A$7)*('Anchor Points'!$D$8-'Anchor Points'!$D$7),'Anchor Points'!$D$8+(A11-'Anchor Points'!$A$8)/('Anchor Points'!$A$9-'Anchor Points'!$A$8)*('Anchor Points'!$D$9-'Anchor Points'!$D$8)))))))</x:f>
        <x:v>0</x:v>
      </x:c>
      <x:c r="F11" s="30" t="n">
        <x:f>ROUND(E11,0)</x:f>
        <x:v>0</x:v>
      </x:c>
      <x:c r="G11" s="28" t="n">
        <x:f>IF(A11&lt;=15,'Anchor Points'!$E$2+(A11-'Anchor Points'!$A$2)/('Anchor Points'!$A$3-'Anchor Points'!$A$2)*('Anchor Points'!$E$3-'Anchor Points'!$E$2),IF(A11&lt;=25,'Anchor Points'!$E$3+(A11-'Anchor Points'!$A$3)/('Anchor Points'!$A$4-'Anchor Points'!$A$3)*('Anchor Points'!$E$4-'Anchor Points'!$E$3),IF(A11&lt;=40,'Anchor Points'!$E$4+(A11-'Anchor Points'!$A$4)/('Anchor Points'!$A$5-'Anchor Points'!$A$4)*('Anchor Points'!$E$5-'Anchor Points'!$E$4),IF(A11&lt;=55,'Anchor Points'!$E$5+(A11-'Anchor Points'!$A$5)/('Anchor Points'!$A$6-'Anchor Points'!$A$5)*('Anchor Points'!$E$6-'Anchor Points'!$E$5),IF(A11&lt;=70,'Anchor Points'!$E$6+(A11-'Anchor Points'!$A$6)/('Anchor Points'!$A$7-'Anchor Points'!$A$6)*('Anchor Points'!$E$7-'Anchor Points'!$E$6),IF(A11&lt;=90,'Anchor Points'!$E$7+(A11-'Anchor Points'!$A$7)/('Anchor Points'!$A$8-'Anchor Points'!$A$7)*('Anchor Points'!$E$8-'Anchor Points'!$E$7),'Anchor Points'!$E$8+(A11-'Anchor Points'!$A$8)/('Anchor Points'!$A$9-'Anchor Points'!$A$8)*('Anchor Points'!$E$9-'Anchor Points'!$E$8)))))))</x:f>
        <x:v>0</x:v>
      </x:c>
      <x:c r="H11" s="30" t="n">
        <x:f>ROUND(G11,0)</x:f>
        <x:v>0</x:v>
      </x:c>
      <x:c r="I11" s="28" t="n">
        <x:f>IF(A11&lt;=15,'Anchor Points'!$F$2+(A11-'Anchor Points'!$A$2)/('Anchor Points'!$A$3-'Anchor Points'!$A$2)*('Anchor Points'!$F$3-'Anchor Points'!$F$2),IF(A11&lt;=25,'Anchor Points'!$F$3+(A11-'Anchor Points'!$A$3)/('Anchor Points'!$A$4-'Anchor Points'!$A$3)*('Anchor Points'!$F$4-'Anchor Points'!$F$3),IF(A11&lt;=40,'Anchor Points'!$F$4+(A11-'Anchor Points'!$A$4)/('Anchor Points'!$A$5-'Anchor Points'!$A$4)*('Anchor Points'!$F$5-'Anchor Points'!$F$4),IF(A11&lt;=55,'Anchor Points'!$F$5+(A11-'Anchor Points'!$A$5)/('Anchor Points'!$A$6-'Anchor Points'!$A$5)*('Anchor Points'!$F$6-'Anchor Points'!$F$5),IF(A11&lt;=70,'Anchor Points'!$F$6+(A11-'Anchor Points'!$A$6)/('Anchor Points'!$A$7-'Anchor Points'!$A$6)*('Anchor Points'!$F$7-'Anchor Points'!$F$6),IF(A11&lt;=90,'Anchor Points'!$F$7+(A11-'Anchor Points'!$A$7)/('Anchor Points'!$A$8-'Anchor Points'!$A$7)*('Anchor Points'!$F$8-'Anchor Points'!$F$7),'Anchor Points'!$F$8+(A11-'Anchor Points'!$A$8)/('Anchor Points'!$A$9-'Anchor Points'!$A$8)*('Anchor Points'!$F$9-'Anchor Points'!$F$8)))))))</x:f>
        <x:v>0</x:v>
      </x:c>
    </x:row>
    <x:row r="12">
      <x:c r="A12" s="30" t="n">
        <x:v>10</x:v>
      </x:c>
      <x:c r="B12" s="11" t="str">
        <x:f>IF(A12&lt;=15,"Seedling",IF(A12&lt;=25,"Establishment",IF(A12&lt;=40,"Vegetative Growth",IF(A12&lt;=55,"Flowering &amp; Initial Fruit Set",IF(A12&lt;=80,"Fruit Enlargement",IF(A12&lt;=95,"Ripening","Harvesting"))))))</x:f>
        <x:v>Seedling</x:v>
      </x:c>
      <x:c r="C12" s="28" t="n">
        <x:f>IF(A12&lt;=15,'Anchor Points'!$B$2+(A12-'Anchor Points'!$A$2)/('Anchor Points'!$A$3-'Anchor Points'!$A$2)*('Anchor Points'!$B$3-'Anchor Points'!$B$2),IF(A12&lt;=25,'Anchor Points'!$B$3+(A12-'Anchor Points'!$A$3)/('Anchor Points'!$A$4-'Anchor Points'!$A$3)*('Anchor Points'!$B$4-'Anchor Points'!$B$3),IF(A12&lt;=40,'Anchor Points'!$B$4+(A12-'Anchor Points'!$A$4)/('Anchor Points'!$A$5-'Anchor Points'!$A$4)*('Anchor Points'!$B$5-'Anchor Points'!$B$4),IF(A12&lt;=55,'Anchor Points'!$B$5+(A12-'Anchor Points'!$A$5)/('Anchor Points'!$A$6-'Anchor Points'!$A$5)*('Anchor Points'!$B$6-'Anchor Points'!$B$5),IF(A12&lt;=70,'Anchor Points'!$B$6+(A12-'Anchor Points'!$A$6)/('Anchor Points'!$A$7-'Anchor Points'!$A$6)*('Anchor Points'!$B$7-'Anchor Points'!$B$6),IF(A12&lt;=90,'Anchor Points'!$B$7+(A12-'Anchor Points'!$A$7)/('Anchor Points'!$A$8-'Anchor Points'!$A$7)*('Anchor Points'!$B$8-'Anchor Points'!$B$7),'Anchor Points'!$B$8+(A12-'Anchor Points'!$A$8)/('Anchor Points'!$A$9-'Anchor Points'!$A$8)*('Anchor Points'!$B$9-'Anchor Points'!$B$8)))))))</x:f>
        <x:v>6</x:v>
      </x:c>
      <x:c r="D12" s="28" t="n">
        <x:f>IF(A12&lt;=15,'Anchor Points'!$C$2+(A12-'Anchor Points'!$A$2)/('Anchor Points'!$A$3-'Anchor Points'!$A$2)*('Anchor Points'!$C$3-'Anchor Points'!$C$2),IF(A12&lt;=25,'Anchor Points'!$C$3+(A12-'Anchor Points'!$A$3)/('Anchor Points'!$A$4-'Anchor Points'!$A$3)*('Anchor Points'!$C$4-'Anchor Points'!$C$3),IF(A12&lt;=40,'Anchor Points'!$C$4+(A12-'Anchor Points'!$A$4)/('Anchor Points'!$A$5-'Anchor Points'!$A$4)*('Anchor Points'!$C$5-'Anchor Points'!$C$4),IF(A12&lt;=55,'Anchor Points'!$C$5+(A12-'Anchor Points'!$A$5)/('Anchor Points'!$A$6-'Anchor Points'!$A$5)*('Anchor Points'!$C$6-'Anchor Points'!$C$5),IF(A12&lt;=70,'Anchor Points'!$C$6+(A12-'Anchor Points'!$A$6)/('Anchor Points'!$A$7-'Anchor Points'!$A$6)*('Anchor Points'!$C$7-'Anchor Points'!$C$6),IF(A12&lt;=90,'Anchor Points'!$C$7+(A12-'Anchor Points'!$A$7)/('Anchor Points'!$A$8-'Anchor Points'!$A$7)*('Anchor Points'!$C$8-'Anchor Points'!$C$7),'Anchor Points'!$C$8+(A12-'Anchor Points'!$A$8)/('Anchor Points'!$A$9-'Anchor Points'!$A$8)*('Anchor Points'!$C$9-'Anchor Points'!$C$8)))))))</x:f>
        <x:v>3.333333333333333</x:v>
      </x:c>
      <x:c r="E12" s="28" t="n">
        <x:f>IF(A12&lt;=15,'Anchor Points'!$D$2+(A12-'Anchor Points'!$A$2)/('Anchor Points'!$A$3-'Anchor Points'!$A$2)*('Anchor Points'!$D$3-'Anchor Points'!$D$2),IF(A12&lt;=25,'Anchor Points'!$D$3+(A12-'Anchor Points'!$A$3)/('Anchor Points'!$A$4-'Anchor Points'!$A$3)*('Anchor Points'!$D$4-'Anchor Points'!$D$3),IF(A12&lt;=40,'Anchor Points'!$D$4+(A12-'Anchor Points'!$A$4)/('Anchor Points'!$A$5-'Anchor Points'!$A$4)*('Anchor Points'!$D$5-'Anchor Points'!$D$4),IF(A12&lt;=55,'Anchor Points'!$D$5+(A12-'Anchor Points'!$A$5)/('Anchor Points'!$A$6-'Anchor Points'!$A$5)*('Anchor Points'!$D$6-'Anchor Points'!$D$5),IF(A12&lt;=70,'Anchor Points'!$D$6+(A12-'Anchor Points'!$A$6)/('Anchor Points'!$A$7-'Anchor Points'!$A$6)*('Anchor Points'!$D$7-'Anchor Points'!$D$6),IF(A12&lt;=90,'Anchor Points'!$D$7+(A12-'Anchor Points'!$A$7)/('Anchor Points'!$A$8-'Anchor Points'!$A$7)*('Anchor Points'!$D$8-'Anchor Points'!$D$7),'Anchor Points'!$D$8+(A12-'Anchor Points'!$A$8)/('Anchor Points'!$A$9-'Anchor Points'!$A$8)*('Anchor Points'!$D$9-'Anchor Points'!$D$8)))))))</x:f>
        <x:v>0</x:v>
      </x:c>
      <x:c r="F12" s="30" t="n">
        <x:f>ROUND(E12,0)</x:f>
        <x:v>0</x:v>
      </x:c>
      <x:c r="G12" s="28" t="n">
        <x:f>IF(A12&lt;=15,'Anchor Points'!$E$2+(A12-'Anchor Points'!$A$2)/('Anchor Points'!$A$3-'Anchor Points'!$A$2)*('Anchor Points'!$E$3-'Anchor Points'!$E$2),IF(A12&lt;=25,'Anchor Points'!$E$3+(A12-'Anchor Points'!$A$3)/('Anchor Points'!$A$4-'Anchor Points'!$A$3)*('Anchor Points'!$E$4-'Anchor Points'!$E$3),IF(A12&lt;=40,'Anchor Points'!$E$4+(A12-'Anchor Points'!$A$4)/('Anchor Points'!$A$5-'Anchor Points'!$A$4)*('Anchor Points'!$E$5-'Anchor Points'!$E$4),IF(A12&lt;=55,'Anchor Points'!$E$5+(A12-'Anchor Points'!$A$5)/('Anchor Points'!$A$6-'Anchor Points'!$A$5)*('Anchor Points'!$E$6-'Anchor Points'!$E$5),IF(A12&lt;=70,'Anchor Points'!$E$6+(A12-'Anchor Points'!$A$6)/('Anchor Points'!$A$7-'Anchor Points'!$A$6)*('Anchor Points'!$E$7-'Anchor Points'!$E$6),IF(A12&lt;=90,'Anchor Points'!$E$7+(A12-'Anchor Points'!$A$7)/('Anchor Points'!$A$8-'Anchor Points'!$A$7)*('Anchor Points'!$E$8-'Anchor Points'!$E$7),'Anchor Points'!$E$8+(A12-'Anchor Points'!$A$8)/('Anchor Points'!$A$9-'Anchor Points'!$A$8)*('Anchor Points'!$E$9-'Anchor Points'!$E$8)))))))</x:f>
        <x:v>0</x:v>
      </x:c>
      <x:c r="H12" s="30" t="n">
        <x:f>ROUND(G12,0)</x:f>
        <x:v>0</x:v>
      </x:c>
      <x:c r="I12" s="28" t="n">
        <x:f>IF(A12&lt;=15,'Anchor Points'!$F$2+(A12-'Anchor Points'!$A$2)/('Anchor Points'!$A$3-'Anchor Points'!$A$2)*('Anchor Points'!$F$3-'Anchor Points'!$F$2),IF(A12&lt;=25,'Anchor Points'!$F$3+(A12-'Anchor Points'!$A$3)/('Anchor Points'!$A$4-'Anchor Points'!$A$3)*('Anchor Points'!$F$4-'Anchor Points'!$F$3),IF(A12&lt;=40,'Anchor Points'!$F$4+(A12-'Anchor Points'!$A$4)/('Anchor Points'!$A$5-'Anchor Points'!$A$4)*('Anchor Points'!$F$5-'Anchor Points'!$F$4),IF(A12&lt;=55,'Anchor Points'!$F$5+(A12-'Anchor Points'!$A$5)/('Anchor Points'!$A$6-'Anchor Points'!$A$5)*('Anchor Points'!$F$6-'Anchor Points'!$F$5),IF(A12&lt;=70,'Anchor Points'!$F$6+(A12-'Anchor Points'!$A$6)/('Anchor Points'!$A$7-'Anchor Points'!$A$6)*('Anchor Points'!$F$7-'Anchor Points'!$F$6),IF(A12&lt;=90,'Anchor Points'!$F$7+(A12-'Anchor Points'!$A$7)/('Anchor Points'!$A$8-'Anchor Points'!$A$7)*('Anchor Points'!$F$8-'Anchor Points'!$F$7),'Anchor Points'!$F$8+(A12-'Anchor Points'!$A$8)/('Anchor Points'!$A$9-'Anchor Points'!$A$8)*('Anchor Points'!$F$9-'Anchor Points'!$F$8)))))))</x:f>
        <x:v>0</x:v>
      </x:c>
    </x:row>
    <x:row r="13">
      <x:c r="A13" s="30" t="n">
        <x:v>11</x:v>
      </x:c>
      <x:c r="B13" s="11" t="str">
        <x:f>IF(A13&lt;=15,"Seedling",IF(A13&lt;=25,"Establishment",IF(A13&lt;=40,"Vegetative Growth",IF(A13&lt;=55,"Flowering &amp; Initial Fruit Set",IF(A13&lt;=80,"Fruit Enlargement",IF(A13&lt;=95,"Ripening","Harvesting"))))))</x:f>
        <x:v>Seedling</x:v>
      </x:c>
      <x:c r="C13" s="28" t="n">
        <x:f>IF(A13&lt;=15,'Anchor Points'!$B$2+(A13-'Anchor Points'!$A$2)/('Anchor Points'!$A$3-'Anchor Points'!$A$2)*('Anchor Points'!$B$3-'Anchor Points'!$B$2),IF(A13&lt;=25,'Anchor Points'!$B$3+(A13-'Anchor Points'!$A$3)/('Anchor Points'!$A$4-'Anchor Points'!$A$3)*('Anchor Points'!$B$4-'Anchor Points'!$B$3),IF(A13&lt;=40,'Anchor Points'!$B$4+(A13-'Anchor Points'!$A$4)/('Anchor Points'!$A$5-'Anchor Points'!$A$4)*('Anchor Points'!$B$5-'Anchor Points'!$B$4),IF(A13&lt;=55,'Anchor Points'!$B$5+(A13-'Anchor Points'!$A$5)/('Anchor Points'!$A$6-'Anchor Points'!$A$5)*('Anchor Points'!$B$6-'Anchor Points'!$B$5),IF(A13&lt;=70,'Anchor Points'!$B$6+(A13-'Anchor Points'!$A$6)/('Anchor Points'!$A$7-'Anchor Points'!$A$6)*('Anchor Points'!$B$7-'Anchor Points'!$B$6),IF(A13&lt;=90,'Anchor Points'!$B$7+(A13-'Anchor Points'!$A$7)/('Anchor Points'!$A$8-'Anchor Points'!$A$7)*('Anchor Points'!$B$8-'Anchor Points'!$B$7),'Anchor Points'!$B$8+(A13-'Anchor Points'!$A$8)/('Anchor Points'!$A$9-'Anchor Points'!$A$8)*('Anchor Points'!$B$9-'Anchor Points'!$B$8)))))))</x:f>
        <x:v>6.6</x:v>
      </x:c>
      <x:c r="D13" s="28" t="n">
        <x:f>IF(A13&lt;=15,'Anchor Points'!$C$2+(A13-'Anchor Points'!$A$2)/('Anchor Points'!$A$3-'Anchor Points'!$A$2)*('Anchor Points'!$C$3-'Anchor Points'!$C$2),IF(A13&lt;=25,'Anchor Points'!$C$3+(A13-'Anchor Points'!$A$3)/('Anchor Points'!$A$4-'Anchor Points'!$A$3)*('Anchor Points'!$C$4-'Anchor Points'!$C$3),IF(A13&lt;=40,'Anchor Points'!$C$4+(A13-'Anchor Points'!$A$4)/('Anchor Points'!$A$5-'Anchor Points'!$A$4)*('Anchor Points'!$C$5-'Anchor Points'!$C$4),IF(A13&lt;=55,'Anchor Points'!$C$5+(A13-'Anchor Points'!$A$5)/('Anchor Points'!$A$6-'Anchor Points'!$A$5)*('Anchor Points'!$C$6-'Anchor Points'!$C$5),IF(A13&lt;=70,'Anchor Points'!$C$6+(A13-'Anchor Points'!$A$6)/('Anchor Points'!$A$7-'Anchor Points'!$A$6)*('Anchor Points'!$C$7-'Anchor Points'!$C$6),IF(A13&lt;=90,'Anchor Points'!$C$7+(A13-'Anchor Points'!$A$7)/('Anchor Points'!$A$8-'Anchor Points'!$A$7)*('Anchor Points'!$C$8-'Anchor Points'!$C$7),'Anchor Points'!$C$8+(A13-'Anchor Points'!$A$8)/('Anchor Points'!$A$9-'Anchor Points'!$A$8)*('Anchor Points'!$C$9-'Anchor Points'!$C$8)))))))</x:f>
        <x:v>3.6666666666666665</x:v>
      </x:c>
      <x:c r="E13" s="28" t="n">
        <x:f>IF(A13&lt;=15,'Anchor Points'!$D$2+(A13-'Anchor Points'!$A$2)/('Anchor Points'!$A$3-'Anchor Points'!$A$2)*('Anchor Points'!$D$3-'Anchor Points'!$D$2),IF(A13&lt;=25,'Anchor Points'!$D$3+(A13-'Anchor Points'!$A$3)/('Anchor Points'!$A$4-'Anchor Points'!$A$3)*('Anchor Points'!$D$4-'Anchor Points'!$D$3),IF(A13&lt;=40,'Anchor Points'!$D$4+(A13-'Anchor Points'!$A$4)/('Anchor Points'!$A$5-'Anchor Points'!$A$4)*('Anchor Points'!$D$5-'Anchor Points'!$D$4),IF(A13&lt;=55,'Anchor Points'!$D$5+(A13-'Anchor Points'!$A$5)/('Anchor Points'!$A$6-'Anchor Points'!$A$5)*('Anchor Points'!$D$6-'Anchor Points'!$D$5),IF(A13&lt;=70,'Anchor Points'!$D$6+(A13-'Anchor Points'!$A$6)/('Anchor Points'!$A$7-'Anchor Points'!$A$6)*('Anchor Points'!$D$7-'Anchor Points'!$D$6),IF(A13&lt;=90,'Anchor Points'!$D$7+(A13-'Anchor Points'!$A$7)/('Anchor Points'!$A$8-'Anchor Points'!$A$7)*('Anchor Points'!$D$8-'Anchor Points'!$D$7),'Anchor Points'!$D$8+(A13-'Anchor Points'!$A$8)/('Anchor Points'!$A$9-'Anchor Points'!$A$8)*('Anchor Points'!$D$9-'Anchor Points'!$D$8)))))))</x:f>
        <x:v>0</x:v>
      </x:c>
      <x:c r="F13" s="30" t="n">
        <x:f>ROUND(E13,0)</x:f>
        <x:v>0</x:v>
      </x:c>
      <x:c r="G13" s="28" t="n">
        <x:f>IF(A13&lt;=15,'Anchor Points'!$E$2+(A13-'Anchor Points'!$A$2)/('Anchor Points'!$A$3-'Anchor Points'!$A$2)*('Anchor Points'!$E$3-'Anchor Points'!$E$2),IF(A13&lt;=25,'Anchor Points'!$E$3+(A13-'Anchor Points'!$A$3)/('Anchor Points'!$A$4-'Anchor Points'!$A$3)*('Anchor Points'!$E$4-'Anchor Points'!$E$3),IF(A13&lt;=40,'Anchor Points'!$E$4+(A13-'Anchor Points'!$A$4)/('Anchor Points'!$A$5-'Anchor Points'!$A$4)*('Anchor Points'!$E$5-'Anchor Points'!$E$4),IF(A13&lt;=55,'Anchor Points'!$E$5+(A13-'Anchor Points'!$A$5)/('Anchor Points'!$A$6-'Anchor Points'!$A$5)*('Anchor Points'!$E$6-'Anchor Points'!$E$5),IF(A13&lt;=70,'Anchor Points'!$E$6+(A13-'Anchor Points'!$A$6)/('Anchor Points'!$A$7-'Anchor Points'!$A$6)*('Anchor Points'!$E$7-'Anchor Points'!$E$6),IF(A13&lt;=90,'Anchor Points'!$E$7+(A13-'Anchor Points'!$A$7)/('Anchor Points'!$A$8-'Anchor Points'!$A$7)*('Anchor Points'!$E$8-'Anchor Points'!$E$7),'Anchor Points'!$E$8+(A13-'Anchor Points'!$A$8)/('Anchor Points'!$A$9-'Anchor Points'!$A$8)*('Anchor Points'!$E$9-'Anchor Points'!$E$8)))))))</x:f>
        <x:v>0</x:v>
      </x:c>
      <x:c r="H13" s="30" t="n">
        <x:f>ROUND(G13,0)</x:f>
        <x:v>0</x:v>
      </x:c>
      <x:c r="I13" s="28" t="n">
        <x:f>IF(A13&lt;=15,'Anchor Points'!$F$2+(A13-'Anchor Points'!$A$2)/('Anchor Points'!$A$3-'Anchor Points'!$A$2)*('Anchor Points'!$F$3-'Anchor Points'!$F$2),IF(A13&lt;=25,'Anchor Points'!$F$3+(A13-'Anchor Points'!$A$3)/('Anchor Points'!$A$4-'Anchor Points'!$A$3)*('Anchor Points'!$F$4-'Anchor Points'!$F$3),IF(A13&lt;=40,'Anchor Points'!$F$4+(A13-'Anchor Points'!$A$4)/('Anchor Points'!$A$5-'Anchor Points'!$A$4)*('Anchor Points'!$F$5-'Anchor Points'!$F$4),IF(A13&lt;=55,'Anchor Points'!$F$5+(A13-'Anchor Points'!$A$5)/('Anchor Points'!$A$6-'Anchor Points'!$A$5)*('Anchor Points'!$F$6-'Anchor Points'!$F$5),IF(A13&lt;=70,'Anchor Points'!$F$6+(A13-'Anchor Points'!$A$6)/('Anchor Points'!$A$7-'Anchor Points'!$A$6)*('Anchor Points'!$F$7-'Anchor Points'!$F$6),IF(A13&lt;=90,'Anchor Points'!$F$7+(A13-'Anchor Points'!$A$7)/('Anchor Points'!$A$8-'Anchor Points'!$A$7)*('Anchor Points'!$F$8-'Anchor Points'!$F$7),'Anchor Points'!$F$8+(A13-'Anchor Points'!$A$8)/('Anchor Points'!$A$9-'Anchor Points'!$A$8)*('Anchor Points'!$F$9-'Anchor Points'!$F$8)))))))</x:f>
        <x:v>0</x:v>
      </x:c>
    </x:row>
    <x:row r="14">
      <x:c r="A14" s="30" t="n">
        <x:v>12</x:v>
      </x:c>
      <x:c r="B14" s="11" t="str">
        <x:f>IF(A14&lt;=15,"Seedling",IF(A14&lt;=25,"Establishment",IF(A14&lt;=40,"Vegetative Growth",IF(A14&lt;=55,"Flowering &amp; Initial Fruit Set",IF(A14&lt;=80,"Fruit Enlargement",IF(A14&lt;=95,"Ripening","Harvesting"))))))</x:f>
        <x:v>Seedling</x:v>
      </x:c>
      <x:c r="C14" s="28" t="n">
        <x:f>IF(A14&lt;=15,'Anchor Points'!$B$2+(A14-'Anchor Points'!$A$2)/('Anchor Points'!$A$3-'Anchor Points'!$A$2)*('Anchor Points'!$B$3-'Anchor Points'!$B$2),IF(A14&lt;=25,'Anchor Points'!$B$3+(A14-'Anchor Points'!$A$3)/('Anchor Points'!$A$4-'Anchor Points'!$A$3)*('Anchor Points'!$B$4-'Anchor Points'!$B$3),IF(A14&lt;=40,'Anchor Points'!$B$4+(A14-'Anchor Points'!$A$4)/('Anchor Points'!$A$5-'Anchor Points'!$A$4)*('Anchor Points'!$B$5-'Anchor Points'!$B$4),IF(A14&lt;=55,'Anchor Points'!$B$5+(A14-'Anchor Points'!$A$5)/('Anchor Points'!$A$6-'Anchor Points'!$A$5)*('Anchor Points'!$B$6-'Anchor Points'!$B$5),IF(A14&lt;=70,'Anchor Points'!$B$6+(A14-'Anchor Points'!$A$6)/('Anchor Points'!$A$7-'Anchor Points'!$A$6)*('Anchor Points'!$B$7-'Anchor Points'!$B$6),IF(A14&lt;=90,'Anchor Points'!$B$7+(A14-'Anchor Points'!$A$7)/('Anchor Points'!$A$8-'Anchor Points'!$A$7)*('Anchor Points'!$B$8-'Anchor Points'!$B$7),'Anchor Points'!$B$8+(A14-'Anchor Points'!$A$8)/('Anchor Points'!$A$9-'Anchor Points'!$A$8)*('Anchor Points'!$B$9-'Anchor Points'!$B$8)))))))</x:f>
        <x:v>7.2</x:v>
      </x:c>
      <x:c r="D14" s="28" t="n">
        <x:f>IF(A14&lt;=15,'Anchor Points'!$C$2+(A14-'Anchor Points'!$A$2)/('Anchor Points'!$A$3-'Anchor Points'!$A$2)*('Anchor Points'!$C$3-'Anchor Points'!$C$2),IF(A14&lt;=25,'Anchor Points'!$C$3+(A14-'Anchor Points'!$A$3)/('Anchor Points'!$A$4-'Anchor Points'!$A$3)*('Anchor Points'!$C$4-'Anchor Points'!$C$3),IF(A14&lt;=40,'Anchor Points'!$C$4+(A14-'Anchor Points'!$A$4)/('Anchor Points'!$A$5-'Anchor Points'!$A$4)*('Anchor Points'!$C$5-'Anchor Points'!$C$4),IF(A14&lt;=55,'Anchor Points'!$C$5+(A14-'Anchor Points'!$A$5)/('Anchor Points'!$A$6-'Anchor Points'!$A$5)*('Anchor Points'!$C$6-'Anchor Points'!$C$5),IF(A14&lt;=70,'Anchor Points'!$C$6+(A14-'Anchor Points'!$A$6)/('Anchor Points'!$A$7-'Anchor Points'!$A$6)*('Anchor Points'!$C$7-'Anchor Points'!$C$6),IF(A14&lt;=90,'Anchor Points'!$C$7+(A14-'Anchor Points'!$A$7)/('Anchor Points'!$A$8-'Anchor Points'!$A$7)*('Anchor Points'!$C$8-'Anchor Points'!$C$7),'Anchor Points'!$C$8+(A14-'Anchor Points'!$A$8)/('Anchor Points'!$A$9-'Anchor Points'!$A$8)*('Anchor Points'!$C$9-'Anchor Points'!$C$8)))))))</x:f>
        <x:v>4</x:v>
      </x:c>
      <x:c r="E14" s="28" t="n">
        <x:f>IF(A14&lt;=15,'Anchor Points'!$D$2+(A14-'Anchor Points'!$A$2)/('Anchor Points'!$A$3-'Anchor Points'!$A$2)*('Anchor Points'!$D$3-'Anchor Points'!$D$2),IF(A14&lt;=25,'Anchor Points'!$D$3+(A14-'Anchor Points'!$A$3)/('Anchor Points'!$A$4-'Anchor Points'!$A$3)*('Anchor Points'!$D$4-'Anchor Points'!$D$3),IF(A14&lt;=40,'Anchor Points'!$D$4+(A14-'Anchor Points'!$A$4)/('Anchor Points'!$A$5-'Anchor Points'!$A$4)*('Anchor Points'!$D$5-'Anchor Points'!$D$4),IF(A14&lt;=55,'Anchor Points'!$D$5+(A14-'Anchor Points'!$A$5)/('Anchor Points'!$A$6-'Anchor Points'!$A$5)*('Anchor Points'!$D$6-'Anchor Points'!$D$5),IF(A14&lt;=70,'Anchor Points'!$D$6+(A14-'Anchor Points'!$A$6)/('Anchor Points'!$A$7-'Anchor Points'!$A$6)*('Anchor Points'!$D$7-'Anchor Points'!$D$6),IF(A14&lt;=90,'Anchor Points'!$D$7+(A14-'Anchor Points'!$A$7)/('Anchor Points'!$A$8-'Anchor Points'!$A$7)*('Anchor Points'!$D$8-'Anchor Points'!$D$7),'Anchor Points'!$D$8+(A14-'Anchor Points'!$A$8)/('Anchor Points'!$A$9-'Anchor Points'!$A$8)*('Anchor Points'!$D$9-'Anchor Points'!$D$8)))))))</x:f>
        <x:v>0</x:v>
      </x:c>
      <x:c r="F14" s="30" t="n">
        <x:f>ROUND(E14,0)</x:f>
        <x:v>0</x:v>
      </x:c>
      <x:c r="G14" s="28" t="n">
        <x:f>IF(A14&lt;=15,'Anchor Points'!$E$2+(A14-'Anchor Points'!$A$2)/('Anchor Points'!$A$3-'Anchor Points'!$A$2)*('Anchor Points'!$E$3-'Anchor Points'!$E$2),IF(A14&lt;=25,'Anchor Points'!$E$3+(A14-'Anchor Points'!$A$3)/('Anchor Points'!$A$4-'Anchor Points'!$A$3)*('Anchor Points'!$E$4-'Anchor Points'!$E$3),IF(A14&lt;=40,'Anchor Points'!$E$4+(A14-'Anchor Points'!$A$4)/('Anchor Points'!$A$5-'Anchor Points'!$A$4)*('Anchor Points'!$E$5-'Anchor Points'!$E$4),IF(A14&lt;=55,'Anchor Points'!$E$5+(A14-'Anchor Points'!$A$5)/('Anchor Points'!$A$6-'Anchor Points'!$A$5)*('Anchor Points'!$E$6-'Anchor Points'!$E$5),IF(A14&lt;=70,'Anchor Points'!$E$6+(A14-'Anchor Points'!$A$6)/('Anchor Points'!$A$7-'Anchor Points'!$A$6)*('Anchor Points'!$E$7-'Anchor Points'!$E$6),IF(A14&lt;=90,'Anchor Points'!$E$7+(A14-'Anchor Points'!$A$7)/('Anchor Points'!$A$8-'Anchor Points'!$A$7)*('Anchor Points'!$E$8-'Anchor Points'!$E$7),'Anchor Points'!$E$8+(A14-'Anchor Points'!$A$8)/('Anchor Points'!$A$9-'Anchor Points'!$A$8)*('Anchor Points'!$E$9-'Anchor Points'!$E$8)))))))</x:f>
        <x:v>0</x:v>
      </x:c>
      <x:c r="H14" s="30" t="n">
        <x:f>ROUND(G14,0)</x:f>
        <x:v>0</x:v>
      </x:c>
      <x:c r="I14" s="28" t="n">
        <x:f>IF(A14&lt;=15,'Anchor Points'!$F$2+(A14-'Anchor Points'!$A$2)/('Anchor Points'!$A$3-'Anchor Points'!$A$2)*('Anchor Points'!$F$3-'Anchor Points'!$F$2),IF(A14&lt;=25,'Anchor Points'!$F$3+(A14-'Anchor Points'!$A$3)/('Anchor Points'!$A$4-'Anchor Points'!$A$3)*('Anchor Points'!$F$4-'Anchor Points'!$F$3),IF(A14&lt;=40,'Anchor Points'!$F$4+(A14-'Anchor Points'!$A$4)/('Anchor Points'!$A$5-'Anchor Points'!$A$4)*('Anchor Points'!$F$5-'Anchor Points'!$F$4),IF(A14&lt;=55,'Anchor Points'!$F$5+(A14-'Anchor Points'!$A$5)/('Anchor Points'!$A$6-'Anchor Points'!$A$5)*('Anchor Points'!$F$6-'Anchor Points'!$F$5),IF(A14&lt;=70,'Anchor Points'!$F$6+(A14-'Anchor Points'!$A$6)/('Anchor Points'!$A$7-'Anchor Points'!$A$6)*('Anchor Points'!$F$7-'Anchor Points'!$F$6),IF(A14&lt;=90,'Anchor Points'!$F$7+(A14-'Anchor Points'!$A$7)/('Anchor Points'!$A$8-'Anchor Points'!$A$7)*('Anchor Points'!$F$8-'Anchor Points'!$F$7),'Anchor Points'!$F$8+(A14-'Anchor Points'!$A$8)/('Anchor Points'!$A$9-'Anchor Points'!$A$8)*('Anchor Points'!$F$9-'Anchor Points'!$F$8)))))))</x:f>
        <x:v>0</x:v>
      </x:c>
    </x:row>
    <x:row r="15">
      <x:c r="A15" s="30" t="n">
        <x:v>13</x:v>
      </x:c>
      <x:c r="B15" s="11" t="str">
        <x:f>IF(A15&lt;=15,"Seedling",IF(A15&lt;=25,"Establishment",IF(A15&lt;=40,"Vegetative Growth",IF(A15&lt;=55,"Flowering &amp; Initial Fruit Set",IF(A15&lt;=80,"Fruit Enlargement",IF(A15&lt;=95,"Ripening","Harvesting"))))))</x:f>
        <x:v>Seedling</x:v>
      </x:c>
      <x:c r="C15" s="28" t="n">
        <x:f>IF(A15&lt;=15,'Anchor Points'!$B$2+(A15-'Anchor Points'!$A$2)/('Anchor Points'!$A$3-'Anchor Points'!$A$2)*('Anchor Points'!$B$3-'Anchor Points'!$B$2),IF(A15&lt;=25,'Anchor Points'!$B$3+(A15-'Anchor Points'!$A$3)/('Anchor Points'!$A$4-'Anchor Points'!$A$3)*('Anchor Points'!$B$4-'Anchor Points'!$B$3),IF(A15&lt;=40,'Anchor Points'!$B$4+(A15-'Anchor Points'!$A$4)/('Anchor Points'!$A$5-'Anchor Points'!$A$4)*('Anchor Points'!$B$5-'Anchor Points'!$B$4),IF(A15&lt;=55,'Anchor Points'!$B$5+(A15-'Anchor Points'!$A$5)/('Anchor Points'!$A$6-'Anchor Points'!$A$5)*('Anchor Points'!$B$6-'Anchor Points'!$B$5),IF(A15&lt;=70,'Anchor Points'!$B$6+(A15-'Anchor Points'!$A$6)/('Anchor Points'!$A$7-'Anchor Points'!$A$6)*('Anchor Points'!$B$7-'Anchor Points'!$B$6),IF(A15&lt;=90,'Anchor Points'!$B$7+(A15-'Anchor Points'!$A$7)/('Anchor Points'!$A$8-'Anchor Points'!$A$7)*('Anchor Points'!$B$8-'Anchor Points'!$B$7),'Anchor Points'!$B$8+(A15-'Anchor Points'!$A$8)/('Anchor Points'!$A$9-'Anchor Points'!$A$8)*('Anchor Points'!$B$9-'Anchor Points'!$B$8)))))))</x:f>
        <x:v>7.800000000000001</x:v>
      </x:c>
      <x:c r="D15" s="28" t="n">
        <x:f>IF(A15&lt;=15,'Anchor Points'!$C$2+(A15-'Anchor Points'!$A$2)/('Anchor Points'!$A$3-'Anchor Points'!$A$2)*('Anchor Points'!$C$3-'Anchor Points'!$C$2),IF(A15&lt;=25,'Anchor Points'!$C$3+(A15-'Anchor Points'!$A$3)/('Anchor Points'!$A$4-'Anchor Points'!$A$3)*('Anchor Points'!$C$4-'Anchor Points'!$C$3),IF(A15&lt;=40,'Anchor Points'!$C$4+(A15-'Anchor Points'!$A$4)/('Anchor Points'!$A$5-'Anchor Points'!$A$4)*('Anchor Points'!$C$5-'Anchor Points'!$C$4),IF(A15&lt;=55,'Anchor Points'!$C$5+(A15-'Anchor Points'!$A$5)/('Anchor Points'!$A$6-'Anchor Points'!$A$5)*('Anchor Points'!$C$6-'Anchor Points'!$C$5),IF(A15&lt;=70,'Anchor Points'!$C$6+(A15-'Anchor Points'!$A$6)/('Anchor Points'!$A$7-'Anchor Points'!$A$6)*('Anchor Points'!$C$7-'Anchor Points'!$C$6),IF(A15&lt;=90,'Anchor Points'!$C$7+(A15-'Anchor Points'!$A$7)/('Anchor Points'!$A$8-'Anchor Points'!$A$7)*('Anchor Points'!$C$8-'Anchor Points'!$C$7),'Anchor Points'!$C$8+(A15-'Anchor Points'!$A$8)/('Anchor Points'!$A$9-'Anchor Points'!$A$8)*('Anchor Points'!$C$9-'Anchor Points'!$C$8)))))))</x:f>
        <x:v>4.333333333333334</x:v>
      </x:c>
      <x:c r="E15" s="28" t="n">
        <x:f>IF(A15&lt;=15,'Anchor Points'!$D$2+(A15-'Anchor Points'!$A$2)/('Anchor Points'!$A$3-'Anchor Points'!$A$2)*('Anchor Points'!$D$3-'Anchor Points'!$D$2),IF(A15&lt;=25,'Anchor Points'!$D$3+(A15-'Anchor Points'!$A$3)/('Anchor Points'!$A$4-'Anchor Points'!$A$3)*('Anchor Points'!$D$4-'Anchor Points'!$D$3),IF(A15&lt;=40,'Anchor Points'!$D$4+(A15-'Anchor Points'!$A$4)/('Anchor Points'!$A$5-'Anchor Points'!$A$4)*('Anchor Points'!$D$5-'Anchor Points'!$D$4),IF(A15&lt;=55,'Anchor Points'!$D$5+(A15-'Anchor Points'!$A$5)/('Anchor Points'!$A$6-'Anchor Points'!$A$5)*('Anchor Points'!$D$6-'Anchor Points'!$D$5),IF(A15&lt;=70,'Anchor Points'!$D$6+(A15-'Anchor Points'!$A$6)/('Anchor Points'!$A$7-'Anchor Points'!$A$6)*('Anchor Points'!$D$7-'Anchor Points'!$D$6),IF(A15&lt;=90,'Anchor Points'!$D$7+(A15-'Anchor Points'!$A$7)/('Anchor Points'!$A$8-'Anchor Points'!$A$7)*('Anchor Points'!$D$8-'Anchor Points'!$D$7),'Anchor Points'!$D$8+(A15-'Anchor Points'!$A$8)/('Anchor Points'!$A$9-'Anchor Points'!$A$8)*('Anchor Points'!$D$9-'Anchor Points'!$D$8)))))))</x:f>
        <x:v>0</x:v>
      </x:c>
      <x:c r="F15" s="30" t="n">
        <x:f>ROUND(E15,0)</x:f>
        <x:v>0</x:v>
      </x:c>
      <x:c r="G15" s="28" t="n">
        <x:f>IF(A15&lt;=15,'Anchor Points'!$E$2+(A15-'Anchor Points'!$A$2)/('Anchor Points'!$A$3-'Anchor Points'!$A$2)*('Anchor Points'!$E$3-'Anchor Points'!$E$2),IF(A15&lt;=25,'Anchor Points'!$E$3+(A15-'Anchor Points'!$A$3)/('Anchor Points'!$A$4-'Anchor Points'!$A$3)*('Anchor Points'!$E$4-'Anchor Points'!$E$3),IF(A15&lt;=40,'Anchor Points'!$E$4+(A15-'Anchor Points'!$A$4)/('Anchor Points'!$A$5-'Anchor Points'!$A$4)*('Anchor Points'!$E$5-'Anchor Points'!$E$4),IF(A15&lt;=55,'Anchor Points'!$E$5+(A15-'Anchor Points'!$A$5)/('Anchor Points'!$A$6-'Anchor Points'!$A$5)*('Anchor Points'!$E$6-'Anchor Points'!$E$5),IF(A15&lt;=70,'Anchor Points'!$E$6+(A15-'Anchor Points'!$A$6)/('Anchor Points'!$A$7-'Anchor Points'!$A$6)*('Anchor Points'!$E$7-'Anchor Points'!$E$6),IF(A15&lt;=90,'Anchor Points'!$E$7+(A15-'Anchor Points'!$A$7)/('Anchor Points'!$A$8-'Anchor Points'!$A$7)*('Anchor Points'!$E$8-'Anchor Points'!$E$7),'Anchor Points'!$E$8+(A15-'Anchor Points'!$A$8)/('Anchor Points'!$A$9-'Anchor Points'!$A$8)*('Anchor Points'!$E$9-'Anchor Points'!$E$8)))))))</x:f>
        <x:v>0</x:v>
      </x:c>
      <x:c r="H15" s="30" t="n">
        <x:f>ROUND(G15,0)</x:f>
        <x:v>0</x:v>
      </x:c>
      <x:c r="I15" s="28" t="n">
        <x:f>IF(A15&lt;=15,'Anchor Points'!$F$2+(A15-'Anchor Points'!$A$2)/('Anchor Points'!$A$3-'Anchor Points'!$A$2)*('Anchor Points'!$F$3-'Anchor Points'!$F$2),IF(A15&lt;=25,'Anchor Points'!$F$3+(A15-'Anchor Points'!$A$3)/('Anchor Points'!$A$4-'Anchor Points'!$A$3)*('Anchor Points'!$F$4-'Anchor Points'!$F$3),IF(A15&lt;=40,'Anchor Points'!$F$4+(A15-'Anchor Points'!$A$4)/('Anchor Points'!$A$5-'Anchor Points'!$A$4)*('Anchor Points'!$F$5-'Anchor Points'!$F$4),IF(A15&lt;=55,'Anchor Points'!$F$5+(A15-'Anchor Points'!$A$5)/('Anchor Points'!$A$6-'Anchor Points'!$A$5)*('Anchor Points'!$F$6-'Anchor Points'!$F$5),IF(A15&lt;=70,'Anchor Points'!$F$6+(A15-'Anchor Points'!$A$6)/('Anchor Points'!$A$7-'Anchor Points'!$A$6)*('Anchor Points'!$F$7-'Anchor Points'!$F$6),IF(A15&lt;=90,'Anchor Points'!$F$7+(A15-'Anchor Points'!$A$7)/('Anchor Points'!$A$8-'Anchor Points'!$A$7)*('Anchor Points'!$F$8-'Anchor Points'!$F$7),'Anchor Points'!$F$8+(A15-'Anchor Points'!$A$8)/('Anchor Points'!$A$9-'Anchor Points'!$A$8)*('Anchor Points'!$F$9-'Anchor Points'!$F$8)))))))</x:f>
        <x:v>0</x:v>
      </x:c>
    </x:row>
    <x:row r="16">
      <x:c r="A16" s="30" t="n">
        <x:v>14</x:v>
      </x:c>
      <x:c r="B16" s="11" t="str">
        <x:f>IF(A16&lt;=15,"Seedling",IF(A16&lt;=25,"Establishment",IF(A16&lt;=40,"Vegetative Growth",IF(A16&lt;=55,"Flowering &amp; Initial Fruit Set",IF(A16&lt;=80,"Fruit Enlargement",IF(A16&lt;=95,"Ripening","Harvesting"))))))</x:f>
        <x:v>Seedling</x:v>
      </x:c>
      <x:c r="C16" s="28" t="n">
        <x:f>IF(A16&lt;=15,'Anchor Points'!$B$2+(A16-'Anchor Points'!$A$2)/('Anchor Points'!$A$3-'Anchor Points'!$A$2)*('Anchor Points'!$B$3-'Anchor Points'!$B$2),IF(A16&lt;=25,'Anchor Points'!$B$3+(A16-'Anchor Points'!$A$3)/('Anchor Points'!$A$4-'Anchor Points'!$A$3)*('Anchor Points'!$B$4-'Anchor Points'!$B$3),IF(A16&lt;=40,'Anchor Points'!$B$4+(A16-'Anchor Points'!$A$4)/('Anchor Points'!$A$5-'Anchor Points'!$A$4)*('Anchor Points'!$B$5-'Anchor Points'!$B$4),IF(A16&lt;=55,'Anchor Points'!$B$5+(A16-'Anchor Points'!$A$5)/('Anchor Points'!$A$6-'Anchor Points'!$A$5)*('Anchor Points'!$B$6-'Anchor Points'!$B$5),IF(A16&lt;=70,'Anchor Points'!$B$6+(A16-'Anchor Points'!$A$6)/('Anchor Points'!$A$7-'Anchor Points'!$A$6)*('Anchor Points'!$B$7-'Anchor Points'!$B$6),IF(A16&lt;=90,'Anchor Points'!$B$7+(A16-'Anchor Points'!$A$7)/('Anchor Points'!$A$8-'Anchor Points'!$A$7)*('Anchor Points'!$B$8-'Anchor Points'!$B$7),'Anchor Points'!$B$8+(A16-'Anchor Points'!$A$8)/('Anchor Points'!$A$9-'Anchor Points'!$A$8)*('Anchor Points'!$B$9-'Anchor Points'!$B$8)))))))</x:f>
        <x:v>8.4</x:v>
      </x:c>
      <x:c r="D16" s="28" t="n">
        <x:f>IF(A16&lt;=15,'Anchor Points'!$C$2+(A16-'Anchor Points'!$A$2)/('Anchor Points'!$A$3-'Anchor Points'!$A$2)*('Anchor Points'!$C$3-'Anchor Points'!$C$2),IF(A16&lt;=25,'Anchor Points'!$C$3+(A16-'Anchor Points'!$A$3)/('Anchor Points'!$A$4-'Anchor Points'!$A$3)*('Anchor Points'!$C$4-'Anchor Points'!$C$3),IF(A16&lt;=40,'Anchor Points'!$C$4+(A16-'Anchor Points'!$A$4)/('Anchor Points'!$A$5-'Anchor Points'!$A$4)*('Anchor Points'!$C$5-'Anchor Points'!$C$4),IF(A16&lt;=55,'Anchor Points'!$C$5+(A16-'Anchor Points'!$A$5)/('Anchor Points'!$A$6-'Anchor Points'!$A$5)*('Anchor Points'!$C$6-'Anchor Points'!$C$5),IF(A16&lt;=70,'Anchor Points'!$C$6+(A16-'Anchor Points'!$A$6)/('Anchor Points'!$A$7-'Anchor Points'!$A$6)*('Anchor Points'!$C$7-'Anchor Points'!$C$6),IF(A16&lt;=90,'Anchor Points'!$C$7+(A16-'Anchor Points'!$A$7)/('Anchor Points'!$A$8-'Anchor Points'!$A$7)*('Anchor Points'!$C$8-'Anchor Points'!$C$7),'Anchor Points'!$C$8+(A16-'Anchor Points'!$A$8)/('Anchor Points'!$A$9-'Anchor Points'!$A$8)*('Anchor Points'!$C$9-'Anchor Points'!$C$8)))))))</x:f>
        <x:v>4.666666666666667</x:v>
      </x:c>
      <x:c r="E16" s="28" t="n">
        <x:f>IF(A16&lt;=15,'Anchor Points'!$D$2+(A16-'Anchor Points'!$A$2)/('Anchor Points'!$A$3-'Anchor Points'!$A$2)*('Anchor Points'!$D$3-'Anchor Points'!$D$2),IF(A16&lt;=25,'Anchor Points'!$D$3+(A16-'Anchor Points'!$A$3)/('Anchor Points'!$A$4-'Anchor Points'!$A$3)*('Anchor Points'!$D$4-'Anchor Points'!$D$3),IF(A16&lt;=40,'Anchor Points'!$D$4+(A16-'Anchor Points'!$A$4)/('Anchor Points'!$A$5-'Anchor Points'!$A$4)*('Anchor Points'!$D$5-'Anchor Points'!$D$4),IF(A16&lt;=55,'Anchor Points'!$D$5+(A16-'Anchor Points'!$A$5)/('Anchor Points'!$A$6-'Anchor Points'!$A$5)*('Anchor Points'!$D$6-'Anchor Points'!$D$5),IF(A16&lt;=70,'Anchor Points'!$D$6+(A16-'Anchor Points'!$A$6)/('Anchor Points'!$A$7-'Anchor Points'!$A$6)*('Anchor Points'!$D$7-'Anchor Points'!$D$6),IF(A16&lt;=90,'Anchor Points'!$D$7+(A16-'Anchor Points'!$A$7)/('Anchor Points'!$A$8-'Anchor Points'!$A$7)*('Anchor Points'!$D$8-'Anchor Points'!$D$7),'Anchor Points'!$D$8+(A16-'Anchor Points'!$A$8)/('Anchor Points'!$A$9-'Anchor Points'!$A$8)*('Anchor Points'!$D$9-'Anchor Points'!$D$8)))))))</x:f>
        <x:v>0</x:v>
      </x:c>
      <x:c r="F16" s="30" t="n">
        <x:f>ROUND(E16,0)</x:f>
        <x:v>0</x:v>
      </x:c>
      <x:c r="G16" s="28" t="n">
        <x:f>IF(A16&lt;=15,'Anchor Points'!$E$2+(A16-'Anchor Points'!$A$2)/('Anchor Points'!$A$3-'Anchor Points'!$A$2)*('Anchor Points'!$E$3-'Anchor Points'!$E$2),IF(A16&lt;=25,'Anchor Points'!$E$3+(A16-'Anchor Points'!$A$3)/('Anchor Points'!$A$4-'Anchor Points'!$A$3)*('Anchor Points'!$E$4-'Anchor Points'!$E$3),IF(A16&lt;=40,'Anchor Points'!$E$4+(A16-'Anchor Points'!$A$4)/('Anchor Points'!$A$5-'Anchor Points'!$A$4)*('Anchor Points'!$E$5-'Anchor Points'!$E$4),IF(A16&lt;=55,'Anchor Points'!$E$5+(A16-'Anchor Points'!$A$5)/('Anchor Points'!$A$6-'Anchor Points'!$A$5)*('Anchor Points'!$E$6-'Anchor Points'!$E$5),IF(A16&lt;=70,'Anchor Points'!$E$6+(A16-'Anchor Points'!$A$6)/('Anchor Points'!$A$7-'Anchor Points'!$A$6)*('Anchor Points'!$E$7-'Anchor Points'!$E$6),IF(A16&lt;=90,'Anchor Points'!$E$7+(A16-'Anchor Points'!$A$7)/('Anchor Points'!$A$8-'Anchor Points'!$A$7)*('Anchor Points'!$E$8-'Anchor Points'!$E$7),'Anchor Points'!$E$8+(A16-'Anchor Points'!$A$8)/('Anchor Points'!$A$9-'Anchor Points'!$A$8)*('Anchor Points'!$E$9-'Anchor Points'!$E$8)))))))</x:f>
        <x:v>0</x:v>
      </x:c>
      <x:c r="H16" s="30" t="n">
        <x:f>ROUND(G16,0)</x:f>
        <x:v>0</x:v>
      </x:c>
      <x:c r="I16" s="28" t="n">
        <x:f>IF(A16&lt;=15,'Anchor Points'!$F$2+(A16-'Anchor Points'!$A$2)/('Anchor Points'!$A$3-'Anchor Points'!$A$2)*('Anchor Points'!$F$3-'Anchor Points'!$F$2),IF(A16&lt;=25,'Anchor Points'!$F$3+(A16-'Anchor Points'!$A$3)/('Anchor Points'!$A$4-'Anchor Points'!$A$3)*('Anchor Points'!$F$4-'Anchor Points'!$F$3),IF(A16&lt;=40,'Anchor Points'!$F$4+(A16-'Anchor Points'!$A$4)/('Anchor Points'!$A$5-'Anchor Points'!$A$4)*('Anchor Points'!$F$5-'Anchor Points'!$F$4),IF(A16&lt;=55,'Anchor Points'!$F$5+(A16-'Anchor Points'!$A$5)/('Anchor Points'!$A$6-'Anchor Points'!$A$5)*('Anchor Points'!$F$6-'Anchor Points'!$F$5),IF(A16&lt;=70,'Anchor Points'!$F$6+(A16-'Anchor Points'!$A$6)/('Anchor Points'!$A$7-'Anchor Points'!$A$6)*('Anchor Points'!$F$7-'Anchor Points'!$F$6),IF(A16&lt;=90,'Anchor Points'!$F$7+(A16-'Anchor Points'!$A$7)/('Anchor Points'!$A$8-'Anchor Points'!$A$7)*('Anchor Points'!$F$8-'Anchor Points'!$F$7),'Anchor Points'!$F$8+(A16-'Anchor Points'!$A$8)/('Anchor Points'!$A$9-'Anchor Points'!$A$8)*('Anchor Points'!$F$9-'Anchor Points'!$F$8)))))))</x:f>
        <x:v>0</x:v>
      </x:c>
    </x:row>
    <x:row r="17">
      <x:c r="A17" s="30" t="n">
        <x:v>15</x:v>
      </x:c>
      <x:c r="B17" s="11" t="str">
        <x:f>IF(A17&lt;=15,"Seedling",IF(A17&lt;=25,"Establishment",IF(A17&lt;=40,"Vegetative Growth",IF(A17&lt;=55,"Flowering &amp; Initial Fruit Set",IF(A17&lt;=80,"Fruit Enlargement",IF(A17&lt;=95,"Ripening","Harvesting"))))))</x:f>
        <x:v>Seedling</x:v>
      </x:c>
      <x:c r="C17" s="28" t="n">
        <x:f>IF(A17&lt;=15,'Anchor Points'!$B$2+(A17-'Anchor Points'!$A$2)/('Anchor Points'!$A$3-'Anchor Points'!$A$2)*('Anchor Points'!$B$3-'Anchor Points'!$B$2),IF(A17&lt;=25,'Anchor Points'!$B$3+(A17-'Anchor Points'!$A$3)/('Anchor Points'!$A$4-'Anchor Points'!$A$3)*('Anchor Points'!$B$4-'Anchor Points'!$B$3),IF(A17&lt;=40,'Anchor Points'!$B$4+(A17-'Anchor Points'!$A$4)/('Anchor Points'!$A$5-'Anchor Points'!$A$4)*('Anchor Points'!$B$5-'Anchor Points'!$B$4),IF(A17&lt;=55,'Anchor Points'!$B$5+(A17-'Anchor Points'!$A$5)/('Anchor Points'!$A$6-'Anchor Points'!$A$5)*('Anchor Points'!$B$6-'Anchor Points'!$B$5),IF(A17&lt;=70,'Anchor Points'!$B$6+(A17-'Anchor Points'!$A$6)/('Anchor Points'!$A$7-'Anchor Points'!$A$6)*('Anchor Points'!$B$7-'Anchor Points'!$B$6),IF(A17&lt;=90,'Anchor Points'!$B$7+(A17-'Anchor Points'!$A$7)/('Anchor Points'!$A$8-'Anchor Points'!$A$7)*('Anchor Points'!$B$8-'Anchor Points'!$B$7),'Anchor Points'!$B$8+(A17-'Anchor Points'!$A$8)/('Anchor Points'!$A$9-'Anchor Points'!$A$8)*('Anchor Points'!$B$9-'Anchor Points'!$B$8)))))))</x:f>
        <x:v>9</x:v>
      </x:c>
      <x:c r="D17" s="28" t="n">
        <x:f>IF(A17&lt;=15,'Anchor Points'!$C$2+(A17-'Anchor Points'!$A$2)/('Anchor Points'!$A$3-'Anchor Points'!$A$2)*('Anchor Points'!$C$3-'Anchor Points'!$C$2),IF(A17&lt;=25,'Anchor Points'!$C$3+(A17-'Anchor Points'!$A$3)/('Anchor Points'!$A$4-'Anchor Points'!$A$3)*('Anchor Points'!$C$4-'Anchor Points'!$C$3),IF(A17&lt;=40,'Anchor Points'!$C$4+(A17-'Anchor Points'!$A$4)/('Anchor Points'!$A$5-'Anchor Points'!$A$4)*('Anchor Points'!$C$5-'Anchor Points'!$C$4),IF(A17&lt;=55,'Anchor Points'!$C$5+(A17-'Anchor Points'!$A$5)/('Anchor Points'!$A$6-'Anchor Points'!$A$5)*('Anchor Points'!$C$6-'Anchor Points'!$C$5),IF(A17&lt;=70,'Anchor Points'!$C$6+(A17-'Anchor Points'!$A$6)/('Anchor Points'!$A$7-'Anchor Points'!$A$6)*('Anchor Points'!$C$7-'Anchor Points'!$C$6),IF(A17&lt;=90,'Anchor Points'!$C$7+(A17-'Anchor Points'!$A$7)/('Anchor Points'!$A$8-'Anchor Points'!$A$7)*('Anchor Points'!$C$8-'Anchor Points'!$C$7),'Anchor Points'!$C$8+(A17-'Anchor Points'!$A$8)/('Anchor Points'!$A$9-'Anchor Points'!$A$8)*('Anchor Points'!$C$9-'Anchor Points'!$C$8)))))))</x:f>
        <x:v>5</x:v>
      </x:c>
      <x:c r="E17" s="28" t="n">
        <x:f>IF(A17&lt;=15,'Anchor Points'!$D$2+(A17-'Anchor Points'!$A$2)/('Anchor Points'!$A$3-'Anchor Points'!$A$2)*('Anchor Points'!$D$3-'Anchor Points'!$D$2),IF(A17&lt;=25,'Anchor Points'!$D$3+(A17-'Anchor Points'!$A$3)/('Anchor Points'!$A$4-'Anchor Points'!$A$3)*('Anchor Points'!$D$4-'Anchor Points'!$D$3),IF(A17&lt;=40,'Anchor Points'!$D$4+(A17-'Anchor Points'!$A$4)/('Anchor Points'!$A$5-'Anchor Points'!$A$4)*('Anchor Points'!$D$5-'Anchor Points'!$D$4),IF(A17&lt;=55,'Anchor Points'!$D$5+(A17-'Anchor Points'!$A$5)/('Anchor Points'!$A$6-'Anchor Points'!$A$5)*('Anchor Points'!$D$6-'Anchor Points'!$D$5),IF(A17&lt;=70,'Anchor Points'!$D$6+(A17-'Anchor Points'!$A$6)/('Anchor Points'!$A$7-'Anchor Points'!$A$6)*('Anchor Points'!$D$7-'Anchor Points'!$D$6),IF(A17&lt;=90,'Anchor Points'!$D$7+(A17-'Anchor Points'!$A$7)/('Anchor Points'!$A$8-'Anchor Points'!$A$7)*('Anchor Points'!$D$8-'Anchor Points'!$D$7),'Anchor Points'!$D$8+(A17-'Anchor Points'!$A$8)/('Anchor Points'!$A$9-'Anchor Points'!$A$8)*('Anchor Points'!$D$9-'Anchor Points'!$D$8)))))))</x:f>
        <x:v>0</x:v>
      </x:c>
      <x:c r="F17" s="30" t="n">
        <x:f>ROUND(E17,0)</x:f>
        <x:v>0</x:v>
      </x:c>
      <x:c r="G17" s="28" t="n">
        <x:f>IF(A17&lt;=15,'Anchor Points'!$E$2+(A17-'Anchor Points'!$A$2)/('Anchor Points'!$A$3-'Anchor Points'!$A$2)*('Anchor Points'!$E$3-'Anchor Points'!$E$2),IF(A17&lt;=25,'Anchor Points'!$E$3+(A17-'Anchor Points'!$A$3)/('Anchor Points'!$A$4-'Anchor Points'!$A$3)*('Anchor Points'!$E$4-'Anchor Points'!$E$3),IF(A17&lt;=40,'Anchor Points'!$E$4+(A17-'Anchor Points'!$A$4)/('Anchor Points'!$A$5-'Anchor Points'!$A$4)*('Anchor Points'!$E$5-'Anchor Points'!$E$4),IF(A17&lt;=55,'Anchor Points'!$E$5+(A17-'Anchor Points'!$A$5)/('Anchor Points'!$A$6-'Anchor Points'!$A$5)*('Anchor Points'!$E$6-'Anchor Points'!$E$5),IF(A17&lt;=70,'Anchor Points'!$E$6+(A17-'Anchor Points'!$A$6)/('Anchor Points'!$A$7-'Anchor Points'!$A$6)*('Anchor Points'!$E$7-'Anchor Points'!$E$6),IF(A17&lt;=90,'Anchor Points'!$E$7+(A17-'Anchor Points'!$A$7)/('Anchor Points'!$A$8-'Anchor Points'!$A$7)*('Anchor Points'!$E$8-'Anchor Points'!$E$7),'Anchor Points'!$E$8+(A17-'Anchor Points'!$A$8)/('Anchor Points'!$A$9-'Anchor Points'!$A$8)*('Anchor Points'!$E$9-'Anchor Points'!$E$8)))))))</x:f>
        <x:v>0</x:v>
      </x:c>
      <x:c r="H17" s="30" t="n">
        <x:f>ROUND(G17,0)</x:f>
        <x:v>0</x:v>
      </x:c>
      <x:c r="I17" s="28" t="n">
        <x:f>IF(A17&lt;=15,'Anchor Points'!$F$2+(A17-'Anchor Points'!$A$2)/('Anchor Points'!$A$3-'Anchor Points'!$A$2)*('Anchor Points'!$F$3-'Anchor Points'!$F$2),IF(A17&lt;=25,'Anchor Points'!$F$3+(A17-'Anchor Points'!$A$3)/('Anchor Points'!$A$4-'Anchor Points'!$A$3)*('Anchor Points'!$F$4-'Anchor Points'!$F$3),IF(A17&lt;=40,'Anchor Points'!$F$4+(A17-'Anchor Points'!$A$4)/('Anchor Points'!$A$5-'Anchor Points'!$A$4)*('Anchor Points'!$F$5-'Anchor Points'!$F$4),IF(A17&lt;=55,'Anchor Points'!$F$5+(A17-'Anchor Points'!$A$5)/('Anchor Points'!$A$6-'Anchor Points'!$A$5)*('Anchor Points'!$F$6-'Anchor Points'!$F$5),IF(A17&lt;=70,'Anchor Points'!$F$6+(A17-'Anchor Points'!$A$6)/('Anchor Points'!$A$7-'Anchor Points'!$A$6)*('Anchor Points'!$F$7-'Anchor Points'!$F$6),IF(A17&lt;=90,'Anchor Points'!$F$7+(A17-'Anchor Points'!$A$7)/('Anchor Points'!$A$8-'Anchor Points'!$A$7)*('Anchor Points'!$F$8-'Anchor Points'!$F$7),'Anchor Points'!$F$8+(A17-'Anchor Points'!$A$8)/('Anchor Points'!$A$9-'Anchor Points'!$A$8)*('Anchor Points'!$F$9-'Anchor Points'!$F$8)))))))</x:f>
        <x:v>0</x:v>
      </x:c>
    </x:row>
    <x:row r="18">
      <x:c r="A18" s="30" t="n">
        <x:v>16</x:v>
      </x:c>
      <x:c r="B18" s="11" t="str">
        <x:f>IF(A18&lt;=15,"Seedling",IF(A18&lt;=25,"Establishment",IF(A18&lt;=40,"Vegetative Growth",IF(A18&lt;=55,"Flowering &amp; Initial Fruit Set",IF(A18&lt;=80,"Fruit Enlargement",IF(A18&lt;=95,"Ripening","Harvesting"))))))</x:f>
        <x:v>Establishment</x:v>
      </x:c>
      <x:c r="C18" s="28" t="n">
        <x:f>IF(A18&lt;=15,'Anchor Points'!$B$2+(A18-'Anchor Points'!$A$2)/('Anchor Points'!$A$3-'Anchor Points'!$A$2)*('Anchor Points'!$B$3-'Anchor Points'!$B$2),IF(A18&lt;=25,'Anchor Points'!$B$3+(A18-'Anchor Points'!$A$3)/('Anchor Points'!$A$4-'Anchor Points'!$A$3)*('Anchor Points'!$B$4-'Anchor Points'!$B$3),IF(A18&lt;=40,'Anchor Points'!$B$4+(A18-'Anchor Points'!$A$4)/('Anchor Points'!$A$5-'Anchor Points'!$A$4)*('Anchor Points'!$B$5-'Anchor Points'!$B$4),IF(A18&lt;=55,'Anchor Points'!$B$5+(A18-'Anchor Points'!$A$5)/('Anchor Points'!$A$6-'Anchor Points'!$A$5)*('Anchor Points'!$B$6-'Anchor Points'!$B$5),IF(A18&lt;=70,'Anchor Points'!$B$6+(A18-'Anchor Points'!$A$6)/('Anchor Points'!$A$7-'Anchor Points'!$A$6)*('Anchor Points'!$B$7-'Anchor Points'!$B$6),IF(A18&lt;=90,'Anchor Points'!$B$7+(A18-'Anchor Points'!$A$7)/('Anchor Points'!$A$8-'Anchor Points'!$A$7)*('Anchor Points'!$B$8-'Anchor Points'!$B$7),'Anchor Points'!$B$8+(A18-'Anchor Points'!$A$8)/('Anchor Points'!$A$9-'Anchor Points'!$A$8)*('Anchor Points'!$B$9-'Anchor Points'!$B$8)))))))</x:f>
        <x:v>10.1</x:v>
      </x:c>
      <x:c r="D18" s="28" t="n">
        <x:f>IF(A18&lt;=15,'Anchor Points'!$C$2+(A18-'Anchor Points'!$A$2)/('Anchor Points'!$A$3-'Anchor Points'!$A$2)*('Anchor Points'!$C$3-'Anchor Points'!$C$2),IF(A18&lt;=25,'Anchor Points'!$C$3+(A18-'Anchor Points'!$A$3)/('Anchor Points'!$A$4-'Anchor Points'!$A$3)*('Anchor Points'!$C$4-'Anchor Points'!$C$3),IF(A18&lt;=40,'Anchor Points'!$C$4+(A18-'Anchor Points'!$A$4)/('Anchor Points'!$A$5-'Anchor Points'!$A$4)*('Anchor Points'!$C$5-'Anchor Points'!$C$4),IF(A18&lt;=55,'Anchor Points'!$C$5+(A18-'Anchor Points'!$A$5)/('Anchor Points'!$A$6-'Anchor Points'!$A$5)*('Anchor Points'!$C$6-'Anchor Points'!$C$5),IF(A18&lt;=70,'Anchor Points'!$C$6+(A18-'Anchor Points'!$A$6)/('Anchor Points'!$A$7-'Anchor Points'!$A$6)*('Anchor Points'!$C$7-'Anchor Points'!$C$6),IF(A18&lt;=90,'Anchor Points'!$C$7+(A18-'Anchor Points'!$A$7)/('Anchor Points'!$A$8-'Anchor Points'!$A$7)*('Anchor Points'!$C$8-'Anchor Points'!$C$7),'Anchor Points'!$C$8+(A18-'Anchor Points'!$A$8)/('Anchor Points'!$A$9-'Anchor Points'!$A$8)*('Anchor Points'!$C$9-'Anchor Points'!$C$8)))))))</x:f>
        <x:v>5.5</x:v>
      </x:c>
      <x:c r="E18" s="28" t="n">
        <x:f>IF(A18&lt;=15,'Anchor Points'!$D$2+(A18-'Anchor Points'!$A$2)/('Anchor Points'!$A$3-'Anchor Points'!$A$2)*('Anchor Points'!$D$3-'Anchor Points'!$D$2),IF(A18&lt;=25,'Anchor Points'!$D$3+(A18-'Anchor Points'!$A$3)/('Anchor Points'!$A$4-'Anchor Points'!$A$3)*('Anchor Points'!$D$4-'Anchor Points'!$D$3),IF(A18&lt;=40,'Anchor Points'!$D$4+(A18-'Anchor Points'!$A$4)/('Anchor Points'!$A$5-'Anchor Points'!$A$4)*('Anchor Points'!$D$5-'Anchor Points'!$D$4),IF(A18&lt;=55,'Anchor Points'!$D$5+(A18-'Anchor Points'!$A$5)/('Anchor Points'!$A$6-'Anchor Points'!$A$5)*('Anchor Points'!$D$6-'Anchor Points'!$D$5),IF(A18&lt;=70,'Anchor Points'!$D$6+(A18-'Anchor Points'!$A$6)/('Anchor Points'!$A$7-'Anchor Points'!$A$6)*('Anchor Points'!$D$7-'Anchor Points'!$D$6),IF(A18&lt;=90,'Anchor Points'!$D$7+(A18-'Anchor Points'!$A$7)/('Anchor Points'!$A$8-'Anchor Points'!$A$7)*('Anchor Points'!$D$8-'Anchor Points'!$D$7),'Anchor Points'!$D$8+(A18-'Anchor Points'!$A$8)/('Anchor Points'!$A$9-'Anchor Points'!$A$8)*('Anchor Points'!$D$9-'Anchor Points'!$D$8)))))))</x:f>
        <x:v>0</x:v>
      </x:c>
      <x:c r="F18" s="30" t="n">
        <x:f>ROUND(E18,0)</x:f>
        <x:v>0</x:v>
      </x:c>
      <x:c r="G18" s="28" t="n">
        <x:f>IF(A18&lt;=15,'Anchor Points'!$E$2+(A18-'Anchor Points'!$A$2)/('Anchor Points'!$A$3-'Anchor Points'!$A$2)*('Anchor Points'!$E$3-'Anchor Points'!$E$2),IF(A18&lt;=25,'Anchor Points'!$E$3+(A18-'Anchor Points'!$A$3)/('Anchor Points'!$A$4-'Anchor Points'!$A$3)*('Anchor Points'!$E$4-'Anchor Points'!$E$3),IF(A18&lt;=40,'Anchor Points'!$E$4+(A18-'Anchor Points'!$A$4)/('Anchor Points'!$A$5-'Anchor Points'!$A$4)*('Anchor Points'!$E$5-'Anchor Points'!$E$4),IF(A18&lt;=55,'Anchor Points'!$E$5+(A18-'Anchor Points'!$A$5)/('Anchor Points'!$A$6-'Anchor Points'!$A$5)*('Anchor Points'!$E$6-'Anchor Points'!$E$5),IF(A18&lt;=70,'Anchor Points'!$E$6+(A18-'Anchor Points'!$A$6)/('Anchor Points'!$A$7-'Anchor Points'!$A$6)*('Anchor Points'!$E$7-'Anchor Points'!$E$6),IF(A18&lt;=90,'Anchor Points'!$E$7+(A18-'Anchor Points'!$A$7)/('Anchor Points'!$A$8-'Anchor Points'!$A$7)*('Anchor Points'!$E$8-'Anchor Points'!$E$7),'Anchor Points'!$E$8+(A18-'Anchor Points'!$A$8)/('Anchor Points'!$A$9-'Anchor Points'!$A$8)*('Anchor Points'!$E$9-'Anchor Points'!$E$8)))))))</x:f>
        <x:v>0</x:v>
      </x:c>
      <x:c r="H18" s="30" t="n">
        <x:f>ROUND(G18,0)</x:f>
        <x:v>0</x:v>
      </x:c>
      <x:c r="I18" s="28" t="n">
        <x:f>IF(A18&lt;=15,'Anchor Points'!$F$2+(A18-'Anchor Points'!$A$2)/('Anchor Points'!$A$3-'Anchor Points'!$A$2)*('Anchor Points'!$F$3-'Anchor Points'!$F$2),IF(A18&lt;=25,'Anchor Points'!$F$3+(A18-'Anchor Points'!$A$3)/('Anchor Points'!$A$4-'Anchor Points'!$A$3)*('Anchor Points'!$F$4-'Anchor Points'!$F$3),IF(A18&lt;=40,'Anchor Points'!$F$4+(A18-'Anchor Points'!$A$4)/('Anchor Points'!$A$5-'Anchor Points'!$A$4)*('Anchor Points'!$F$5-'Anchor Points'!$F$4),IF(A18&lt;=55,'Anchor Points'!$F$5+(A18-'Anchor Points'!$A$5)/('Anchor Points'!$A$6-'Anchor Points'!$A$5)*('Anchor Points'!$F$6-'Anchor Points'!$F$5),IF(A18&lt;=70,'Anchor Points'!$F$6+(A18-'Anchor Points'!$A$6)/('Anchor Points'!$A$7-'Anchor Points'!$A$6)*('Anchor Points'!$F$7-'Anchor Points'!$F$6),IF(A18&lt;=90,'Anchor Points'!$F$7+(A18-'Anchor Points'!$A$7)/('Anchor Points'!$A$8-'Anchor Points'!$A$7)*('Anchor Points'!$F$8-'Anchor Points'!$F$7),'Anchor Points'!$F$8+(A18-'Anchor Points'!$A$8)/('Anchor Points'!$A$9-'Anchor Points'!$A$8)*('Anchor Points'!$F$9-'Anchor Points'!$F$8)))))))</x:f>
        <x:v>0</x:v>
      </x:c>
    </x:row>
    <x:row r="19">
      <x:c r="A19" s="30" t="n">
        <x:v>17</x:v>
      </x:c>
      <x:c r="B19" s="11" t="str">
        <x:f>IF(A19&lt;=15,"Seedling",IF(A19&lt;=25,"Establishment",IF(A19&lt;=40,"Vegetative Growth",IF(A19&lt;=55,"Flowering &amp; Initial Fruit Set",IF(A19&lt;=80,"Fruit Enlargement",IF(A19&lt;=95,"Ripening","Harvesting"))))))</x:f>
        <x:v>Establishment</x:v>
      </x:c>
      <x:c r="C19" s="28" t="n">
        <x:f>IF(A19&lt;=15,'Anchor Points'!$B$2+(A19-'Anchor Points'!$A$2)/('Anchor Points'!$A$3-'Anchor Points'!$A$2)*('Anchor Points'!$B$3-'Anchor Points'!$B$2),IF(A19&lt;=25,'Anchor Points'!$B$3+(A19-'Anchor Points'!$A$3)/('Anchor Points'!$A$4-'Anchor Points'!$A$3)*('Anchor Points'!$B$4-'Anchor Points'!$B$3),IF(A19&lt;=40,'Anchor Points'!$B$4+(A19-'Anchor Points'!$A$4)/('Anchor Points'!$A$5-'Anchor Points'!$A$4)*('Anchor Points'!$B$5-'Anchor Points'!$B$4),IF(A19&lt;=55,'Anchor Points'!$B$5+(A19-'Anchor Points'!$A$5)/('Anchor Points'!$A$6-'Anchor Points'!$A$5)*('Anchor Points'!$B$6-'Anchor Points'!$B$5),IF(A19&lt;=70,'Anchor Points'!$B$6+(A19-'Anchor Points'!$A$6)/('Anchor Points'!$A$7-'Anchor Points'!$A$6)*('Anchor Points'!$B$7-'Anchor Points'!$B$6),IF(A19&lt;=90,'Anchor Points'!$B$7+(A19-'Anchor Points'!$A$7)/('Anchor Points'!$A$8-'Anchor Points'!$A$7)*('Anchor Points'!$B$8-'Anchor Points'!$B$7),'Anchor Points'!$B$8+(A19-'Anchor Points'!$A$8)/('Anchor Points'!$A$9-'Anchor Points'!$A$8)*('Anchor Points'!$B$9-'Anchor Points'!$B$8)))))))</x:f>
        <x:v>11.2</x:v>
      </x:c>
      <x:c r="D19" s="28" t="n">
        <x:f>IF(A19&lt;=15,'Anchor Points'!$C$2+(A19-'Anchor Points'!$A$2)/('Anchor Points'!$A$3-'Anchor Points'!$A$2)*('Anchor Points'!$C$3-'Anchor Points'!$C$2),IF(A19&lt;=25,'Anchor Points'!$C$3+(A19-'Anchor Points'!$A$3)/('Anchor Points'!$A$4-'Anchor Points'!$A$3)*('Anchor Points'!$C$4-'Anchor Points'!$C$3),IF(A19&lt;=40,'Anchor Points'!$C$4+(A19-'Anchor Points'!$A$4)/('Anchor Points'!$A$5-'Anchor Points'!$A$4)*('Anchor Points'!$C$5-'Anchor Points'!$C$4),IF(A19&lt;=55,'Anchor Points'!$C$5+(A19-'Anchor Points'!$A$5)/('Anchor Points'!$A$6-'Anchor Points'!$A$5)*('Anchor Points'!$C$6-'Anchor Points'!$C$5),IF(A19&lt;=70,'Anchor Points'!$C$6+(A19-'Anchor Points'!$A$6)/('Anchor Points'!$A$7-'Anchor Points'!$A$6)*('Anchor Points'!$C$7-'Anchor Points'!$C$6),IF(A19&lt;=90,'Anchor Points'!$C$7+(A19-'Anchor Points'!$A$7)/('Anchor Points'!$A$8-'Anchor Points'!$A$7)*('Anchor Points'!$C$8-'Anchor Points'!$C$7),'Anchor Points'!$C$8+(A19-'Anchor Points'!$A$8)/('Anchor Points'!$A$9-'Anchor Points'!$A$8)*('Anchor Points'!$C$9-'Anchor Points'!$C$8)))))))</x:f>
        <x:v>6</x:v>
      </x:c>
      <x:c r="E19" s="28" t="n">
        <x:f>IF(A19&lt;=15,'Anchor Points'!$D$2+(A19-'Anchor Points'!$A$2)/('Anchor Points'!$A$3-'Anchor Points'!$A$2)*('Anchor Points'!$D$3-'Anchor Points'!$D$2),IF(A19&lt;=25,'Anchor Points'!$D$3+(A19-'Anchor Points'!$A$3)/('Anchor Points'!$A$4-'Anchor Points'!$A$3)*('Anchor Points'!$D$4-'Anchor Points'!$D$3),IF(A19&lt;=40,'Anchor Points'!$D$4+(A19-'Anchor Points'!$A$4)/('Anchor Points'!$A$5-'Anchor Points'!$A$4)*('Anchor Points'!$D$5-'Anchor Points'!$D$4),IF(A19&lt;=55,'Anchor Points'!$D$5+(A19-'Anchor Points'!$A$5)/('Anchor Points'!$A$6-'Anchor Points'!$A$5)*('Anchor Points'!$D$6-'Anchor Points'!$D$5),IF(A19&lt;=70,'Anchor Points'!$D$6+(A19-'Anchor Points'!$A$6)/('Anchor Points'!$A$7-'Anchor Points'!$A$6)*('Anchor Points'!$D$7-'Anchor Points'!$D$6),IF(A19&lt;=90,'Anchor Points'!$D$7+(A19-'Anchor Points'!$A$7)/('Anchor Points'!$A$8-'Anchor Points'!$A$7)*('Anchor Points'!$D$8-'Anchor Points'!$D$7),'Anchor Points'!$D$8+(A19-'Anchor Points'!$A$8)/('Anchor Points'!$A$9-'Anchor Points'!$A$8)*('Anchor Points'!$D$9-'Anchor Points'!$D$8)))))))</x:f>
        <x:v>0</x:v>
      </x:c>
      <x:c r="F19" s="30" t="n">
        <x:f>ROUND(E19,0)</x:f>
        <x:v>0</x:v>
      </x:c>
      <x:c r="G19" s="28" t="n">
        <x:f>IF(A19&lt;=15,'Anchor Points'!$E$2+(A19-'Anchor Points'!$A$2)/('Anchor Points'!$A$3-'Anchor Points'!$A$2)*('Anchor Points'!$E$3-'Anchor Points'!$E$2),IF(A19&lt;=25,'Anchor Points'!$E$3+(A19-'Anchor Points'!$A$3)/('Anchor Points'!$A$4-'Anchor Points'!$A$3)*('Anchor Points'!$E$4-'Anchor Points'!$E$3),IF(A19&lt;=40,'Anchor Points'!$E$4+(A19-'Anchor Points'!$A$4)/('Anchor Points'!$A$5-'Anchor Points'!$A$4)*('Anchor Points'!$E$5-'Anchor Points'!$E$4),IF(A19&lt;=55,'Anchor Points'!$E$5+(A19-'Anchor Points'!$A$5)/('Anchor Points'!$A$6-'Anchor Points'!$A$5)*('Anchor Points'!$E$6-'Anchor Points'!$E$5),IF(A19&lt;=70,'Anchor Points'!$E$6+(A19-'Anchor Points'!$A$6)/('Anchor Points'!$A$7-'Anchor Points'!$A$6)*('Anchor Points'!$E$7-'Anchor Points'!$E$6),IF(A19&lt;=90,'Anchor Points'!$E$7+(A19-'Anchor Points'!$A$7)/('Anchor Points'!$A$8-'Anchor Points'!$A$7)*('Anchor Points'!$E$8-'Anchor Points'!$E$7),'Anchor Points'!$E$8+(A19-'Anchor Points'!$A$8)/('Anchor Points'!$A$9-'Anchor Points'!$A$8)*('Anchor Points'!$E$9-'Anchor Points'!$E$8)))))))</x:f>
        <x:v>0</x:v>
      </x:c>
      <x:c r="H19" s="30" t="n">
        <x:f>ROUND(G19,0)</x:f>
        <x:v>0</x:v>
      </x:c>
      <x:c r="I19" s="28" t="n">
        <x:f>IF(A19&lt;=15,'Anchor Points'!$F$2+(A19-'Anchor Points'!$A$2)/('Anchor Points'!$A$3-'Anchor Points'!$A$2)*('Anchor Points'!$F$3-'Anchor Points'!$F$2),IF(A19&lt;=25,'Anchor Points'!$F$3+(A19-'Anchor Points'!$A$3)/('Anchor Points'!$A$4-'Anchor Points'!$A$3)*('Anchor Points'!$F$4-'Anchor Points'!$F$3),IF(A19&lt;=40,'Anchor Points'!$F$4+(A19-'Anchor Points'!$A$4)/('Anchor Points'!$A$5-'Anchor Points'!$A$4)*('Anchor Points'!$F$5-'Anchor Points'!$F$4),IF(A19&lt;=55,'Anchor Points'!$F$5+(A19-'Anchor Points'!$A$5)/('Anchor Points'!$A$6-'Anchor Points'!$A$5)*('Anchor Points'!$F$6-'Anchor Points'!$F$5),IF(A19&lt;=70,'Anchor Points'!$F$6+(A19-'Anchor Points'!$A$6)/('Anchor Points'!$A$7-'Anchor Points'!$A$6)*('Anchor Points'!$F$7-'Anchor Points'!$F$6),IF(A19&lt;=90,'Anchor Points'!$F$7+(A19-'Anchor Points'!$A$7)/('Anchor Points'!$A$8-'Anchor Points'!$A$7)*('Anchor Points'!$F$8-'Anchor Points'!$F$7),'Anchor Points'!$F$8+(A19-'Anchor Points'!$A$8)/('Anchor Points'!$A$9-'Anchor Points'!$A$8)*('Anchor Points'!$F$9-'Anchor Points'!$F$8)))))))</x:f>
        <x:v>0</x:v>
      </x:c>
    </x:row>
    <x:row r="20">
      <x:c r="A20" s="30" t="n">
        <x:v>18</x:v>
      </x:c>
      <x:c r="B20" s="11" t="str">
        <x:f>IF(A20&lt;=15,"Seedling",IF(A20&lt;=25,"Establishment",IF(A20&lt;=40,"Vegetative Growth",IF(A20&lt;=55,"Flowering &amp; Initial Fruit Set",IF(A20&lt;=80,"Fruit Enlargement",IF(A20&lt;=95,"Ripening","Harvesting"))))))</x:f>
        <x:v>Establishment</x:v>
      </x:c>
      <x:c r="C20" s="28" t="n">
        <x:f>IF(A20&lt;=15,'Anchor Points'!$B$2+(A20-'Anchor Points'!$A$2)/('Anchor Points'!$A$3-'Anchor Points'!$A$2)*('Anchor Points'!$B$3-'Anchor Points'!$B$2),IF(A20&lt;=25,'Anchor Points'!$B$3+(A20-'Anchor Points'!$A$3)/('Anchor Points'!$A$4-'Anchor Points'!$A$3)*('Anchor Points'!$B$4-'Anchor Points'!$B$3),IF(A20&lt;=40,'Anchor Points'!$B$4+(A20-'Anchor Points'!$A$4)/('Anchor Points'!$A$5-'Anchor Points'!$A$4)*('Anchor Points'!$B$5-'Anchor Points'!$B$4),IF(A20&lt;=55,'Anchor Points'!$B$5+(A20-'Anchor Points'!$A$5)/('Anchor Points'!$A$6-'Anchor Points'!$A$5)*('Anchor Points'!$B$6-'Anchor Points'!$B$5),IF(A20&lt;=70,'Anchor Points'!$B$6+(A20-'Anchor Points'!$A$6)/('Anchor Points'!$A$7-'Anchor Points'!$A$6)*('Anchor Points'!$B$7-'Anchor Points'!$B$6),IF(A20&lt;=90,'Anchor Points'!$B$7+(A20-'Anchor Points'!$A$7)/('Anchor Points'!$A$8-'Anchor Points'!$A$7)*('Anchor Points'!$B$8-'Anchor Points'!$B$7),'Anchor Points'!$B$8+(A20-'Anchor Points'!$A$8)/('Anchor Points'!$A$9-'Anchor Points'!$A$8)*('Anchor Points'!$B$9-'Anchor Points'!$B$8)))))))</x:f>
        <x:v>12.3</x:v>
      </x:c>
      <x:c r="D20" s="28" t="n">
        <x:f>IF(A20&lt;=15,'Anchor Points'!$C$2+(A20-'Anchor Points'!$A$2)/('Anchor Points'!$A$3-'Anchor Points'!$A$2)*('Anchor Points'!$C$3-'Anchor Points'!$C$2),IF(A20&lt;=25,'Anchor Points'!$C$3+(A20-'Anchor Points'!$A$3)/('Anchor Points'!$A$4-'Anchor Points'!$A$3)*('Anchor Points'!$C$4-'Anchor Points'!$C$3),IF(A20&lt;=40,'Anchor Points'!$C$4+(A20-'Anchor Points'!$A$4)/('Anchor Points'!$A$5-'Anchor Points'!$A$4)*('Anchor Points'!$C$5-'Anchor Points'!$C$4),IF(A20&lt;=55,'Anchor Points'!$C$5+(A20-'Anchor Points'!$A$5)/('Anchor Points'!$A$6-'Anchor Points'!$A$5)*('Anchor Points'!$C$6-'Anchor Points'!$C$5),IF(A20&lt;=70,'Anchor Points'!$C$6+(A20-'Anchor Points'!$A$6)/('Anchor Points'!$A$7-'Anchor Points'!$A$6)*('Anchor Points'!$C$7-'Anchor Points'!$C$6),IF(A20&lt;=90,'Anchor Points'!$C$7+(A20-'Anchor Points'!$A$7)/('Anchor Points'!$A$8-'Anchor Points'!$A$7)*('Anchor Points'!$C$8-'Anchor Points'!$C$7),'Anchor Points'!$C$8+(A20-'Anchor Points'!$A$8)/('Anchor Points'!$A$9-'Anchor Points'!$A$8)*('Anchor Points'!$C$9-'Anchor Points'!$C$8)))))))</x:f>
        <x:v>6.5</x:v>
      </x:c>
      <x:c r="E20" s="28" t="n">
        <x:f>IF(A20&lt;=15,'Anchor Points'!$D$2+(A20-'Anchor Points'!$A$2)/('Anchor Points'!$A$3-'Anchor Points'!$A$2)*('Anchor Points'!$D$3-'Anchor Points'!$D$2),IF(A20&lt;=25,'Anchor Points'!$D$3+(A20-'Anchor Points'!$A$3)/('Anchor Points'!$A$4-'Anchor Points'!$A$3)*('Anchor Points'!$D$4-'Anchor Points'!$D$3),IF(A20&lt;=40,'Anchor Points'!$D$4+(A20-'Anchor Points'!$A$4)/('Anchor Points'!$A$5-'Anchor Points'!$A$4)*('Anchor Points'!$D$5-'Anchor Points'!$D$4),IF(A20&lt;=55,'Anchor Points'!$D$5+(A20-'Anchor Points'!$A$5)/('Anchor Points'!$A$6-'Anchor Points'!$A$5)*('Anchor Points'!$D$6-'Anchor Points'!$D$5),IF(A20&lt;=70,'Anchor Points'!$D$6+(A20-'Anchor Points'!$A$6)/('Anchor Points'!$A$7-'Anchor Points'!$A$6)*('Anchor Points'!$D$7-'Anchor Points'!$D$6),IF(A20&lt;=90,'Anchor Points'!$D$7+(A20-'Anchor Points'!$A$7)/('Anchor Points'!$A$8-'Anchor Points'!$A$7)*('Anchor Points'!$D$8-'Anchor Points'!$D$7),'Anchor Points'!$D$8+(A20-'Anchor Points'!$A$8)/('Anchor Points'!$A$9-'Anchor Points'!$A$8)*('Anchor Points'!$D$9-'Anchor Points'!$D$8)))))))</x:f>
        <x:v>0</x:v>
      </x:c>
      <x:c r="F20" s="30" t="n">
        <x:f>ROUND(E20,0)</x:f>
        <x:v>0</x:v>
      </x:c>
      <x:c r="G20" s="28" t="n">
        <x:f>IF(A20&lt;=15,'Anchor Points'!$E$2+(A20-'Anchor Points'!$A$2)/('Anchor Points'!$A$3-'Anchor Points'!$A$2)*('Anchor Points'!$E$3-'Anchor Points'!$E$2),IF(A20&lt;=25,'Anchor Points'!$E$3+(A20-'Anchor Points'!$A$3)/('Anchor Points'!$A$4-'Anchor Points'!$A$3)*('Anchor Points'!$E$4-'Anchor Points'!$E$3),IF(A20&lt;=40,'Anchor Points'!$E$4+(A20-'Anchor Points'!$A$4)/('Anchor Points'!$A$5-'Anchor Points'!$A$4)*('Anchor Points'!$E$5-'Anchor Points'!$E$4),IF(A20&lt;=55,'Anchor Points'!$E$5+(A20-'Anchor Points'!$A$5)/('Anchor Points'!$A$6-'Anchor Points'!$A$5)*('Anchor Points'!$E$6-'Anchor Points'!$E$5),IF(A20&lt;=70,'Anchor Points'!$E$6+(A20-'Anchor Points'!$A$6)/('Anchor Points'!$A$7-'Anchor Points'!$A$6)*('Anchor Points'!$E$7-'Anchor Points'!$E$6),IF(A20&lt;=90,'Anchor Points'!$E$7+(A20-'Anchor Points'!$A$7)/('Anchor Points'!$A$8-'Anchor Points'!$A$7)*('Anchor Points'!$E$8-'Anchor Points'!$E$7),'Anchor Points'!$E$8+(A20-'Anchor Points'!$A$8)/('Anchor Points'!$A$9-'Anchor Points'!$A$8)*('Anchor Points'!$E$9-'Anchor Points'!$E$8)))))))</x:f>
        <x:v>0</x:v>
      </x:c>
      <x:c r="H20" s="30" t="n">
        <x:f>ROUND(G20,0)</x:f>
        <x:v>0</x:v>
      </x:c>
      <x:c r="I20" s="28" t="n">
        <x:f>IF(A20&lt;=15,'Anchor Points'!$F$2+(A20-'Anchor Points'!$A$2)/('Anchor Points'!$A$3-'Anchor Points'!$A$2)*('Anchor Points'!$F$3-'Anchor Points'!$F$2),IF(A20&lt;=25,'Anchor Points'!$F$3+(A20-'Anchor Points'!$A$3)/('Anchor Points'!$A$4-'Anchor Points'!$A$3)*('Anchor Points'!$F$4-'Anchor Points'!$F$3),IF(A20&lt;=40,'Anchor Points'!$F$4+(A20-'Anchor Points'!$A$4)/('Anchor Points'!$A$5-'Anchor Points'!$A$4)*('Anchor Points'!$F$5-'Anchor Points'!$F$4),IF(A20&lt;=55,'Anchor Points'!$F$5+(A20-'Anchor Points'!$A$5)/('Anchor Points'!$A$6-'Anchor Points'!$A$5)*('Anchor Points'!$F$6-'Anchor Points'!$F$5),IF(A20&lt;=70,'Anchor Points'!$F$6+(A20-'Anchor Points'!$A$6)/('Anchor Points'!$A$7-'Anchor Points'!$A$6)*('Anchor Points'!$F$7-'Anchor Points'!$F$6),IF(A20&lt;=90,'Anchor Points'!$F$7+(A20-'Anchor Points'!$A$7)/('Anchor Points'!$A$8-'Anchor Points'!$A$7)*('Anchor Points'!$F$8-'Anchor Points'!$F$7),'Anchor Points'!$F$8+(A20-'Anchor Points'!$A$8)/('Anchor Points'!$A$9-'Anchor Points'!$A$8)*('Anchor Points'!$F$9-'Anchor Points'!$F$8)))))))</x:f>
        <x:v>0</x:v>
      </x:c>
    </x:row>
    <x:row r="21">
      <x:c r="A21" s="30" t="n">
        <x:v>19</x:v>
      </x:c>
      <x:c r="B21" s="11" t="str">
        <x:f>IF(A21&lt;=15,"Seedling",IF(A21&lt;=25,"Establishment",IF(A21&lt;=40,"Vegetative Growth",IF(A21&lt;=55,"Flowering &amp; Initial Fruit Set",IF(A21&lt;=80,"Fruit Enlargement",IF(A21&lt;=95,"Ripening","Harvesting"))))))</x:f>
        <x:v>Establishment</x:v>
      </x:c>
      <x:c r="C21" s="28" t="n">
        <x:f>IF(A21&lt;=15,'Anchor Points'!$B$2+(A21-'Anchor Points'!$A$2)/('Anchor Points'!$A$3-'Anchor Points'!$A$2)*('Anchor Points'!$B$3-'Anchor Points'!$B$2),IF(A21&lt;=25,'Anchor Points'!$B$3+(A21-'Anchor Points'!$A$3)/('Anchor Points'!$A$4-'Anchor Points'!$A$3)*('Anchor Points'!$B$4-'Anchor Points'!$B$3),IF(A21&lt;=40,'Anchor Points'!$B$4+(A21-'Anchor Points'!$A$4)/('Anchor Points'!$A$5-'Anchor Points'!$A$4)*('Anchor Points'!$B$5-'Anchor Points'!$B$4),IF(A21&lt;=55,'Anchor Points'!$B$5+(A21-'Anchor Points'!$A$5)/('Anchor Points'!$A$6-'Anchor Points'!$A$5)*('Anchor Points'!$B$6-'Anchor Points'!$B$5),IF(A21&lt;=70,'Anchor Points'!$B$6+(A21-'Anchor Points'!$A$6)/('Anchor Points'!$A$7-'Anchor Points'!$A$6)*('Anchor Points'!$B$7-'Anchor Points'!$B$6),IF(A21&lt;=90,'Anchor Points'!$B$7+(A21-'Anchor Points'!$A$7)/('Anchor Points'!$A$8-'Anchor Points'!$A$7)*('Anchor Points'!$B$8-'Anchor Points'!$B$7),'Anchor Points'!$B$8+(A21-'Anchor Points'!$A$8)/('Anchor Points'!$A$9-'Anchor Points'!$A$8)*('Anchor Points'!$B$9-'Anchor Points'!$B$8)))))))</x:f>
        <x:v>13.4</x:v>
      </x:c>
      <x:c r="D21" s="28" t="n">
        <x:f>IF(A21&lt;=15,'Anchor Points'!$C$2+(A21-'Anchor Points'!$A$2)/('Anchor Points'!$A$3-'Anchor Points'!$A$2)*('Anchor Points'!$C$3-'Anchor Points'!$C$2),IF(A21&lt;=25,'Anchor Points'!$C$3+(A21-'Anchor Points'!$A$3)/('Anchor Points'!$A$4-'Anchor Points'!$A$3)*('Anchor Points'!$C$4-'Anchor Points'!$C$3),IF(A21&lt;=40,'Anchor Points'!$C$4+(A21-'Anchor Points'!$A$4)/('Anchor Points'!$A$5-'Anchor Points'!$A$4)*('Anchor Points'!$C$5-'Anchor Points'!$C$4),IF(A21&lt;=55,'Anchor Points'!$C$5+(A21-'Anchor Points'!$A$5)/('Anchor Points'!$A$6-'Anchor Points'!$A$5)*('Anchor Points'!$C$6-'Anchor Points'!$C$5),IF(A21&lt;=70,'Anchor Points'!$C$6+(A21-'Anchor Points'!$A$6)/('Anchor Points'!$A$7-'Anchor Points'!$A$6)*('Anchor Points'!$C$7-'Anchor Points'!$C$6),IF(A21&lt;=90,'Anchor Points'!$C$7+(A21-'Anchor Points'!$A$7)/('Anchor Points'!$A$8-'Anchor Points'!$A$7)*('Anchor Points'!$C$8-'Anchor Points'!$C$7),'Anchor Points'!$C$8+(A21-'Anchor Points'!$A$8)/('Anchor Points'!$A$9-'Anchor Points'!$A$8)*('Anchor Points'!$C$9-'Anchor Points'!$C$8)))))))</x:f>
        <x:v>7</x:v>
      </x:c>
      <x:c r="E21" s="28" t="n">
        <x:f>IF(A21&lt;=15,'Anchor Points'!$D$2+(A21-'Anchor Points'!$A$2)/('Anchor Points'!$A$3-'Anchor Points'!$A$2)*('Anchor Points'!$D$3-'Anchor Points'!$D$2),IF(A21&lt;=25,'Anchor Points'!$D$3+(A21-'Anchor Points'!$A$3)/('Anchor Points'!$A$4-'Anchor Points'!$A$3)*('Anchor Points'!$D$4-'Anchor Points'!$D$3),IF(A21&lt;=40,'Anchor Points'!$D$4+(A21-'Anchor Points'!$A$4)/('Anchor Points'!$A$5-'Anchor Points'!$A$4)*('Anchor Points'!$D$5-'Anchor Points'!$D$4),IF(A21&lt;=55,'Anchor Points'!$D$5+(A21-'Anchor Points'!$A$5)/('Anchor Points'!$A$6-'Anchor Points'!$A$5)*('Anchor Points'!$D$6-'Anchor Points'!$D$5),IF(A21&lt;=70,'Anchor Points'!$D$6+(A21-'Anchor Points'!$A$6)/('Anchor Points'!$A$7-'Anchor Points'!$A$6)*('Anchor Points'!$D$7-'Anchor Points'!$D$6),IF(A21&lt;=90,'Anchor Points'!$D$7+(A21-'Anchor Points'!$A$7)/('Anchor Points'!$A$8-'Anchor Points'!$A$7)*('Anchor Points'!$D$8-'Anchor Points'!$D$7),'Anchor Points'!$D$8+(A21-'Anchor Points'!$A$8)/('Anchor Points'!$A$9-'Anchor Points'!$A$8)*('Anchor Points'!$D$9-'Anchor Points'!$D$8)))))))</x:f>
        <x:v>0</x:v>
      </x:c>
      <x:c r="F21" s="30" t="n">
        <x:f>ROUND(E21,0)</x:f>
        <x:v>0</x:v>
      </x:c>
      <x:c r="G21" s="28" t="n">
        <x:f>IF(A21&lt;=15,'Anchor Points'!$E$2+(A21-'Anchor Points'!$A$2)/('Anchor Points'!$A$3-'Anchor Points'!$A$2)*('Anchor Points'!$E$3-'Anchor Points'!$E$2),IF(A21&lt;=25,'Anchor Points'!$E$3+(A21-'Anchor Points'!$A$3)/('Anchor Points'!$A$4-'Anchor Points'!$A$3)*('Anchor Points'!$E$4-'Anchor Points'!$E$3),IF(A21&lt;=40,'Anchor Points'!$E$4+(A21-'Anchor Points'!$A$4)/('Anchor Points'!$A$5-'Anchor Points'!$A$4)*('Anchor Points'!$E$5-'Anchor Points'!$E$4),IF(A21&lt;=55,'Anchor Points'!$E$5+(A21-'Anchor Points'!$A$5)/('Anchor Points'!$A$6-'Anchor Points'!$A$5)*('Anchor Points'!$E$6-'Anchor Points'!$E$5),IF(A21&lt;=70,'Anchor Points'!$E$6+(A21-'Anchor Points'!$A$6)/('Anchor Points'!$A$7-'Anchor Points'!$A$6)*('Anchor Points'!$E$7-'Anchor Points'!$E$6),IF(A21&lt;=90,'Anchor Points'!$E$7+(A21-'Anchor Points'!$A$7)/('Anchor Points'!$A$8-'Anchor Points'!$A$7)*('Anchor Points'!$E$8-'Anchor Points'!$E$7),'Anchor Points'!$E$8+(A21-'Anchor Points'!$A$8)/('Anchor Points'!$A$9-'Anchor Points'!$A$8)*('Anchor Points'!$E$9-'Anchor Points'!$E$8)))))))</x:f>
        <x:v>0</x:v>
      </x:c>
      <x:c r="H21" s="30" t="n">
        <x:f>ROUND(G21,0)</x:f>
        <x:v>0</x:v>
      </x:c>
      <x:c r="I21" s="28" t="n">
        <x:f>IF(A21&lt;=15,'Anchor Points'!$F$2+(A21-'Anchor Points'!$A$2)/('Anchor Points'!$A$3-'Anchor Points'!$A$2)*('Anchor Points'!$F$3-'Anchor Points'!$F$2),IF(A21&lt;=25,'Anchor Points'!$F$3+(A21-'Anchor Points'!$A$3)/('Anchor Points'!$A$4-'Anchor Points'!$A$3)*('Anchor Points'!$F$4-'Anchor Points'!$F$3),IF(A21&lt;=40,'Anchor Points'!$F$4+(A21-'Anchor Points'!$A$4)/('Anchor Points'!$A$5-'Anchor Points'!$A$4)*('Anchor Points'!$F$5-'Anchor Points'!$F$4),IF(A21&lt;=55,'Anchor Points'!$F$5+(A21-'Anchor Points'!$A$5)/('Anchor Points'!$A$6-'Anchor Points'!$A$5)*('Anchor Points'!$F$6-'Anchor Points'!$F$5),IF(A21&lt;=70,'Anchor Points'!$F$6+(A21-'Anchor Points'!$A$6)/('Anchor Points'!$A$7-'Anchor Points'!$A$6)*('Anchor Points'!$F$7-'Anchor Points'!$F$6),IF(A21&lt;=90,'Anchor Points'!$F$7+(A21-'Anchor Points'!$A$7)/('Anchor Points'!$A$8-'Anchor Points'!$A$7)*('Anchor Points'!$F$8-'Anchor Points'!$F$7),'Anchor Points'!$F$8+(A21-'Anchor Points'!$A$8)/('Anchor Points'!$A$9-'Anchor Points'!$A$8)*('Anchor Points'!$F$9-'Anchor Points'!$F$8)))))))</x:f>
        <x:v>0</x:v>
      </x:c>
    </x:row>
    <x:row r="22">
      <x:c r="A22" s="30" t="n">
        <x:v>20</x:v>
      </x:c>
      <x:c r="B22" s="11" t="str">
        <x:f>IF(A22&lt;=15,"Seedling",IF(A22&lt;=25,"Establishment",IF(A22&lt;=40,"Vegetative Growth",IF(A22&lt;=55,"Flowering &amp; Initial Fruit Set",IF(A22&lt;=80,"Fruit Enlargement",IF(A22&lt;=95,"Ripening","Harvesting"))))))</x:f>
        <x:v>Establishment</x:v>
      </x:c>
      <x:c r="C22" s="28" t="n">
        <x:f>IF(A22&lt;=15,'Anchor Points'!$B$2+(A22-'Anchor Points'!$A$2)/('Anchor Points'!$A$3-'Anchor Points'!$A$2)*('Anchor Points'!$B$3-'Anchor Points'!$B$2),IF(A22&lt;=25,'Anchor Points'!$B$3+(A22-'Anchor Points'!$A$3)/('Anchor Points'!$A$4-'Anchor Points'!$A$3)*('Anchor Points'!$B$4-'Anchor Points'!$B$3),IF(A22&lt;=40,'Anchor Points'!$B$4+(A22-'Anchor Points'!$A$4)/('Anchor Points'!$A$5-'Anchor Points'!$A$4)*('Anchor Points'!$B$5-'Anchor Points'!$B$4),IF(A22&lt;=55,'Anchor Points'!$B$5+(A22-'Anchor Points'!$A$5)/('Anchor Points'!$A$6-'Anchor Points'!$A$5)*('Anchor Points'!$B$6-'Anchor Points'!$B$5),IF(A22&lt;=70,'Anchor Points'!$B$6+(A22-'Anchor Points'!$A$6)/('Anchor Points'!$A$7-'Anchor Points'!$A$6)*('Anchor Points'!$B$7-'Anchor Points'!$B$6),IF(A22&lt;=90,'Anchor Points'!$B$7+(A22-'Anchor Points'!$A$7)/('Anchor Points'!$A$8-'Anchor Points'!$A$7)*('Anchor Points'!$B$8-'Anchor Points'!$B$7),'Anchor Points'!$B$8+(A22-'Anchor Points'!$A$8)/('Anchor Points'!$A$9-'Anchor Points'!$A$8)*('Anchor Points'!$B$9-'Anchor Points'!$B$8)))))))</x:f>
        <x:v>14.5</x:v>
      </x:c>
      <x:c r="D22" s="28" t="n">
        <x:f>IF(A22&lt;=15,'Anchor Points'!$C$2+(A22-'Anchor Points'!$A$2)/('Anchor Points'!$A$3-'Anchor Points'!$A$2)*('Anchor Points'!$C$3-'Anchor Points'!$C$2),IF(A22&lt;=25,'Anchor Points'!$C$3+(A22-'Anchor Points'!$A$3)/('Anchor Points'!$A$4-'Anchor Points'!$A$3)*('Anchor Points'!$C$4-'Anchor Points'!$C$3),IF(A22&lt;=40,'Anchor Points'!$C$4+(A22-'Anchor Points'!$A$4)/('Anchor Points'!$A$5-'Anchor Points'!$A$4)*('Anchor Points'!$C$5-'Anchor Points'!$C$4),IF(A22&lt;=55,'Anchor Points'!$C$5+(A22-'Anchor Points'!$A$5)/('Anchor Points'!$A$6-'Anchor Points'!$A$5)*('Anchor Points'!$C$6-'Anchor Points'!$C$5),IF(A22&lt;=70,'Anchor Points'!$C$6+(A22-'Anchor Points'!$A$6)/('Anchor Points'!$A$7-'Anchor Points'!$A$6)*('Anchor Points'!$C$7-'Anchor Points'!$C$6),IF(A22&lt;=90,'Anchor Points'!$C$7+(A22-'Anchor Points'!$A$7)/('Anchor Points'!$A$8-'Anchor Points'!$A$7)*('Anchor Points'!$C$8-'Anchor Points'!$C$7),'Anchor Points'!$C$8+(A22-'Anchor Points'!$A$8)/('Anchor Points'!$A$9-'Anchor Points'!$A$8)*('Anchor Points'!$C$9-'Anchor Points'!$C$8)))))))</x:f>
        <x:v>7.5</x:v>
      </x:c>
      <x:c r="E22" s="28" t="n">
        <x:f>IF(A22&lt;=15,'Anchor Points'!$D$2+(A22-'Anchor Points'!$A$2)/('Anchor Points'!$A$3-'Anchor Points'!$A$2)*('Anchor Points'!$D$3-'Anchor Points'!$D$2),IF(A22&lt;=25,'Anchor Points'!$D$3+(A22-'Anchor Points'!$A$3)/('Anchor Points'!$A$4-'Anchor Points'!$A$3)*('Anchor Points'!$D$4-'Anchor Points'!$D$3),IF(A22&lt;=40,'Anchor Points'!$D$4+(A22-'Anchor Points'!$A$4)/('Anchor Points'!$A$5-'Anchor Points'!$A$4)*('Anchor Points'!$D$5-'Anchor Points'!$D$4),IF(A22&lt;=55,'Anchor Points'!$D$5+(A22-'Anchor Points'!$A$5)/('Anchor Points'!$A$6-'Anchor Points'!$A$5)*('Anchor Points'!$D$6-'Anchor Points'!$D$5),IF(A22&lt;=70,'Anchor Points'!$D$6+(A22-'Anchor Points'!$A$6)/('Anchor Points'!$A$7-'Anchor Points'!$A$6)*('Anchor Points'!$D$7-'Anchor Points'!$D$6),IF(A22&lt;=90,'Anchor Points'!$D$7+(A22-'Anchor Points'!$A$7)/('Anchor Points'!$A$8-'Anchor Points'!$A$7)*('Anchor Points'!$D$8-'Anchor Points'!$D$7),'Anchor Points'!$D$8+(A22-'Anchor Points'!$A$8)/('Anchor Points'!$A$9-'Anchor Points'!$A$8)*('Anchor Points'!$D$9-'Anchor Points'!$D$8)))))))</x:f>
        <x:v>0</x:v>
      </x:c>
      <x:c r="F22" s="30" t="n">
        <x:f>ROUND(E22,0)</x:f>
        <x:v>0</x:v>
      </x:c>
      <x:c r="G22" s="28" t="n">
        <x:f>IF(A22&lt;=15,'Anchor Points'!$E$2+(A22-'Anchor Points'!$A$2)/('Anchor Points'!$A$3-'Anchor Points'!$A$2)*('Anchor Points'!$E$3-'Anchor Points'!$E$2),IF(A22&lt;=25,'Anchor Points'!$E$3+(A22-'Anchor Points'!$A$3)/('Anchor Points'!$A$4-'Anchor Points'!$A$3)*('Anchor Points'!$E$4-'Anchor Points'!$E$3),IF(A22&lt;=40,'Anchor Points'!$E$4+(A22-'Anchor Points'!$A$4)/('Anchor Points'!$A$5-'Anchor Points'!$A$4)*('Anchor Points'!$E$5-'Anchor Points'!$E$4),IF(A22&lt;=55,'Anchor Points'!$E$5+(A22-'Anchor Points'!$A$5)/('Anchor Points'!$A$6-'Anchor Points'!$A$5)*('Anchor Points'!$E$6-'Anchor Points'!$E$5),IF(A22&lt;=70,'Anchor Points'!$E$6+(A22-'Anchor Points'!$A$6)/('Anchor Points'!$A$7-'Anchor Points'!$A$6)*('Anchor Points'!$E$7-'Anchor Points'!$E$6),IF(A22&lt;=90,'Anchor Points'!$E$7+(A22-'Anchor Points'!$A$7)/('Anchor Points'!$A$8-'Anchor Points'!$A$7)*('Anchor Points'!$E$8-'Anchor Points'!$E$7),'Anchor Points'!$E$8+(A22-'Anchor Points'!$A$8)/('Anchor Points'!$A$9-'Anchor Points'!$A$8)*('Anchor Points'!$E$9-'Anchor Points'!$E$8)))))))</x:f>
        <x:v>0</x:v>
      </x:c>
      <x:c r="H22" s="30" t="n">
        <x:f>ROUND(G22,0)</x:f>
        <x:v>0</x:v>
      </x:c>
      <x:c r="I22" s="28" t="n">
        <x:f>IF(A22&lt;=15,'Anchor Points'!$F$2+(A22-'Anchor Points'!$A$2)/('Anchor Points'!$A$3-'Anchor Points'!$A$2)*('Anchor Points'!$F$3-'Anchor Points'!$F$2),IF(A22&lt;=25,'Anchor Points'!$F$3+(A22-'Anchor Points'!$A$3)/('Anchor Points'!$A$4-'Anchor Points'!$A$3)*('Anchor Points'!$F$4-'Anchor Points'!$F$3),IF(A22&lt;=40,'Anchor Points'!$F$4+(A22-'Anchor Points'!$A$4)/('Anchor Points'!$A$5-'Anchor Points'!$A$4)*('Anchor Points'!$F$5-'Anchor Points'!$F$4),IF(A22&lt;=55,'Anchor Points'!$F$5+(A22-'Anchor Points'!$A$5)/('Anchor Points'!$A$6-'Anchor Points'!$A$5)*('Anchor Points'!$F$6-'Anchor Points'!$F$5),IF(A22&lt;=70,'Anchor Points'!$F$6+(A22-'Anchor Points'!$A$6)/('Anchor Points'!$A$7-'Anchor Points'!$A$6)*('Anchor Points'!$F$7-'Anchor Points'!$F$6),IF(A22&lt;=90,'Anchor Points'!$F$7+(A22-'Anchor Points'!$A$7)/('Anchor Points'!$A$8-'Anchor Points'!$A$7)*('Anchor Points'!$F$8-'Anchor Points'!$F$7),'Anchor Points'!$F$8+(A22-'Anchor Points'!$A$8)/('Anchor Points'!$A$9-'Anchor Points'!$A$8)*('Anchor Points'!$F$9-'Anchor Points'!$F$8)))))))</x:f>
        <x:v>0</x:v>
      </x:c>
    </x:row>
    <x:row r="23">
      <x:c r="A23" s="30" t="n">
        <x:v>21</x:v>
      </x:c>
      <x:c r="B23" s="11" t="str">
        <x:f>IF(A23&lt;=15,"Seedling",IF(A23&lt;=25,"Establishment",IF(A23&lt;=40,"Vegetative Growth",IF(A23&lt;=55,"Flowering &amp; Initial Fruit Set",IF(A23&lt;=80,"Fruit Enlargement",IF(A23&lt;=95,"Ripening","Harvesting"))))))</x:f>
        <x:v>Establishment</x:v>
      </x:c>
      <x:c r="C23" s="28" t="n">
        <x:f>IF(A23&lt;=15,'Anchor Points'!$B$2+(A23-'Anchor Points'!$A$2)/('Anchor Points'!$A$3-'Anchor Points'!$A$2)*('Anchor Points'!$B$3-'Anchor Points'!$B$2),IF(A23&lt;=25,'Anchor Points'!$B$3+(A23-'Anchor Points'!$A$3)/('Anchor Points'!$A$4-'Anchor Points'!$A$3)*('Anchor Points'!$B$4-'Anchor Points'!$B$3),IF(A23&lt;=40,'Anchor Points'!$B$4+(A23-'Anchor Points'!$A$4)/('Anchor Points'!$A$5-'Anchor Points'!$A$4)*('Anchor Points'!$B$5-'Anchor Points'!$B$4),IF(A23&lt;=55,'Anchor Points'!$B$5+(A23-'Anchor Points'!$A$5)/('Anchor Points'!$A$6-'Anchor Points'!$A$5)*('Anchor Points'!$B$6-'Anchor Points'!$B$5),IF(A23&lt;=70,'Anchor Points'!$B$6+(A23-'Anchor Points'!$A$6)/('Anchor Points'!$A$7-'Anchor Points'!$A$6)*('Anchor Points'!$B$7-'Anchor Points'!$B$6),IF(A23&lt;=90,'Anchor Points'!$B$7+(A23-'Anchor Points'!$A$7)/('Anchor Points'!$A$8-'Anchor Points'!$A$7)*('Anchor Points'!$B$8-'Anchor Points'!$B$7),'Anchor Points'!$B$8+(A23-'Anchor Points'!$A$8)/('Anchor Points'!$A$9-'Anchor Points'!$A$8)*('Anchor Points'!$B$9-'Anchor Points'!$B$8)))))))</x:f>
        <x:v>15.6</x:v>
      </x:c>
      <x:c r="D23" s="28" t="n">
        <x:f>IF(A23&lt;=15,'Anchor Points'!$C$2+(A23-'Anchor Points'!$A$2)/('Anchor Points'!$A$3-'Anchor Points'!$A$2)*('Anchor Points'!$C$3-'Anchor Points'!$C$2),IF(A23&lt;=25,'Anchor Points'!$C$3+(A23-'Anchor Points'!$A$3)/('Anchor Points'!$A$4-'Anchor Points'!$A$3)*('Anchor Points'!$C$4-'Anchor Points'!$C$3),IF(A23&lt;=40,'Anchor Points'!$C$4+(A23-'Anchor Points'!$A$4)/('Anchor Points'!$A$5-'Anchor Points'!$A$4)*('Anchor Points'!$C$5-'Anchor Points'!$C$4),IF(A23&lt;=55,'Anchor Points'!$C$5+(A23-'Anchor Points'!$A$5)/('Anchor Points'!$A$6-'Anchor Points'!$A$5)*('Anchor Points'!$C$6-'Anchor Points'!$C$5),IF(A23&lt;=70,'Anchor Points'!$C$6+(A23-'Anchor Points'!$A$6)/('Anchor Points'!$A$7-'Anchor Points'!$A$6)*('Anchor Points'!$C$7-'Anchor Points'!$C$6),IF(A23&lt;=90,'Anchor Points'!$C$7+(A23-'Anchor Points'!$A$7)/('Anchor Points'!$A$8-'Anchor Points'!$A$7)*('Anchor Points'!$C$8-'Anchor Points'!$C$7),'Anchor Points'!$C$8+(A23-'Anchor Points'!$A$8)/('Anchor Points'!$A$9-'Anchor Points'!$A$8)*('Anchor Points'!$C$9-'Anchor Points'!$C$8)))))))</x:f>
        <x:v>8</x:v>
      </x:c>
      <x:c r="E23" s="28" t="n">
        <x:f>IF(A23&lt;=15,'Anchor Points'!$D$2+(A23-'Anchor Points'!$A$2)/('Anchor Points'!$A$3-'Anchor Points'!$A$2)*('Anchor Points'!$D$3-'Anchor Points'!$D$2),IF(A23&lt;=25,'Anchor Points'!$D$3+(A23-'Anchor Points'!$A$3)/('Anchor Points'!$A$4-'Anchor Points'!$A$3)*('Anchor Points'!$D$4-'Anchor Points'!$D$3),IF(A23&lt;=40,'Anchor Points'!$D$4+(A23-'Anchor Points'!$A$4)/('Anchor Points'!$A$5-'Anchor Points'!$A$4)*('Anchor Points'!$D$5-'Anchor Points'!$D$4),IF(A23&lt;=55,'Anchor Points'!$D$5+(A23-'Anchor Points'!$A$5)/('Anchor Points'!$A$6-'Anchor Points'!$A$5)*('Anchor Points'!$D$6-'Anchor Points'!$D$5),IF(A23&lt;=70,'Anchor Points'!$D$6+(A23-'Anchor Points'!$A$6)/('Anchor Points'!$A$7-'Anchor Points'!$A$6)*('Anchor Points'!$D$7-'Anchor Points'!$D$6),IF(A23&lt;=90,'Anchor Points'!$D$7+(A23-'Anchor Points'!$A$7)/('Anchor Points'!$A$8-'Anchor Points'!$A$7)*('Anchor Points'!$D$8-'Anchor Points'!$D$7),'Anchor Points'!$D$8+(A23-'Anchor Points'!$A$8)/('Anchor Points'!$A$9-'Anchor Points'!$A$8)*('Anchor Points'!$D$9-'Anchor Points'!$D$8)))))))</x:f>
        <x:v>0</x:v>
      </x:c>
      <x:c r="F23" s="30" t="n">
        <x:f>ROUND(E23,0)</x:f>
        <x:v>0</x:v>
      </x:c>
      <x:c r="G23" s="28" t="n">
        <x:f>IF(A23&lt;=15,'Anchor Points'!$E$2+(A23-'Anchor Points'!$A$2)/('Anchor Points'!$A$3-'Anchor Points'!$A$2)*('Anchor Points'!$E$3-'Anchor Points'!$E$2),IF(A23&lt;=25,'Anchor Points'!$E$3+(A23-'Anchor Points'!$A$3)/('Anchor Points'!$A$4-'Anchor Points'!$A$3)*('Anchor Points'!$E$4-'Anchor Points'!$E$3),IF(A23&lt;=40,'Anchor Points'!$E$4+(A23-'Anchor Points'!$A$4)/('Anchor Points'!$A$5-'Anchor Points'!$A$4)*('Anchor Points'!$E$5-'Anchor Points'!$E$4),IF(A23&lt;=55,'Anchor Points'!$E$5+(A23-'Anchor Points'!$A$5)/('Anchor Points'!$A$6-'Anchor Points'!$A$5)*('Anchor Points'!$E$6-'Anchor Points'!$E$5),IF(A23&lt;=70,'Anchor Points'!$E$6+(A23-'Anchor Points'!$A$6)/('Anchor Points'!$A$7-'Anchor Points'!$A$6)*('Anchor Points'!$E$7-'Anchor Points'!$E$6),IF(A23&lt;=90,'Anchor Points'!$E$7+(A23-'Anchor Points'!$A$7)/('Anchor Points'!$A$8-'Anchor Points'!$A$7)*('Anchor Points'!$E$8-'Anchor Points'!$E$7),'Anchor Points'!$E$8+(A23-'Anchor Points'!$A$8)/('Anchor Points'!$A$9-'Anchor Points'!$A$8)*('Anchor Points'!$E$9-'Anchor Points'!$E$8)))))))</x:f>
        <x:v>0</x:v>
      </x:c>
      <x:c r="H23" s="30" t="n">
        <x:f>ROUND(G23,0)</x:f>
        <x:v>0</x:v>
      </x:c>
      <x:c r="I23" s="28" t="n">
        <x:f>IF(A23&lt;=15,'Anchor Points'!$F$2+(A23-'Anchor Points'!$A$2)/('Anchor Points'!$A$3-'Anchor Points'!$A$2)*('Anchor Points'!$F$3-'Anchor Points'!$F$2),IF(A23&lt;=25,'Anchor Points'!$F$3+(A23-'Anchor Points'!$A$3)/('Anchor Points'!$A$4-'Anchor Points'!$A$3)*('Anchor Points'!$F$4-'Anchor Points'!$F$3),IF(A23&lt;=40,'Anchor Points'!$F$4+(A23-'Anchor Points'!$A$4)/('Anchor Points'!$A$5-'Anchor Points'!$A$4)*('Anchor Points'!$F$5-'Anchor Points'!$F$4),IF(A23&lt;=55,'Anchor Points'!$F$5+(A23-'Anchor Points'!$A$5)/('Anchor Points'!$A$6-'Anchor Points'!$A$5)*('Anchor Points'!$F$6-'Anchor Points'!$F$5),IF(A23&lt;=70,'Anchor Points'!$F$6+(A23-'Anchor Points'!$A$6)/('Anchor Points'!$A$7-'Anchor Points'!$A$6)*('Anchor Points'!$F$7-'Anchor Points'!$F$6),IF(A23&lt;=90,'Anchor Points'!$F$7+(A23-'Anchor Points'!$A$7)/('Anchor Points'!$A$8-'Anchor Points'!$A$7)*('Anchor Points'!$F$8-'Anchor Points'!$F$7),'Anchor Points'!$F$8+(A23-'Anchor Points'!$A$8)/('Anchor Points'!$A$9-'Anchor Points'!$A$8)*('Anchor Points'!$F$9-'Anchor Points'!$F$8)))))))</x:f>
        <x:v>0</x:v>
      </x:c>
    </x:row>
    <x:row r="24">
      <x:c r="A24" s="30" t="n">
        <x:v>22</x:v>
      </x:c>
      <x:c r="B24" s="11" t="str">
        <x:f>IF(A24&lt;=15,"Seedling",IF(A24&lt;=25,"Establishment",IF(A24&lt;=40,"Vegetative Growth",IF(A24&lt;=55,"Flowering &amp; Initial Fruit Set",IF(A24&lt;=80,"Fruit Enlargement",IF(A24&lt;=95,"Ripening","Harvesting"))))))</x:f>
        <x:v>Establishment</x:v>
      </x:c>
      <x:c r="C24" s="28" t="n">
        <x:f>IF(A24&lt;=15,'Anchor Points'!$B$2+(A24-'Anchor Points'!$A$2)/('Anchor Points'!$A$3-'Anchor Points'!$A$2)*('Anchor Points'!$B$3-'Anchor Points'!$B$2),IF(A24&lt;=25,'Anchor Points'!$B$3+(A24-'Anchor Points'!$A$3)/('Anchor Points'!$A$4-'Anchor Points'!$A$3)*('Anchor Points'!$B$4-'Anchor Points'!$B$3),IF(A24&lt;=40,'Anchor Points'!$B$4+(A24-'Anchor Points'!$A$4)/('Anchor Points'!$A$5-'Anchor Points'!$A$4)*('Anchor Points'!$B$5-'Anchor Points'!$B$4),IF(A24&lt;=55,'Anchor Points'!$B$5+(A24-'Anchor Points'!$A$5)/('Anchor Points'!$A$6-'Anchor Points'!$A$5)*('Anchor Points'!$B$6-'Anchor Points'!$B$5),IF(A24&lt;=70,'Anchor Points'!$B$6+(A24-'Anchor Points'!$A$6)/('Anchor Points'!$A$7-'Anchor Points'!$A$6)*('Anchor Points'!$B$7-'Anchor Points'!$B$6),IF(A24&lt;=90,'Anchor Points'!$B$7+(A24-'Anchor Points'!$A$7)/('Anchor Points'!$A$8-'Anchor Points'!$A$7)*('Anchor Points'!$B$8-'Anchor Points'!$B$7),'Anchor Points'!$B$8+(A24-'Anchor Points'!$A$8)/('Anchor Points'!$A$9-'Anchor Points'!$A$8)*('Anchor Points'!$B$9-'Anchor Points'!$B$8)))))))</x:f>
        <x:v>16.7</x:v>
      </x:c>
      <x:c r="D24" s="28" t="n">
        <x:f>IF(A24&lt;=15,'Anchor Points'!$C$2+(A24-'Anchor Points'!$A$2)/('Anchor Points'!$A$3-'Anchor Points'!$A$2)*('Anchor Points'!$C$3-'Anchor Points'!$C$2),IF(A24&lt;=25,'Anchor Points'!$C$3+(A24-'Anchor Points'!$A$3)/('Anchor Points'!$A$4-'Anchor Points'!$A$3)*('Anchor Points'!$C$4-'Anchor Points'!$C$3),IF(A24&lt;=40,'Anchor Points'!$C$4+(A24-'Anchor Points'!$A$4)/('Anchor Points'!$A$5-'Anchor Points'!$A$4)*('Anchor Points'!$C$5-'Anchor Points'!$C$4),IF(A24&lt;=55,'Anchor Points'!$C$5+(A24-'Anchor Points'!$A$5)/('Anchor Points'!$A$6-'Anchor Points'!$A$5)*('Anchor Points'!$C$6-'Anchor Points'!$C$5),IF(A24&lt;=70,'Anchor Points'!$C$6+(A24-'Anchor Points'!$A$6)/('Anchor Points'!$A$7-'Anchor Points'!$A$6)*('Anchor Points'!$C$7-'Anchor Points'!$C$6),IF(A24&lt;=90,'Anchor Points'!$C$7+(A24-'Anchor Points'!$A$7)/('Anchor Points'!$A$8-'Anchor Points'!$A$7)*('Anchor Points'!$C$8-'Anchor Points'!$C$7),'Anchor Points'!$C$8+(A24-'Anchor Points'!$A$8)/('Anchor Points'!$A$9-'Anchor Points'!$A$8)*('Anchor Points'!$C$9-'Anchor Points'!$C$8)))))))</x:f>
        <x:v>8.5</x:v>
      </x:c>
      <x:c r="E24" s="28" t="n">
        <x:f>IF(A24&lt;=15,'Anchor Points'!$D$2+(A24-'Anchor Points'!$A$2)/('Anchor Points'!$A$3-'Anchor Points'!$A$2)*('Anchor Points'!$D$3-'Anchor Points'!$D$2),IF(A24&lt;=25,'Anchor Points'!$D$3+(A24-'Anchor Points'!$A$3)/('Anchor Points'!$A$4-'Anchor Points'!$A$3)*('Anchor Points'!$D$4-'Anchor Points'!$D$3),IF(A24&lt;=40,'Anchor Points'!$D$4+(A24-'Anchor Points'!$A$4)/('Anchor Points'!$A$5-'Anchor Points'!$A$4)*('Anchor Points'!$D$5-'Anchor Points'!$D$4),IF(A24&lt;=55,'Anchor Points'!$D$5+(A24-'Anchor Points'!$A$5)/('Anchor Points'!$A$6-'Anchor Points'!$A$5)*('Anchor Points'!$D$6-'Anchor Points'!$D$5),IF(A24&lt;=70,'Anchor Points'!$D$6+(A24-'Anchor Points'!$A$6)/('Anchor Points'!$A$7-'Anchor Points'!$A$6)*('Anchor Points'!$D$7-'Anchor Points'!$D$6),IF(A24&lt;=90,'Anchor Points'!$D$7+(A24-'Anchor Points'!$A$7)/('Anchor Points'!$A$8-'Anchor Points'!$A$7)*('Anchor Points'!$D$8-'Anchor Points'!$D$7),'Anchor Points'!$D$8+(A24-'Anchor Points'!$A$8)/('Anchor Points'!$A$9-'Anchor Points'!$A$8)*('Anchor Points'!$D$9-'Anchor Points'!$D$8)))))))</x:f>
        <x:v>0</x:v>
      </x:c>
      <x:c r="F24" s="30" t="n">
        <x:f>ROUND(E24,0)</x:f>
        <x:v>0</x:v>
      </x:c>
      <x:c r="G24" s="28" t="n">
        <x:f>IF(A24&lt;=15,'Anchor Points'!$E$2+(A24-'Anchor Points'!$A$2)/('Anchor Points'!$A$3-'Anchor Points'!$A$2)*('Anchor Points'!$E$3-'Anchor Points'!$E$2),IF(A24&lt;=25,'Anchor Points'!$E$3+(A24-'Anchor Points'!$A$3)/('Anchor Points'!$A$4-'Anchor Points'!$A$3)*('Anchor Points'!$E$4-'Anchor Points'!$E$3),IF(A24&lt;=40,'Anchor Points'!$E$4+(A24-'Anchor Points'!$A$4)/('Anchor Points'!$A$5-'Anchor Points'!$A$4)*('Anchor Points'!$E$5-'Anchor Points'!$E$4),IF(A24&lt;=55,'Anchor Points'!$E$5+(A24-'Anchor Points'!$A$5)/('Anchor Points'!$A$6-'Anchor Points'!$A$5)*('Anchor Points'!$E$6-'Anchor Points'!$E$5),IF(A24&lt;=70,'Anchor Points'!$E$6+(A24-'Anchor Points'!$A$6)/('Anchor Points'!$A$7-'Anchor Points'!$A$6)*('Anchor Points'!$E$7-'Anchor Points'!$E$6),IF(A24&lt;=90,'Anchor Points'!$E$7+(A24-'Anchor Points'!$A$7)/('Anchor Points'!$A$8-'Anchor Points'!$A$7)*('Anchor Points'!$E$8-'Anchor Points'!$E$7),'Anchor Points'!$E$8+(A24-'Anchor Points'!$A$8)/('Anchor Points'!$A$9-'Anchor Points'!$A$8)*('Anchor Points'!$E$9-'Anchor Points'!$E$8)))))))</x:f>
        <x:v>0</x:v>
      </x:c>
      <x:c r="H24" s="30" t="n">
        <x:f>ROUND(G24,0)</x:f>
        <x:v>0</x:v>
      </x:c>
      <x:c r="I24" s="28" t="n">
        <x:f>IF(A24&lt;=15,'Anchor Points'!$F$2+(A24-'Anchor Points'!$A$2)/('Anchor Points'!$A$3-'Anchor Points'!$A$2)*('Anchor Points'!$F$3-'Anchor Points'!$F$2),IF(A24&lt;=25,'Anchor Points'!$F$3+(A24-'Anchor Points'!$A$3)/('Anchor Points'!$A$4-'Anchor Points'!$A$3)*('Anchor Points'!$F$4-'Anchor Points'!$F$3),IF(A24&lt;=40,'Anchor Points'!$F$4+(A24-'Anchor Points'!$A$4)/('Anchor Points'!$A$5-'Anchor Points'!$A$4)*('Anchor Points'!$F$5-'Anchor Points'!$F$4),IF(A24&lt;=55,'Anchor Points'!$F$5+(A24-'Anchor Points'!$A$5)/('Anchor Points'!$A$6-'Anchor Points'!$A$5)*('Anchor Points'!$F$6-'Anchor Points'!$F$5),IF(A24&lt;=70,'Anchor Points'!$F$6+(A24-'Anchor Points'!$A$6)/('Anchor Points'!$A$7-'Anchor Points'!$A$6)*('Anchor Points'!$F$7-'Anchor Points'!$F$6),IF(A24&lt;=90,'Anchor Points'!$F$7+(A24-'Anchor Points'!$A$7)/('Anchor Points'!$A$8-'Anchor Points'!$A$7)*('Anchor Points'!$F$8-'Anchor Points'!$F$7),'Anchor Points'!$F$8+(A24-'Anchor Points'!$A$8)/('Anchor Points'!$A$9-'Anchor Points'!$A$8)*('Anchor Points'!$F$9-'Anchor Points'!$F$8)))))))</x:f>
        <x:v>0</x:v>
      </x:c>
    </x:row>
    <x:row r="25">
      <x:c r="A25" s="30" t="n">
        <x:v>23</x:v>
      </x:c>
      <x:c r="B25" s="11" t="str">
        <x:f>IF(A25&lt;=15,"Seedling",IF(A25&lt;=25,"Establishment",IF(A25&lt;=40,"Vegetative Growth",IF(A25&lt;=55,"Flowering &amp; Initial Fruit Set",IF(A25&lt;=80,"Fruit Enlargement",IF(A25&lt;=95,"Ripening","Harvesting"))))))</x:f>
        <x:v>Establishment</x:v>
      </x:c>
      <x:c r="C25" s="28" t="n">
        <x:f>IF(A25&lt;=15,'Anchor Points'!$B$2+(A25-'Anchor Points'!$A$2)/('Anchor Points'!$A$3-'Anchor Points'!$A$2)*('Anchor Points'!$B$3-'Anchor Points'!$B$2),IF(A25&lt;=25,'Anchor Points'!$B$3+(A25-'Anchor Points'!$A$3)/('Anchor Points'!$A$4-'Anchor Points'!$A$3)*('Anchor Points'!$B$4-'Anchor Points'!$B$3),IF(A25&lt;=40,'Anchor Points'!$B$4+(A25-'Anchor Points'!$A$4)/('Anchor Points'!$A$5-'Anchor Points'!$A$4)*('Anchor Points'!$B$5-'Anchor Points'!$B$4),IF(A25&lt;=55,'Anchor Points'!$B$5+(A25-'Anchor Points'!$A$5)/('Anchor Points'!$A$6-'Anchor Points'!$A$5)*('Anchor Points'!$B$6-'Anchor Points'!$B$5),IF(A25&lt;=70,'Anchor Points'!$B$6+(A25-'Anchor Points'!$A$6)/('Anchor Points'!$A$7-'Anchor Points'!$A$6)*('Anchor Points'!$B$7-'Anchor Points'!$B$6),IF(A25&lt;=90,'Anchor Points'!$B$7+(A25-'Anchor Points'!$A$7)/('Anchor Points'!$A$8-'Anchor Points'!$A$7)*('Anchor Points'!$B$8-'Anchor Points'!$B$7),'Anchor Points'!$B$8+(A25-'Anchor Points'!$A$8)/('Anchor Points'!$A$9-'Anchor Points'!$A$8)*('Anchor Points'!$B$9-'Anchor Points'!$B$8)))))))</x:f>
        <x:v>17.8</x:v>
      </x:c>
      <x:c r="D25" s="28" t="n">
        <x:f>IF(A25&lt;=15,'Anchor Points'!$C$2+(A25-'Anchor Points'!$A$2)/('Anchor Points'!$A$3-'Anchor Points'!$A$2)*('Anchor Points'!$C$3-'Anchor Points'!$C$2),IF(A25&lt;=25,'Anchor Points'!$C$3+(A25-'Anchor Points'!$A$3)/('Anchor Points'!$A$4-'Anchor Points'!$A$3)*('Anchor Points'!$C$4-'Anchor Points'!$C$3),IF(A25&lt;=40,'Anchor Points'!$C$4+(A25-'Anchor Points'!$A$4)/('Anchor Points'!$A$5-'Anchor Points'!$A$4)*('Anchor Points'!$C$5-'Anchor Points'!$C$4),IF(A25&lt;=55,'Anchor Points'!$C$5+(A25-'Anchor Points'!$A$5)/('Anchor Points'!$A$6-'Anchor Points'!$A$5)*('Anchor Points'!$C$6-'Anchor Points'!$C$5),IF(A25&lt;=70,'Anchor Points'!$C$6+(A25-'Anchor Points'!$A$6)/('Anchor Points'!$A$7-'Anchor Points'!$A$6)*('Anchor Points'!$C$7-'Anchor Points'!$C$6),IF(A25&lt;=90,'Anchor Points'!$C$7+(A25-'Anchor Points'!$A$7)/('Anchor Points'!$A$8-'Anchor Points'!$A$7)*('Anchor Points'!$C$8-'Anchor Points'!$C$7),'Anchor Points'!$C$8+(A25-'Anchor Points'!$A$8)/('Anchor Points'!$A$9-'Anchor Points'!$A$8)*('Anchor Points'!$C$9-'Anchor Points'!$C$8)))))))</x:f>
        <x:v>9</x:v>
      </x:c>
      <x:c r="E25" s="28" t="n">
        <x:f>IF(A25&lt;=15,'Anchor Points'!$D$2+(A25-'Anchor Points'!$A$2)/('Anchor Points'!$A$3-'Anchor Points'!$A$2)*('Anchor Points'!$D$3-'Anchor Points'!$D$2),IF(A25&lt;=25,'Anchor Points'!$D$3+(A25-'Anchor Points'!$A$3)/('Anchor Points'!$A$4-'Anchor Points'!$A$3)*('Anchor Points'!$D$4-'Anchor Points'!$D$3),IF(A25&lt;=40,'Anchor Points'!$D$4+(A25-'Anchor Points'!$A$4)/('Anchor Points'!$A$5-'Anchor Points'!$A$4)*('Anchor Points'!$D$5-'Anchor Points'!$D$4),IF(A25&lt;=55,'Anchor Points'!$D$5+(A25-'Anchor Points'!$A$5)/('Anchor Points'!$A$6-'Anchor Points'!$A$5)*('Anchor Points'!$D$6-'Anchor Points'!$D$5),IF(A25&lt;=70,'Anchor Points'!$D$6+(A25-'Anchor Points'!$A$6)/('Anchor Points'!$A$7-'Anchor Points'!$A$6)*('Anchor Points'!$D$7-'Anchor Points'!$D$6),IF(A25&lt;=90,'Anchor Points'!$D$7+(A25-'Anchor Points'!$A$7)/('Anchor Points'!$A$8-'Anchor Points'!$A$7)*('Anchor Points'!$D$8-'Anchor Points'!$D$7),'Anchor Points'!$D$8+(A25-'Anchor Points'!$A$8)/('Anchor Points'!$A$9-'Anchor Points'!$A$8)*('Anchor Points'!$D$9-'Anchor Points'!$D$8)))))))</x:f>
        <x:v>0</x:v>
      </x:c>
      <x:c r="F25" s="30" t="n">
        <x:f>ROUND(E25,0)</x:f>
        <x:v>0</x:v>
      </x:c>
      <x:c r="G25" s="28" t="n">
        <x:f>IF(A25&lt;=15,'Anchor Points'!$E$2+(A25-'Anchor Points'!$A$2)/('Anchor Points'!$A$3-'Anchor Points'!$A$2)*('Anchor Points'!$E$3-'Anchor Points'!$E$2),IF(A25&lt;=25,'Anchor Points'!$E$3+(A25-'Anchor Points'!$A$3)/('Anchor Points'!$A$4-'Anchor Points'!$A$3)*('Anchor Points'!$E$4-'Anchor Points'!$E$3),IF(A25&lt;=40,'Anchor Points'!$E$4+(A25-'Anchor Points'!$A$4)/('Anchor Points'!$A$5-'Anchor Points'!$A$4)*('Anchor Points'!$E$5-'Anchor Points'!$E$4),IF(A25&lt;=55,'Anchor Points'!$E$5+(A25-'Anchor Points'!$A$5)/('Anchor Points'!$A$6-'Anchor Points'!$A$5)*('Anchor Points'!$E$6-'Anchor Points'!$E$5),IF(A25&lt;=70,'Anchor Points'!$E$6+(A25-'Anchor Points'!$A$6)/('Anchor Points'!$A$7-'Anchor Points'!$A$6)*('Anchor Points'!$E$7-'Anchor Points'!$E$6),IF(A25&lt;=90,'Anchor Points'!$E$7+(A25-'Anchor Points'!$A$7)/('Anchor Points'!$A$8-'Anchor Points'!$A$7)*('Anchor Points'!$E$8-'Anchor Points'!$E$7),'Anchor Points'!$E$8+(A25-'Anchor Points'!$A$8)/('Anchor Points'!$A$9-'Anchor Points'!$A$8)*('Anchor Points'!$E$9-'Anchor Points'!$E$8)))))))</x:f>
        <x:v>0</x:v>
      </x:c>
      <x:c r="H25" s="30" t="n">
        <x:f>ROUND(G25,0)</x:f>
        <x:v>0</x:v>
      </x:c>
      <x:c r="I25" s="28" t="n">
        <x:f>IF(A25&lt;=15,'Anchor Points'!$F$2+(A25-'Anchor Points'!$A$2)/('Anchor Points'!$A$3-'Anchor Points'!$A$2)*('Anchor Points'!$F$3-'Anchor Points'!$F$2),IF(A25&lt;=25,'Anchor Points'!$F$3+(A25-'Anchor Points'!$A$3)/('Anchor Points'!$A$4-'Anchor Points'!$A$3)*('Anchor Points'!$F$4-'Anchor Points'!$F$3),IF(A25&lt;=40,'Anchor Points'!$F$4+(A25-'Anchor Points'!$A$4)/('Anchor Points'!$A$5-'Anchor Points'!$A$4)*('Anchor Points'!$F$5-'Anchor Points'!$F$4),IF(A25&lt;=55,'Anchor Points'!$F$5+(A25-'Anchor Points'!$A$5)/('Anchor Points'!$A$6-'Anchor Points'!$A$5)*('Anchor Points'!$F$6-'Anchor Points'!$F$5),IF(A25&lt;=70,'Anchor Points'!$F$6+(A25-'Anchor Points'!$A$6)/('Anchor Points'!$A$7-'Anchor Points'!$A$6)*('Anchor Points'!$F$7-'Anchor Points'!$F$6),IF(A25&lt;=90,'Anchor Points'!$F$7+(A25-'Anchor Points'!$A$7)/('Anchor Points'!$A$8-'Anchor Points'!$A$7)*('Anchor Points'!$F$8-'Anchor Points'!$F$7),'Anchor Points'!$F$8+(A25-'Anchor Points'!$A$8)/('Anchor Points'!$A$9-'Anchor Points'!$A$8)*('Anchor Points'!$F$9-'Anchor Points'!$F$8)))))))</x:f>
        <x:v>0</x:v>
      </x:c>
      <x:c r="K25" s="36" t="str">
        <x:v>DAS</x:v>
      </x:c>
      <x:c r="L25" s="36" t="str">
        <x:v>Flowers</x:v>
      </x:c>
      <x:c r="M25" s="36" t="str">
        <x:v>Fruits</x:v>
      </x:c>
      <x:c r="N25" s="36" t="str">
        <x:v>Fruit Diameter (mm)</x:v>
      </x:c>
    </x:row>
    <x:row r="26">
      <x:c r="A26" s="30" t="n">
        <x:v>24</x:v>
      </x:c>
      <x:c r="B26" s="11" t="str">
        <x:f>IF(A26&lt;=15,"Seedling",IF(A26&lt;=25,"Establishment",IF(A26&lt;=40,"Vegetative Growth",IF(A26&lt;=55,"Flowering &amp; Initial Fruit Set",IF(A26&lt;=80,"Fruit Enlargement",IF(A26&lt;=95,"Ripening","Harvesting"))))))</x:f>
        <x:v>Establishment</x:v>
      </x:c>
      <x:c r="C26" s="28" t="n">
        <x:f>IF(A26&lt;=15,'Anchor Points'!$B$2+(A26-'Anchor Points'!$A$2)/('Anchor Points'!$A$3-'Anchor Points'!$A$2)*('Anchor Points'!$B$3-'Anchor Points'!$B$2),IF(A26&lt;=25,'Anchor Points'!$B$3+(A26-'Anchor Points'!$A$3)/('Anchor Points'!$A$4-'Anchor Points'!$A$3)*('Anchor Points'!$B$4-'Anchor Points'!$B$3),IF(A26&lt;=40,'Anchor Points'!$B$4+(A26-'Anchor Points'!$A$4)/('Anchor Points'!$A$5-'Anchor Points'!$A$4)*('Anchor Points'!$B$5-'Anchor Points'!$B$4),IF(A26&lt;=55,'Anchor Points'!$B$5+(A26-'Anchor Points'!$A$5)/('Anchor Points'!$A$6-'Anchor Points'!$A$5)*('Anchor Points'!$B$6-'Anchor Points'!$B$5),IF(A26&lt;=70,'Anchor Points'!$B$6+(A26-'Anchor Points'!$A$6)/('Anchor Points'!$A$7-'Anchor Points'!$A$6)*('Anchor Points'!$B$7-'Anchor Points'!$B$6),IF(A26&lt;=90,'Anchor Points'!$B$7+(A26-'Anchor Points'!$A$7)/('Anchor Points'!$A$8-'Anchor Points'!$A$7)*('Anchor Points'!$B$8-'Anchor Points'!$B$7),'Anchor Points'!$B$8+(A26-'Anchor Points'!$A$8)/('Anchor Points'!$A$9-'Anchor Points'!$A$8)*('Anchor Points'!$B$9-'Anchor Points'!$B$8)))))))</x:f>
        <x:v>18.9</x:v>
      </x:c>
      <x:c r="D26" s="28" t="n">
        <x:f>IF(A26&lt;=15,'Anchor Points'!$C$2+(A26-'Anchor Points'!$A$2)/('Anchor Points'!$A$3-'Anchor Points'!$A$2)*('Anchor Points'!$C$3-'Anchor Points'!$C$2),IF(A26&lt;=25,'Anchor Points'!$C$3+(A26-'Anchor Points'!$A$3)/('Anchor Points'!$A$4-'Anchor Points'!$A$3)*('Anchor Points'!$C$4-'Anchor Points'!$C$3),IF(A26&lt;=40,'Anchor Points'!$C$4+(A26-'Anchor Points'!$A$4)/('Anchor Points'!$A$5-'Anchor Points'!$A$4)*('Anchor Points'!$C$5-'Anchor Points'!$C$4),IF(A26&lt;=55,'Anchor Points'!$C$5+(A26-'Anchor Points'!$A$5)/('Anchor Points'!$A$6-'Anchor Points'!$A$5)*('Anchor Points'!$C$6-'Anchor Points'!$C$5),IF(A26&lt;=70,'Anchor Points'!$C$6+(A26-'Anchor Points'!$A$6)/('Anchor Points'!$A$7-'Anchor Points'!$A$6)*('Anchor Points'!$C$7-'Anchor Points'!$C$6),IF(A26&lt;=90,'Anchor Points'!$C$7+(A26-'Anchor Points'!$A$7)/('Anchor Points'!$A$8-'Anchor Points'!$A$7)*('Anchor Points'!$C$8-'Anchor Points'!$C$7),'Anchor Points'!$C$8+(A26-'Anchor Points'!$A$8)/('Anchor Points'!$A$9-'Anchor Points'!$A$8)*('Anchor Points'!$C$9-'Anchor Points'!$C$8)))))))</x:f>
        <x:v>9.5</x:v>
      </x:c>
      <x:c r="E26" s="28" t="n">
        <x:f>IF(A26&lt;=15,'Anchor Points'!$D$2+(A26-'Anchor Points'!$A$2)/('Anchor Points'!$A$3-'Anchor Points'!$A$2)*('Anchor Points'!$D$3-'Anchor Points'!$D$2),IF(A26&lt;=25,'Anchor Points'!$D$3+(A26-'Anchor Points'!$A$3)/('Anchor Points'!$A$4-'Anchor Points'!$A$3)*('Anchor Points'!$D$4-'Anchor Points'!$D$3),IF(A26&lt;=40,'Anchor Points'!$D$4+(A26-'Anchor Points'!$A$4)/('Anchor Points'!$A$5-'Anchor Points'!$A$4)*('Anchor Points'!$D$5-'Anchor Points'!$D$4),IF(A26&lt;=55,'Anchor Points'!$D$5+(A26-'Anchor Points'!$A$5)/('Anchor Points'!$A$6-'Anchor Points'!$A$5)*('Anchor Points'!$D$6-'Anchor Points'!$D$5),IF(A26&lt;=70,'Anchor Points'!$D$6+(A26-'Anchor Points'!$A$6)/('Anchor Points'!$A$7-'Anchor Points'!$A$6)*('Anchor Points'!$D$7-'Anchor Points'!$D$6),IF(A26&lt;=90,'Anchor Points'!$D$7+(A26-'Anchor Points'!$A$7)/('Anchor Points'!$A$8-'Anchor Points'!$A$7)*('Anchor Points'!$D$8-'Anchor Points'!$D$7),'Anchor Points'!$D$8+(A26-'Anchor Points'!$A$8)/('Anchor Points'!$A$9-'Anchor Points'!$A$8)*('Anchor Points'!$D$9-'Anchor Points'!$D$8)))))))</x:f>
        <x:v>0</x:v>
      </x:c>
      <x:c r="F26" s="30" t="n">
        <x:f>ROUND(E26,0)</x:f>
        <x:v>0</x:v>
      </x:c>
      <x:c r="G26" s="28" t="n">
        <x:f>IF(A26&lt;=15,'Anchor Points'!$E$2+(A26-'Anchor Points'!$A$2)/('Anchor Points'!$A$3-'Anchor Points'!$A$2)*('Anchor Points'!$E$3-'Anchor Points'!$E$2),IF(A26&lt;=25,'Anchor Points'!$E$3+(A26-'Anchor Points'!$A$3)/('Anchor Points'!$A$4-'Anchor Points'!$A$3)*('Anchor Points'!$E$4-'Anchor Points'!$E$3),IF(A26&lt;=40,'Anchor Points'!$E$4+(A26-'Anchor Points'!$A$4)/('Anchor Points'!$A$5-'Anchor Points'!$A$4)*('Anchor Points'!$E$5-'Anchor Points'!$E$4),IF(A26&lt;=55,'Anchor Points'!$E$5+(A26-'Anchor Points'!$A$5)/('Anchor Points'!$A$6-'Anchor Points'!$A$5)*('Anchor Points'!$E$6-'Anchor Points'!$E$5),IF(A26&lt;=70,'Anchor Points'!$E$6+(A26-'Anchor Points'!$A$6)/('Anchor Points'!$A$7-'Anchor Points'!$A$6)*('Anchor Points'!$E$7-'Anchor Points'!$E$6),IF(A26&lt;=90,'Anchor Points'!$E$7+(A26-'Anchor Points'!$A$7)/('Anchor Points'!$A$8-'Anchor Points'!$A$7)*('Anchor Points'!$E$8-'Anchor Points'!$E$7),'Anchor Points'!$E$8+(A26-'Anchor Points'!$A$8)/('Anchor Points'!$A$9-'Anchor Points'!$A$8)*('Anchor Points'!$E$9-'Anchor Points'!$E$8)))))))</x:f>
        <x:v>0</x:v>
      </x:c>
      <x:c r="H26" s="30" t="n">
        <x:f>ROUND(G26,0)</x:f>
        <x:v>0</x:v>
      </x:c>
      <x:c r="I26" s="28" t="n">
        <x:f>IF(A26&lt;=15,'Anchor Points'!$F$2+(A26-'Anchor Points'!$A$2)/('Anchor Points'!$A$3-'Anchor Points'!$A$2)*('Anchor Points'!$F$3-'Anchor Points'!$F$2),IF(A26&lt;=25,'Anchor Points'!$F$3+(A26-'Anchor Points'!$A$3)/('Anchor Points'!$A$4-'Anchor Points'!$A$3)*('Anchor Points'!$F$4-'Anchor Points'!$F$3),IF(A26&lt;=40,'Anchor Points'!$F$4+(A26-'Anchor Points'!$A$4)/('Anchor Points'!$A$5-'Anchor Points'!$A$4)*('Anchor Points'!$F$5-'Anchor Points'!$F$4),IF(A26&lt;=55,'Anchor Points'!$F$5+(A26-'Anchor Points'!$A$5)/('Anchor Points'!$A$6-'Anchor Points'!$A$5)*('Anchor Points'!$F$6-'Anchor Points'!$F$5),IF(A26&lt;=70,'Anchor Points'!$F$6+(A26-'Anchor Points'!$A$6)/('Anchor Points'!$A$7-'Anchor Points'!$A$6)*('Anchor Points'!$F$7-'Anchor Points'!$F$6),IF(A26&lt;=90,'Anchor Points'!$F$7+(A26-'Anchor Points'!$A$7)/('Anchor Points'!$A$8-'Anchor Points'!$A$7)*('Anchor Points'!$F$8-'Anchor Points'!$F$7),'Anchor Points'!$F$8+(A26-'Anchor Points'!$A$8)/('Anchor Points'!$A$9-'Anchor Points'!$A$8)*('Anchor Points'!$F$9-'Anchor Points'!$F$8)))))))</x:f>
        <x:v>0</x:v>
      </x:c>
      <x:c r="K26" s="36" t="n">
        <x:f>A2</x:f>
        <x:v>0</x:v>
      </x:c>
      <x:c r="L26" s="36" t="n">
        <x:f>E2</x:f>
        <x:v>0</x:v>
      </x:c>
      <x:c r="M26" s="36" t="n">
        <x:f>G2</x:f>
        <x:v>0</x:v>
      </x:c>
      <x:c r="N26" s="36" t="n">
        <x:f>I2</x:f>
        <x:v>0</x:v>
      </x:c>
    </x:row>
    <x:row r="27">
      <x:c r="A27" s="30" t="n">
        <x:v>25</x:v>
      </x:c>
      <x:c r="B27" s="11" t="str">
        <x:f>IF(A27&lt;=15,"Seedling",IF(A27&lt;=25,"Establishment",IF(A27&lt;=40,"Vegetative Growth",IF(A27&lt;=55,"Flowering &amp; Initial Fruit Set",IF(A27&lt;=80,"Fruit Enlargement",IF(A27&lt;=95,"Ripening","Harvesting"))))))</x:f>
        <x:v>Establishment</x:v>
      </x:c>
      <x:c r="C27" s="28" t="n">
        <x:f>IF(A27&lt;=15,'Anchor Points'!$B$2+(A27-'Anchor Points'!$A$2)/('Anchor Points'!$A$3-'Anchor Points'!$A$2)*('Anchor Points'!$B$3-'Anchor Points'!$B$2),IF(A27&lt;=25,'Anchor Points'!$B$3+(A27-'Anchor Points'!$A$3)/('Anchor Points'!$A$4-'Anchor Points'!$A$3)*('Anchor Points'!$B$4-'Anchor Points'!$B$3),IF(A27&lt;=40,'Anchor Points'!$B$4+(A27-'Anchor Points'!$A$4)/('Anchor Points'!$A$5-'Anchor Points'!$A$4)*('Anchor Points'!$B$5-'Anchor Points'!$B$4),IF(A27&lt;=55,'Anchor Points'!$B$5+(A27-'Anchor Points'!$A$5)/('Anchor Points'!$A$6-'Anchor Points'!$A$5)*('Anchor Points'!$B$6-'Anchor Points'!$B$5),IF(A27&lt;=70,'Anchor Points'!$B$6+(A27-'Anchor Points'!$A$6)/('Anchor Points'!$A$7-'Anchor Points'!$A$6)*('Anchor Points'!$B$7-'Anchor Points'!$B$6),IF(A27&lt;=90,'Anchor Points'!$B$7+(A27-'Anchor Points'!$A$7)/('Anchor Points'!$A$8-'Anchor Points'!$A$7)*('Anchor Points'!$B$8-'Anchor Points'!$B$7),'Anchor Points'!$B$8+(A27-'Anchor Points'!$A$8)/('Anchor Points'!$A$9-'Anchor Points'!$A$8)*('Anchor Points'!$B$9-'Anchor Points'!$B$8)))))))</x:f>
        <x:v>20</x:v>
      </x:c>
      <x:c r="D27" s="28" t="n">
        <x:f>IF(A27&lt;=15,'Anchor Points'!$C$2+(A27-'Anchor Points'!$A$2)/('Anchor Points'!$A$3-'Anchor Points'!$A$2)*('Anchor Points'!$C$3-'Anchor Points'!$C$2),IF(A27&lt;=25,'Anchor Points'!$C$3+(A27-'Anchor Points'!$A$3)/('Anchor Points'!$A$4-'Anchor Points'!$A$3)*('Anchor Points'!$C$4-'Anchor Points'!$C$3),IF(A27&lt;=40,'Anchor Points'!$C$4+(A27-'Anchor Points'!$A$4)/('Anchor Points'!$A$5-'Anchor Points'!$A$4)*('Anchor Points'!$C$5-'Anchor Points'!$C$4),IF(A27&lt;=55,'Anchor Points'!$C$5+(A27-'Anchor Points'!$A$5)/('Anchor Points'!$A$6-'Anchor Points'!$A$5)*('Anchor Points'!$C$6-'Anchor Points'!$C$5),IF(A27&lt;=70,'Anchor Points'!$C$6+(A27-'Anchor Points'!$A$6)/('Anchor Points'!$A$7-'Anchor Points'!$A$6)*('Anchor Points'!$C$7-'Anchor Points'!$C$6),IF(A27&lt;=90,'Anchor Points'!$C$7+(A27-'Anchor Points'!$A$7)/('Anchor Points'!$A$8-'Anchor Points'!$A$7)*('Anchor Points'!$C$8-'Anchor Points'!$C$7),'Anchor Points'!$C$8+(A27-'Anchor Points'!$A$8)/('Anchor Points'!$A$9-'Anchor Points'!$A$8)*('Anchor Points'!$C$9-'Anchor Points'!$C$8)))))))</x:f>
        <x:v>10</x:v>
      </x:c>
      <x:c r="E27" s="28" t="n">
        <x:f>IF(A27&lt;=15,'Anchor Points'!$D$2+(A27-'Anchor Points'!$A$2)/('Anchor Points'!$A$3-'Anchor Points'!$A$2)*('Anchor Points'!$D$3-'Anchor Points'!$D$2),IF(A27&lt;=25,'Anchor Points'!$D$3+(A27-'Anchor Points'!$A$3)/('Anchor Points'!$A$4-'Anchor Points'!$A$3)*('Anchor Points'!$D$4-'Anchor Points'!$D$3),IF(A27&lt;=40,'Anchor Points'!$D$4+(A27-'Anchor Points'!$A$4)/('Anchor Points'!$A$5-'Anchor Points'!$A$4)*('Anchor Points'!$D$5-'Anchor Points'!$D$4),IF(A27&lt;=55,'Anchor Points'!$D$5+(A27-'Anchor Points'!$A$5)/('Anchor Points'!$A$6-'Anchor Points'!$A$5)*('Anchor Points'!$D$6-'Anchor Points'!$D$5),IF(A27&lt;=70,'Anchor Points'!$D$6+(A27-'Anchor Points'!$A$6)/('Anchor Points'!$A$7-'Anchor Points'!$A$6)*('Anchor Points'!$D$7-'Anchor Points'!$D$6),IF(A27&lt;=90,'Anchor Points'!$D$7+(A27-'Anchor Points'!$A$7)/('Anchor Points'!$A$8-'Anchor Points'!$A$7)*('Anchor Points'!$D$8-'Anchor Points'!$D$7),'Anchor Points'!$D$8+(A27-'Anchor Points'!$A$8)/('Anchor Points'!$A$9-'Anchor Points'!$A$8)*('Anchor Points'!$D$9-'Anchor Points'!$D$8)))))))</x:f>
        <x:v>0</x:v>
      </x:c>
      <x:c r="F27" s="30" t="n">
        <x:f>ROUND(E27,0)</x:f>
        <x:v>0</x:v>
      </x:c>
      <x:c r="G27" s="28" t="n">
        <x:f>IF(A27&lt;=15,'Anchor Points'!$E$2+(A27-'Anchor Points'!$A$2)/('Anchor Points'!$A$3-'Anchor Points'!$A$2)*('Anchor Points'!$E$3-'Anchor Points'!$E$2),IF(A27&lt;=25,'Anchor Points'!$E$3+(A27-'Anchor Points'!$A$3)/('Anchor Points'!$A$4-'Anchor Points'!$A$3)*('Anchor Points'!$E$4-'Anchor Points'!$E$3),IF(A27&lt;=40,'Anchor Points'!$E$4+(A27-'Anchor Points'!$A$4)/('Anchor Points'!$A$5-'Anchor Points'!$A$4)*('Anchor Points'!$E$5-'Anchor Points'!$E$4),IF(A27&lt;=55,'Anchor Points'!$E$5+(A27-'Anchor Points'!$A$5)/('Anchor Points'!$A$6-'Anchor Points'!$A$5)*('Anchor Points'!$E$6-'Anchor Points'!$E$5),IF(A27&lt;=70,'Anchor Points'!$E$6+(A27-'Anchor Points'!$A$6)/('Anchor Points'!$A$7-'Anchor Points'!$A$6)*('Anchor Points'!$E$7-'Anchor Points'!$E$6),IF(A27&lt;=90,'Anchor Points'!$E$7+(A27-'Anchor Points'!$A$7)/('Anchor Points'!$A$8-'Anchor Points'!$A$7)*('Anchor Points'!$E$8-'Anchor Points'!$E$7),'Anchor Points'!$E$8+(A27-'Anchor Points'!$A$8)/('Anchor Points'!$A$9-'Anchor Points'!$A$8)*('Anchor Points'!$E$9-'Anchor Points'!$E$8)))))))</x:f>
        <x:v>0</x:v>
      </x:c>
      <x:c r="H27" s="30" t="n">
        <x:f>ROUND(G27,0)</x:f>
        <x:v>0</x:v>
      </x:c>
      <x:c r="I27" s="28" t="n">
        <x:f>IF(A27&lt;=15,'Anchor Points'!$F$2+(A27-'Anchor Points'!$A$2)/('Anchor Points'!$A$3-'Anchor Points'!$A$2)*('Anchor Points'!$F$3-'Anchor Points'!$F$2),IF(A27&lt;=25,'Anchor Points'!$F$3+(A27-'Anchor Points'!$A$3)/('Anchor Points'!$A$4-'Anchor Points'!$A$3)*('Anchor Points'!$F$4-'Anchor Points'!$F$3),IF(A27&lt;=40,'Anchor Points'!$F$4+(A27-'Anchor Points'!$A$4)/('Anchor Points'!$A$5-'Anchor Points'!$A$4)*('Anchor Points'!$F$5-'Anchor Points'!$F$4),IF(A27&lt;=55,'Anchor Points'!$F$5+(A27-'Anchor Points'!$A$5)/('Anchor Points'!$A$6-'Anchor Points'!$A$5)*('Anchor Points'!$F$6-'Anchor Points'!$F$5),IF(A27&lt;=70,'Anchor Points'!$F$6+(A27-'Anchor Points'!$A$6)/('Anchor Points'!$A$7-'Anchor Points'!$A$6)*('Anchor Points'!$F$7-'Anchor Points'!$F$6),IF(A27&lt;=90,'Anchor Points'!$F$7+(A27-'Anchor Points'!$A$7)/('Anchor Points'!$A$8-'Anchor Points'!$A$7)*('Anchor Points'!$F$8-'Anchor Points'!$F$7),'Anchor Points'!$F$8+(A27-'Anchor Points'!$A$8)/('Anchor Points'!$A$9-'Anchor Points'!$A$8)*('Anchor Points'!$F$9-'Anchor Points'!$F$8)))))))</x:f>
        <x:v>0</x:v>
      </x:c>
      <x:c r="K27" s="36" t="n">
        <x:f>A3</x:f>
        <x:v>1</x:v>
      </x:c>
      <x:c r="L27" s="36" t="n">
        <x:f>E3</x:f>
        <x:v>0</x:v>
      </x:c>
      <x:c r="M27" s="36" t="n">
        <x:f>G3</x:f>
        <x:v>0</x:v>
      </x:c>
      <x:c r="N27" s="36" t="n">
        <x:f>I3</x:f>
        <x:v>0</x:v>
      </x:c>
    </x:row>
    <x:row r="28">
      <x:c r="A28" s="30" t="n">
        <x:v>26</x:v>
      </x:c>
      <x:c r="B28" s="11" t="str">
        <x:f>IF(A28&lt;=15,"Seedling",IF(A28&lt;=25,"Establishment",IF(A28&lt;=40,"Vegetative Growth",IF(A28&lt;=55,"Flowering &amp; Initial Fruit Set",IF(A28&lt;=80,"Fruit Enlargement",IF(A28&lt;=95,"Ripening","Harvesting"))))))</x:f>
        <x:v>Vegetative Growth</x:v>
      </x:c>
      <x:c r="C28" s="28" t="n">
        <x:f>IF(A28&lt;=15,'Anchor Points'!$B$2+(A28-'Anchor Points'!$A$2)/('Anchor Points'!$A$3-'Anchor Points'!$A$2)*('Anchor Points'!$B$3-'Anchor Points'!$B$2),IF(A28&lt;=25,'Anchor Points'!$B$3+(A28-'Anchor Points'!$A$3)/('Anchor Points'!$A$4-'Anchor Points'!$A$3)*('Anchor Points'!$B$4-'Anchor Points'!$B$3),IF(A28&lt;=40,'Anchor Points'!$B$4+(A28-'Anchor Points'!$A$4)/('Anchor Points'!$A$5-'Anchor Points'!$A$4)*('Anchor Points'!$B$5-'Anchor Points'!$B$4),IF(A28&lt;=55,'Anchor Points'!$B$5+(A28-'Anchor Points'!$A$5)/('Anchor Points'!$A$6-'Anchor Points'!$A$5)*('Anchor Points'!$B$6-'Anchor Points'!$B$5),IF(A28&lt;=70,'Anchor Points'!$B$6+(A28-'Anchor Points'!$A$6)/('Anchor Points'!$A$7-'Anchor Points'!$A$6)*('Anchor Points'!$B$7-'Anchor Points'!$B$6),IF(A28&lt;=90,'Anchor Points'!$B$7+(A28-'Anchor Points'!$A$7)/('Anchor Points'!$A$8-'Anchor Points'!$A$7)*('Anchor Points'!$B$8-'Anchor Points'!$B$7),'Anchor Points'!$B$8+(A28-'Anchor Points'!$A$8)/('Anchor Points'!$A$9-'Anchor Points'!$A$8)*('Anchor Points'!$B$9-'Anchor Points'!$B$8)))))))</x:f>
        <x:v>21.2</x:v>
      </x:c>
      <x:c r="D28" s="28" t="n">
        <x:f>IF(A28&lt;=15,'Anchor Points'!$C$2+(A28-'Anchor Points'!$A$2)/('Anchor Points'!$A$3-'Anchor Points'!$A$2)*('Anchor Points'!$C$3-'Anchor Points'!$C$2),IF(A28&lt;=25,'Anchor Points'!$C$3+(A28-'Anchor Points'!$A$3)/('Anchor Points'!$A$4-'Anchor Points'!$A$3)*('Anchor Points'!$C$4-'Anchor Points'!$C$3),IF(A28&lt;=40,'Anchor Points'!$C$4+(A28-'Anchor Points'!$A$4)/('Anchor Points'!$A$5-'Anchor Points'!$A$4)*('Anchor Points'!$C$5-'Anchor Points'!$C$4),IF(A28&lt;=55,'Anchor Points'!$C$5+(A28-'Anchor Points'!$A$5)/('Anchor Points'!$A$6-'Anchor Points'!$A$5)*('Anchor Points'!$C$6-'Anchor Points'!$C$5),IF(A28&lt;=70,'Anchor Points'!$C$6+(A28-'Anchor Points'!$A$6)/('Anchor Points'!$A$7-'Anchor Points'!$A$6)*('Anchor Points'!$C$7-'Anchor Points'!$C$6),IF(A28&lt;=90,'Anchor Points'!$C$7+(A28-'Anchor Points'!$A$7)/('Anchor Points'!$A$8-'Anchor Points'!$A$7)*('Anchor Points'!$C$8-'Anchor Points'!$C$7),'Anchor Points'!$C$8+(A28-'Anchor Points'!$A$8)/('Anchor Points'!$A$9-'Anchor Points'!$A$8)*('Anchor Points'!$C$9-'Anchor Points'!$C$8)))))))</x:f>
        <x:v>11</x:v>
      </x:c>
      <x:c r="E28" s="28" t="n">
        <x:f>IF(A28&lt;=15,'Anchor Points'!$D$2+(A28-'Anchor Points'!$A$2)/('Anchor Points'!$A$3-'Anchor Points'!$A$2)*('Anchor Points'!$D$3-'Anchor Points'!$D$2),IF(A28&lt;=25,'Anchor Points'!$D$3+(A28-'Anchor Points'!$A$3)/('Anchor Points'!$A$4-'Anchor Points'!$A$3)*('Anchor Points'!$D$4-'Anchor Points'!$D$3),IF(A28&lt;=40,'Anchor Points'!$D$4+(A28-'Anchor Points'!$A$4)/('Anchor Points'!$A$5-'Anchor Points'!$A$4)*('Anchor Points'!$D$5-'Anchor Points'!$D$4),IF(A28&lt;=55,'Anchor Points'!$D$5+(A28-'Anchor Points'!$A$5)/('Anchor Points'!$A$6-'Anchor Points'!$A$5)*('Anchor Points'!$D$6-'Anchor Points'!$D$5),IF(A28&lt;=70,'Anchor Points'!$D$6+(A28-'Anchor Points'!$A$6)/('Anchor Points'!$A$7-'Anchor Points'!$A$6)*('Anchor Points'!$D$7-'Anchor Points'!$D$6),IF(A28&lt;=90,'Anchor Points'!$D$7+(A28-'Anchor Points'!$A$7)/('Anchor Points'!$A$8-'Anchor Points'!$A$7)*('Anchor Points'!$D$8-'Anchor Points'!$D$7),'Anchor Points'!$D$8+(A28-'Anchor Points'!$A$8)/('Anchor Points'!$A$9-'Anchor Points'!$A$8)*('Anchor Points'!$D$9-'Anchor Points'!$D$8)))))))</x:f>
        <x:v>0.13333333333333333</x:v>
      </x:c>
      <x:c r="F28" s="30" t="n">
        <x:f>ROUND(E28,0)</x:f>
        <x:v>0</x:v>
      </x:c>
      <x:c r="G28" s="28" t="n">
        <x:f>IF(A28&lt;=15,'Anchor Points'!$E$2+(A28-'Anchor Points'!$A$2)/('Anchor Points'!$A$3-'Anchor Points'!$A$2)*('Anchor Points'!$E$3-'Anchor Points'!$E$2),IF(A28&lt;=25,'Anchor Points'!$E$3+(A28-'Anchor Points'!$A$3)/('Anchor Points'!$A$4-'Anchor Points'!$A$3)*('Anchor Points'!$E$4-'Anchor Points'!$E$3),IF(A28&lt;=40,'Anchor Points'!$E$4+(A28-'Anchor Points'!$A$4)/('Anchor Points'!$A$5-'Anchor Points'!$A$4)*('Anchor Points'!$E$5-'Anchor Points'!$E$4),IF(A28&lt;=55,'Anchor Points'!$E$5+(A28-'Anchor Points'!$A$5)/('Anchor Points'!$A$6-'Anchor Points'!$A$5)*('Anchor Points'!$E$6-'Anchor Points'!$E$5),IF(A28&lt;=70,'Anchor Points'!$E$6+(A28-'Anchor Points'!$A$6)/('Anchor Points'!$A$7-'Anchor Points'!$A$6)*('Anchor Points'!$E$7-'Anchor Points'!$E$6),IF(A28&lt;=90,'Anchor Points'!$E$7+(A28-'Anchor Points'!$A$7)/('Anchor Points'!$A$8-'Anchor Points'!$A$7)*('Anchor Points'!$E$8-'Anchor Points'!$E$7),'Anchor Points'!$E$8+(A28-'Anchor Points'!$A$8)/('Anchor Points'!$A$9-'Anchor Points'!$A$8)*('Anchor Points'!$E$9-'Anchor Points'!$E$8)))))))</x:f>
        <x:v>0</x:v>
      </x:c>
      <x:c r="H28" s="30" t="n">
        <x:f>ROUND(G28,0)</x:f>
        <x:v>0</x:v>
      </x:c>
      <x:c r="I28" s="28" t="n">
        <x:f>IF(A28&lt;=15,'Anchor Points'!$F$2+(A28-'Anchor Points'!$A$2)/('Anchor Points'!$A$3-'Anchor Points'!$A$2)*('Anchor Points'!$F$3-'Anchor Points'!$F$2),IF(A28&lt;=25,'Anchor Points'!$F$3+(A28-'Anchor Points'!$A$3)/('Anchor Points'!$A$4-'Anchor Points'!$A$3)*('Anchor Points'!$F$4-'Anchor Points'!$F$3),IF(A28&lt;=40,'Anchor Points'!$F$4+(A28-'Anchor Points'!$A$4)/('Anchor Points'!$A$5-'Anchor Points'!$A$4)*('Anchor Points'!$F$5-'Anchor Points'!$F$4),IF(A28&lt;=55,'Anchor Points'!$F$5+(A28-'Anchor Points'!$A$5)/('Anchor Points'!$A$6-'Anchor Points'!$A$5)*('Anchor Points'!$F$6-'Anchor Points'!$F$5),IF(A28&lt;=70,'Anchor Points'!$F$6+(A28-'Anchor Points'!$A$6)/('Anchor Points'!$A$7-'Anchor Points'!$A$6)*('Anchor Points'!$F$7-'Anchor Points'!$F$6),IF(A28&lt;=90,'Anchor Points'!$F$7+(A28-'Anchor Points'!$A$7)/('Anchor Points'!$A$8-'Anchor Points'!$A$7)*('Anchor Points'!$F$8-'Anchor Points'!$F$7),'Anchor Points'!$F$8+(A28-'Anchor Points'!$A$8)/('Anchor Points'!$A$9-'Anchor Points'!$A$8)*('Anchor Points'!$F$9-'Anchor Points'!$F$8)))))))</x:f>
        <x:v>0</x:v>
      </x:c>
      <x:c r="K28" s="36" t="n">
        <x:f>A4</x:f>
        <x:v>2</x:v>
      </x:c>
      <x:c r="L28" s="36" t="n">
        <x:f>E4</x:f>
        <x:v>0</x:v>
      </x:c>
      <x:c r="M28" s="36" t="n">
        <x:f>G4</x:f>
        <x:v>0</x:v>
      </x:c>
      <x:c r="N28" s="36" t="n">
        <x:f>I4</x:f>
        <x:v>0</x:v>
      </x:c>
    </x:row>
    <x:row r="29">
      <x:c r="A29" s="30" t="n">
        <x:v>27</x:v>
      </x:c>
      <x:c r="B29" s="11" t="str">
        <x:f>IF(A29&lt;=15,"Seedling",IF(A29&lt;=25,"Establishment",IF(A29&lt;=40,"Vegetative Growth",IF(A29&lt;=55,"Flowering &amp; Initial Fruit Set",IF(A29&lt;=80,"Fruit Enlargement",IF(A29&lt;=95,"Ripening","Harvesting"))))))</x:f>
        <x:v>Vegetative Growth</x:v>
      </x:c>
      <x:c r="C29" s="28" t="n">
        <x:f>IF(A29&lt;=15,'Anchor Points'!$B$2+(A29-'Anchor Points'!$A$2)/('Anchor Points'!$A$3-'Anchor Points'!$A$2)*('Anchor Points'!$B$3-'Anchor Points'!$B$2),IF(A29&lt;=25,'Anchor Points'!$B$3+(A29-'Anchor Points'!$A$3)/('Anchor Points'!$A$4-'Anchor Points'!$A$3)*('Anchor Points'!$B$4-'Anchor Points'!$B$3),IF(A29&lt;=40,'Anchor Points'!$B$4+(A29-'Anchor Points'!$A$4)/('Anchor Points'!$A$5-'Anchor Points'!$A$4)*('Anchor Points'!$B$5-'Anchor Points'!$B$4),IF(A29&lt;=55,'Anchor Points'!$B$5+(A29-'Anchor Points'!$A$5)/('Anchor Points'!$A$6-'Anchor Points'!$A$5)*('Anchor Points'!$B$6-'Anchor Points'!$B$5),IF(A29&lt;=70,'Anchor Points'!$B$6+(A29-'Anchor Points'!$A$6)/('Anchor Points'!$A$7-'Anchor Points'!$A$6)*('Anchor Points'!$B$7-'Anchor Points'!$B$6),IF(A29&lt;=90,'Anchor Points'!$B$7+(A29-'Anchor Points'!$A$7)/('Anchor Points'!$A$8-'Anchor Points'!$A$7)*('Anchor Points'!$B$8-'Anchor Points'!$B$7),'Anchor Points'!$B$8+(A29-'Anchor Points'!$A$8)/('Anchor Points'!$A$9-'Anchor Points'!$A$8)*('Anchor Points'!$B$9-'Anchor Points'!$B$8)))))))</x:f>
        <x:v>22.4</x:v>
      </x:c>
      <x:c r="D29" s="28" t="n">
        <x:f>IF(A29&lt;=15,'Anchor Points'!$C$2+(A29-'Anchor Points'!$A$2)/('Anchor Points'!$A$3-'Anchor Points'!$A$2)*('Anchor Points'!$C$3-'Anchor Points'!$C$2),IF(A29&lt;=25,'Anchor Points'!$C$3+(A29-'Anchor Points'!$A$3)/('Anchor Points'!$A$4-'Anchor Points'!$A$3)*('Anchor Points'!$C$4-'Anchor Points'!$C$3),IF(A29&lt;=40,'Anchor Points'!$C$4+(A29-'Anchor Points'!$A$4)/('Anchor Points'!$A$5-'Anchor Points'!$A$4)*('Anchor Points'!$C$5-'Anchor Points'!$C$4),IF(A29&lt;=55,'Anchor Points'!$C$5+(A29-'Anchor Points'!$A$5)/('Anchor Points'!$A$6-'Anchor Points'!$A$5)*('Anchor Points'!$C$6-'Anchor Points'!$C$5),IF(A29&lt;=70,'Anchor Points'!$C$6+(A29-'Anchor Points'!$A$6)/('Anchor Points'!$A$7-'Anchor Points'!$A$6)*('Anchor Points'!$C$7-'Anchor Points'!$C$6),IF(A29&lt;=90,'Anchor Points'!$C$7+(A29-'Anchor Points'!$A$7)/('Anchor Points'!$A$8-'Anchor Points'!$A$7)*('Anchor Points'!$C$8-'Anchor Points'!$C$7),'Anchor Points'!$C$8+(A29-'Anchor Points'!$A$8)/('Anchor Points'!$A$9-'Anchor Points'!$A$8)*('Anchor Points'!$C$9-'Anchor Points'!$C$8)))))))</x:f>
        <x:v>12</x:v>
      </x:c>
      <x:c r="E29" s="28" t="n">
        <x:f>IF(A29&lt;=15,'Anchor Points'!$D$2+(A29-'Anchor Points'!$A$2)/('Anchor Points'!$A$3-'Anchor Points'!$A$2)*('Anchor Points'!$D$3-'Anchor Points'!$D$2),IF(A29&lt;=25,'Anchor Points'!$D$3+(A29-'Anchor Points'!$A$3)/('Anchor Points'!$A$4-'Anchor Points'!$A$3)*('Anchor Points'!$D$4-'Anchor Points'!$D$3),IF(A29&lt;=40,'Anchor Points'!$D$4+(A29-'Anchor Points'!$A$4)/('Anchor Points'!$A$5-'Anchor Points'!$A$4)*('Anchor Points'!$D$5-'Anchor Points'!$D$4),IF(A29&lt;=55,'Anchor Points'!$D$5+(A29-'Anchor Points'!$A$5)/('Anchor Points'!$A$6-'Anchor Points'!$A$5)*('Anchor Points'!$D$6-'Anchor Points'!$D$5),IF(A29&lt;=70,'Anchor Points'!$D$6+(A29-'Anchor Points'!$A$6)/('Anchor Points'!$A$7-'Anchor Points'!$A$6)*('Anchor Points'!$D$7-'Anchor Points'!$D$6),IF(A29&lt;=90,'Anchor Points'!$D$7+(A29-'Anchor Points'!$A$7)/('Anchor Points'!$A$8-'Anchor Points'!$A$7)*('Anchor Points'!$D$8-'Anchor Points'!$D$7),'Anchor Points'!$D$8+(A29-'Anchor Points'!$A$8)/('Anchor Points'!$A$9-'Anchor Points'!$A$8)*('Anchor Points'!$D$9-'Anchor Points'!$D$8)))))))</x:f>
        <x:v>0.26666666666666666</x:v>
      </x:c>
      <x:c r="F29" s="30" t="n">
        <x:f>ROUND(E29,0)</x:f>
        <x:v>0</x:v>
      </x:c>
      <x:c r="G29" s="28" t="n">
        <x:f>IF(A29&lt;=15,'Anchor Points'!$E$2+(A29-'Anchor Points'!$A$2)/('Anchor Points'!$A$3-'Anchor Points'!$A$2)*('Anchor Points'!$E$3-'Anchor Points'!$E$2),IF(A29&lt;=25,'Anchor Points'!$E$3+(A29-'Anchor Points'!$A$3)/('Anchor Points'!$A$4-'Anchor Points'!$A$3)*('Anchor Points'!$E$4-'Anchor Points'!$E$3),IF(A29&lt;=40,'Anchor Points'!$E$4+(A29-'Anchor Points'!$A$4)/('Anchor Points'!$A$5-'Anchor Points'!$A$4)*('Anchor Points'!$E$5-'Anchor Points'!$E$4),IF(A29&lt;=55,'Anchor Points'!$E$5+(A29-'Anchor Points'!$A$5)/('Anchor Points'!$A$6-'Anchor Points'!$A$5)*('Anchor Points'!$E$6-'Anchor Points'!$E$5),IF(A29&lt;=70,'Anchor Points'!$E$6+(A29-'Anchor Points'!$A$6)/('Anchor Points'!$A$7-'Anchor Points'!$A$6)*('Anchor Points'!$E$7-'Anchor Points'!$E$6),IF(A29&lt;=90,'Anchor Points'!$E$7+(A29-'Anchor Points'!$A$7)/('Anchor Points'!$A$8-'Anchor Points'!$A$7)*('Anchor Points'!$E$8-'Anchor Points'!$E$7),'Anchor Points'!$E$8+(A29-'Anchor Points'!$A$8)/('Anchor Points'!$A$9-'Anchor Points'!$A$8)*('Anchor Points'!$E$9-'Anchor Points'!$E$8)))))))</x:f>
        <x:v>0</x:v>
      </x:c>
      <x:c r="H29" s="30" t="n">
        <x:f>ROUND(G29,0)</x:f>
        <x:v>0</x:v>
      </x:c>
      <x:c r="I29" s="28" t="n">
        <x:f>IF(A29&lt;=15,'Anchor Points'!$F$2+(A29-'Anchor Points'!$A$2)/('Anchor Points'!$A$3-'Anchor Points'!$A$2)*('Anchor Points'!$F$3-'Anchor Points'!$F$2),IF(A29&lt;=25,'Anchor Points'!$F$3+(A29-'Anchor Points'!$A$3)/('Anchor Points'!$A$4-'Anchor Points'!$A$3)*('Anchor Points'!$F$4-'Anchor Points'!$F$3),IF(A29&lt;=40,'Anchor Points'!$F$4+(A29-'Anchor Points'!$A$4)/('Anchor Points'!$A$5-'Anchor Points'!$A$4)*('Anchor Points'!$F$5-'Anchor Points'!$F$4),IF(A29&lt;=55,'Anchor Points'!$F$5+(A29-'Anchor Points'!$A$5)/('Anchor Points'!$A$6-'Anchor Points'!$A$5)*('Anchor Points'!$F$6-'Anchor Points'!$F$5),IF(A29&lt;=70,'Anchor Points'!$F$6+(A29-'Anchor Points'!$A$6)/('Anchor Points'!$A$7-'Anchor Points'!$A$6)*('Anchor Points'!$F$7-'Anchor Points'!$F$6),IF(A29&lt;=90,'Anchor Points'!$F$7+(A29-'Anchor Points'!$A$7)/('Anchor Points'!$A$8-'Anchor Points'!$A$7)*('Anchor Points'!$F$8-'Anchor Points'!$F$7),'Anchor Points'!$F$8+(A29-'Anchor Points'!$A$8)/('Anchor Points'!$A$9-'Anchor Points'!$A$8)*('Anchor Points'!$F$9-'Anchor Points'!$F$8)))))))</x:f>
        <x:v>0</x:v>
      </x:c>
      <x:c r="K29" s="36" t="n">
        <x:f>A5</x:f>
        <x:v>3</x:v>
      </x:c>
      <x:c r="L29" s="36" t="n">
        <x:f>E5</x:f>
        <x:v>0</x:v>
      </x:c>
      <x:c r="M29" s="36" t="n">
        <x:f>G5</x:f>
        <x:v>0</x:v>
      </x:c>
      <x:c r="N29" s="36" t="n">
        <x:f>I5</x:f>
        <x:v>0</x:v>
      </x:c>
    </x:row>
    <x:row r="30">
      <x:c r="A30" s="30" t="n">
        <x:v>28</x:v>
      </x:c>
      <x:c r="B30" s="11" t="str">
        <x:f>IF(A30&lt;=15,"Seedling",IF(A30&lt;=25,"Establishment",IF(A30&lt;=40,"Vegetative Growth",IF(A30&lt;=55,"Flowering &amp; Initial Fruit Set",IF(A30&lt;=80,"Fruit Enlargement",IF(A30&lt;=95,"Ripening","Harvesting"))))))</x:f>
        <x:v>Vegetative Growth</x:v>
      </x:c>
      <x:c r="C30" s="28" t="n">
        <x:f>IF(A30&lt;=15,'Anchor Points'!$B$2+(A30-'Anchor Points'!$A$2)/('Anchor Points'!$A$3-'Anchor Points'!$A$2)*('Anchor Points'!$B$3-'Anchor Points'!$B$2),IF(A30&lt;=25,'Anchor Points'!$B$3+(A30-'Anchor Points'!$A$3)/('Anchor Points'!$A$4-'Anchor Points'!$A$3)*('Anchor Points'!$B$4-'Anchor Points'!$B$3),IF(A30&lt;=40,'Anchor Points'!$B$4+(A30-'Anchor Points'!$A$4)/('Anchor Points'!$A$5-'Anchor Points'!$A$4)*('Anchor Points'!$B$5-'Anchor Points'!$B$4),IF(A30&lt;=55,'Anchor Points'!$B$5+(A30-'Anchor Points'!$A$5)/('Anchor Points'!$A$6-'Anchor Points'!$A$5)*('Anchor Points'!$B$6-'Anchor Points'!$B$5),IF(A30&lt;=70,'Anchor Points'!$B$6+(A30-'Anchor Points'!$A$6)/('Anchor Points'!$A$7-'Anchor Points'!$A$6)*('Anchor Points'!$B$7-'Anchor Points'!$B$6),IF(A30&lt;=90,'Anchor Points'!$B$7+(A30-'Anchor Points'!$A$7)/('Anchor Points'!$A$8-'Anchor Points'!$A$7)*('Anchor Points'!$B$8-'Anchor Points'!$B$7),'Anchor Points'!$B$8+(A30-'Anchor Points'!$A$8)/('Anchor Points'!$A$9-'Anchor Points'!$A$8)*('Anchor Points'!$B$9-'Anchor Points'!$B$8)))))))</x:f>
        <x:v>23.6</x:v>
      </x:c>
      <x:c r="D30" s="28" t="n">
        <x:f>IF(A30&lt;=15,'Anchor Points'!$C$2+(A30-'Anchor Points'!$A$2)/('Anchor Points'!$A$3-'Anchor Points'!$A$2)*('Anchor Points'!$C$3-'Anchor Points'!$C$2),IF(A30&lt;=25,'Anchor Points'!$C$3+(A30-'Anchor Points'!$A$3)/('Anchor Points'!$A$4-'Anchor Points'!$A$3)*('Anchor Points'!$C$4-'Anchor Points'!$C$3),IF(A30&lt;=40,'Anchor Points'!$C$4+(A30-'Anchor Points'!$A$4)/('Anchor Points'!$A$5-'Anchor Points'!$A$4)*('Anchor Points'!$C$5-'Anchor Points'!$C$4),IF(A30&lt;=55,'Anchor Points'!$C$5+(A30-'Anchor Points'!$A$5)/('Anchor Points'!$A$6-'Anchor Points'!$A$5)*('Anchor Points'!$C$6-'Anchor Points'!$C$5),IF(A30&lt;=70,'Anchor Points'!$C$6+(A30-'Anchor Points'!$A$6)/('Anchor Points'!$A$7-'Anchor Points'!$A$6)*('Anchor Points'!$C$7-'Anchor Points'!$C$6),IF(A30&lt;=90,'Anchor Points'!$C$7+(A30-'Anchor Points'!$A$7)/('Anchor Points'!$A$8-'Anchor Points'!$A$7)*('Anchor Points'!$C$8-'Anchor Points'!$C$7),'Anchor Points'!$C$8+(A30-'Anchor Points'!$A$8)/('Anchor Points'!$A$9-'Anchor Points'!$A$8)*('Anchor Points'!$C$9-'Anchor Points'!$C$8)))))))</x:f>
        <x:v>13</x:v>
      </x:c>
      <x:c r="E30" s="28" t="n">
        <x:f>IF(A30&lt;=15,'Anchor Points'!$D$2+(A30-'Anchor Points'!$A$2)/('Anchor Points'!$A$3-'Anchor Points'!$A$2)*('Anchor Points'!$D$3-'Anchor Points'!$D$2),IF(A30&lt;=25,'Anchor Points'!$D$3+(A30-'Anchor Points'!$A$3)/('Anchor Points'!$A$4-'Anchor Points'!$A$3)*('Anchor Points'!$D$4-'Anchor Points'!$D$3),IF(A30&lt;=40,'Anchor Points'!$D$4+(A30-'Anchor Points'!$A$4)/('Anchor Points'!$A$5-'Anchor Points'!$A$4)*('Anchor Points'!$D$5-'Anchor Points'!$D$4),IF(A30&lt;=55,'Anchor Points'!$D$5+(A30-'Anchor Points'!$A$5)/('Anchor Points'!$A$6-'Anchor Points'!$A$5)*('Anchor Points'!$D$6-'Anchor Points'!$D$5),IF(A30&lt;=70,'Anchor Points'!$D$6+(A30-'Anchor Points'!$A$6)/('Anchor Points'!$A$7-'Anchor Points'!$A$6)*('Anchor Points'!$D$7-'Anchor Points'!$D$6),IF(A30&lt;=90,'Anchor Points'!$D$7+(A30-'Anchor Points'!$A$7)/('Anchor Points'!$A$8-'Anchor Points'!$A$7)*('Anchor Points'!$D$8-'Anchor Points'!$D$7),'Anchor Points'!$D$8+(A30-'Anchor Points'!$A$8)/('Anchor Points'!$A$9-'Anchor Points'!$A$8)*('Anchor Points'!$D$9-'Anchor Points'!$D$8)))))))</x:f>
        <x:v>0.4</x:v>
      </x:c>
      <x:c r="F30" s="30" t="n">
        <x:f>ROUND(E30,0)</x:f>
        <x:v>0</x:v>
      </x:c>
      <x:c r="G30" s="28" t="n">
        <x:f>IF(A30&lt;=15,'Anchor Points'!$E$2+(A30-'Anchor Points'!$A$2)/('Anchor Points'!$A$3-'Anchor Points'!$A$2)*('Anchor Points'!$E$3-'Anchor Points'!$E$2),IF(A30&lt;=25,'Anchor Points'!$E$3+(A30-'Anchor Points'!$A$3)/('Anchor Points'!$A$4-'Anchor Points'!$A$3)*('Anchor Points'!$E$4-'Anchor Points'!$E$3),IF(A30&lt;=40,'Anchor Points'!$E$4+(A30-'Anchor Points'!$A$4)/('Anchor Points'!$A$5-'Anchor Points'!$A$4)*('Anchor Points'!$E$5-'Anchor Points'!$E$4),IF(A30&lt;=55,'Anchor Points'!$E$5+(A30-'Anchor Points'!$A$5)/('Anchor Points'!$A$6-'Anchor Points'!$A$5)*('Anchor Points'!$E$6-'Anchor Points'!$E$5),IF(A30&lt;=70,'Anchor Points'!$E$6+(A30-'Anchor Points'!$A$6)/('Anchor Points'!$A$7-'Anchor Points'!$A$6)*('Anchor Points'!$E$7-'Anchor Points'!$E$6),IF(A30&lt;=90,'Anchor Points'!$E$7+(A30-'Anchor Points'!$A$7)/('Anchor Points'!$A$8-'Anchor Points'!$A$7)*('Anchor Points'!$E$8-'Anchor Points'!$E$7),'Anchor Points'!$E$8+(A30-'Anchor Points'!$A$8)/('Anchor Points'!$A$9-'Anchor Points'!$A$8)*('Anchor Points'!$E$9-'Anchor Points'!$E$8)))))))</x:f>
        <x:v>0</x:v>
      </x:c>
      <x:c r="H30" s="30" t="n">
        <x:f>ROUND(G30,0)</x:f>
        <x:v>0</x:v>
      </x:c>
      <x:c r="I30" s="28" t="n">
        <x:f>IF(A30&lt;=15,'Anchor Points'!$F$2+(A30-'Anchor Points'!$A$2)/('Anchor Points'!$A$3-'Anchor Points'!$A$2)*('Anchor Points'!$F$3-'Anchor Points'!$F$2),IF(A30&lt;=25,'Anchor Points'!$F$3+(A30-'Anchor Points'!$A$3)/('Anchor Points'!$A$4-'Anchor Points'!$A$3)*('Anchor Points'!$F$4-'Anchor Points'!$F$3),IF(A30&lt;=40,'Anchor Points'!$F$4+(A30-'Anchor Points'!$A$4)/('Anchor Points'!$A$5-'Anchor Points'!$A$4)*('Anchor Points'!$F$5-'Anchor Points'!$F$4),IF(A30&lt;=55,'Anchor Points'!$F$5+(A30-'Anchor Points'!$A$5)/('Anchor Points'!$A$6-'Anchor Points'!$A$5)*('Anchor Points'!$F$6-'Anchor Points'!$F$5),IF(A30&lt;=70,'Anchor Points'!$F$6+(A30-'Anchor Points'!$A$6)/('Anchor Points'!$A$7-'Anchor Points'!$A$6)*('Anchor Points'!$F$7-'Anchor Points'!$F$6),IF(A30&lt;=90,'Anchor Points'!$F$7+(A30-'Anchor Points'!$A$7)/('Anchor Points'!$A$8-'Anchor Points'!$A$7)*('Anchor Points'!$F$8-'Anchor Points'!$F$7),'Anchor Points'!$F$8+(A30-'Anchor Points'!$A$8)/('Anchor Points'!$A$9-'Anchor Points'!$A$8)*('Anchor Points'!$F$9-'Anchor Points'!$F$8)))))))</x:f>
        <x:v>0</x:v>
      </x:c>
      <x:c r="K30" s="36" t="n">
        <x:f>A6</x:f>
        <x:v>4</x:v>
      </x:c>
      <x:c r="L30" s="36" t="n">
        <x:f>E6</x:f>
        <x:v>0</x:v>
      </x:c>
      <x:c r="M30" s="36" t="n">
        <x:f>G6</x:f>
        <x:v>0</x:v>
      </x:c>
      <x:c r="N30" s="36" t="n">
        <x:f>I6</x:f>
        <x:v>0</x:v>
      </x:c>
    </x:row>
    <x:row r="31">
      <x:c r="A31" s="30" t="n">
        <x:v>29</x:v>
      </x:c>
      <x:c r="B31" s="11" t="str">
        <x:f>IF(A31&lt;=15,"Seedling",IF(A31&lt;=25,"Establishment",IF(A31&lt;=40,"Vegetative Growth",IF(A31&lt;=55,"Flowering &amp; Initial Fruit Set",IF(A31&lt;=80,"Fruit Enlargement",IF(A31&lt;=95,"Ripening","Harvesting"))))))</x:f>
        <x:v>Vegetative Growth</x:v>
      </x:c>
      <x:c r="C31" s="28" t="n">
        <x:f>IF(A31&lt;=15,'Anchor Points'!$B$2+(A31-'Anchor Points'!$A$2)/('Anchor Points'!$A$3-'Anchor Points'!$A$2)*('Anchor Points'!$B$3-'Anchor Points'!$B$2),IF(A31&lt;=25,'Anchor Points'!$B$3+(A31-'Anchor Points'!$A$3)/('Anchor Points'!$A$4-'Anchor Points'!$A$3)*('Anchor Points'!$B$4-'Anchor Points'!$B$3),IF(A31&lt;=40,'Anchor Points'!$B$4+(A31-'Anchor Points'!$A$4)/('Anchor Points'!$A$5-'Anchor Points'!$A$4)*('Anchor Points'!$B$5-'Anchor Points'!$B$4),IF(A31&lt;=55,'Anchor Points'!$B$5+(A31-'Anchor Points'!$A$5)/('Anchor Points'!$A$6-'Anchor Points'!$A$5)*('Anchor Points'!$B$6-'Anchor Points'!$B$5),IF(A31&lt;=70,'Anchor Points'!$B$6+(A31-'Anchor Points'!$A$6)/('Anchor Points'!$A$7-'Anchor Points'!$A$6)*('Anchor Points'!$B$7-'Anchor Points'!$B$6),IF(A31&lt;=90,'Anchor Points'!$B$7+(A31-'Anchor Points'!$A$7)/('Anchor Points'!$A$8-'Anchor Points'!$A$7)*('Anchor Points'!$B$8-'Anchor Points'!$B$7),'Anchor Points'!$B$8+(A31-'Anchor Points'!$A$8)/('Anchor Points'!$A$9-'Anchor Points'!$A$8)*('Anchor Points'!$B$9-'Anchor Points'!$B$8)))))))</x:f>
        <x:v>24.8</x:v>
      </x:c>
      <x:c r="D31" s="28" t="n">
        <x:f>IF(A31&lt;=15,'Anchor Points'!$C$2+(A31-'Anchor Points'!$A$2)/('Anchor Points'!$A$3-'Anchor Points'!$A$2)*('Anchor Points'!$C$3-'Anchor Points'!$C$2),IF(A31&lt;=25,'Anchor Points'!$C$3+(A31-'Anchor Points'!$A$3)/('Anchor Points'!$A$4-'Anchor Points'!$A$3)*('Anchor Points'!$C$4-'Anchor Points'!$C$3),IF(A31&lt;=40,'Anchor Points'!$C$4+(A31-'Anchor Points'!$A$4)/('Anchor Points'!$A$5-'Anchor Points'!$A$4)*('Anchor Points'!$C$5-'Anchor Points'!$C$4),IF(A31&lt;=55,'Anchor Points'!$C$5+(A31-'Anchor Points'!$A$5)/('Anchor Points'!$A$6-'Anchor Points'!$A$5)*('Anchor Points'!$C$6-'Anchor Points'!$C$5),IF(A31&lt;=70,'Anchor Points'!$C$6+(A31-'Anchor Points'!$A$6)/('Anchor Points'!$A$7-'Anchor Points'!$A$6)*('Anchor Points'!$C$7-'Anchor Points'!$C$6),IF(A31&lt;=90,'Anchor Points'!$C$7+(A31-'Anchor Points'!$A$7)/('Anchor Points'!$A$8-'Anchor Points'!$A$7)*('Anchor Points'!$C$8-'Anchor Points'!$C$7),'Anchor Points'!$C$8+(A31-'Anchor Points'!$A$8)/('Anchor Points'!$A$9-'Anchor Points'!$A$8)*('Anchor Points'!$C$9-'Anchor Points'!$C$8)))))))</x:f>
        <x:v>14</x:v>
      </x:c>
      <x:c r="E31" s="28" t="n">
        <x:f>IF(A31&lt;=15,'Anchor Points'!$D$2+(A31-'Anchor Points'!$A$2)/('Anchor Points'!$A$3-'Anchor Points'!$A$2)*('Anchor Points'!$D$3-'Anchor Points'!$D$2),IF(A31&lt;=25,'Anchor Points'!$D$3+(A31-'Anchor Points'!$A$3)/('Anchor Points'!$A$4-'Anchor Points'!$A$3)*('Anchor Points'!$D$4-'Anchor Points'!$D$3),IF(A31&lt;=40,'Anchor Points'!$D$4+(A31-'Anchor Points'!$A$4)/('Anchor Points'!$A$5-'Anchor Points'!$A$4)*('Anchor Points'!$D$5-'Anchor Points'!$D$4),IF(A31&lt;=55,'Anchor Points'!$D$5+(A31-'Anchor Points'!$A$5)/('Anchor Points'!$A$6-'Anchor Points'!$A$5)*('Anchor Points'!$D$6-'Anchor Points'!$D$5),IF(A31&lt;=70,'Anchor Points'!$D$6+(A31-'Anchor Points'!$A$6)/('Anchor Points'!$A$7-'Anchor Points'!$A$6)*('Anchor Points'!$D$7-'Anchor Points'!$D$6),IF(A31&lt;=90,'Anchor Points'!$D$7+(A31-'Anchor Points'!$A$7)/('Anchor Points'!$A$8-'Anchor Points'!$A$7)*('Anchor Points'!$D$8-'Anchor Points'!$D$7),'Anchor Points'!$D$8+(A31-'Anchor Points'!$A$8)/('Anchor Points'!$A$9-'Anchor Points'!$A$8)*('Anchor Points'!$D$9-'Anchor Points'!$D$8)))))))</x:f>
        <x:v>0.5333333333333333</x:v>
      </x:c>
      <x:c r="F31" s="30" t="n">
        <x:f>ROUND(E31,0)</x:f>
        <x:v>1</x:v>
      </x:c>
      <x:c r="G31" s="28" t="n">
        <x:f>IF(A31&lt;=15,'Anchor Points'!$E$2+(A31-'Anchor Points'!$A$2)/('Anchor Points'!$A$3-'Anchor Points'!$A$2)*('Anchor Points'!$E$3-'Anchor Points'!$E$2),IF(A31&lt;=25,'Anchor Points'!$E$3+(A31-'Anchor Points'!$A$3)/('Anchor Points'!$A$4-'Anchor Points'!$A$3)*('Anchor Points'!$E$4-'Anchor Points'!$E$3),IF(A31&lt;=40,'Anchor Points'!$E$4+(A31-'Anchor Points'!$A$4)/('Anchor Points'!$A$5-'Anchor Points'!$A$4)*('Anchor Points'!$E$5-'Anchor Points'!$E$4),IF(A31&lt;=55,'Anchor Points'!$E$5+(A31-'Anchor Points'!$A$5)/('Anchor Points'!$A$6-'Anchor Points'!$A$5)*('Anchor Points'!$E$6-'Anchor Points'!$E$5),IF(A31&lt;=70,'Anchor Points'!$E$6+(A31-'Anchor Points'!$A$6)/('Anchor Points'!$A$7-'Anchor Points'!$A$6)*('Anchor Points'!$E$7-'Anchor Points'!$E$6),IF(A31&lt;=90,'Anchor Points'!$E$7+(A31-'Anchor Points'!$A$7)/('Anchor Points'!$A$8-'Anchor Points'!$A$7)*('Anchor Points'!$E$8-'Anchor Points'!$E$7),'Anchor Points'!$E$8+(A31-'Anchor Points'!$A$8)/('Anchor Points'!$A$9-'Anchor Points'!$A$8)*('Anchor Points'!$E$9-'Anchor Points'!$E$8)))))))</x:f>
        <x:v>0</x:v>
      </x:c>
      <x:c r="H31" s="30" t="n">
        <x:f>ROUND(G31,0)</x:f>
        <x:v>0</x:v>
      </x:c>
      <x:c r="I31" s="28" t="n">
        <x:f>IF(A31&lt;=15,'Anchor Points'!$F$2+(A31-'Anchor Points'!$A$2)/('Anchor Points'!$A$3-'Anchor Points'!$A$2)*('Anchor Points'!$F$3-'Anchor Points'!$F$2),IF(A31&lt;=25,'Anchor Points'!$F$3+(A31-'Anchor Points'!$A$3)/('Anchor Points'!$A$4-'Anchor Points'!$A$3)*('Anchor Points'!$F$4-'Anchor Points'!$F$3),IF(A31&lt;=40,'Anchor Points'!$F$4+(A31-'Anchor Points'!$A$4)/('Anchor Points'!$A$5-'Anchor Points'!$A$4)*('Anchor Points'!$F$5-'Anchor Points'!$F$4),IF(A31&lt;=55,'Anchor Points'!$F$5+(A31-'Anchor Points'!$A$5)/('Anchor Points'!$A$6-'Anchor Points'!$A$5)*('Anchor Points'!$F$6-'Anchor Points'!$F$5),IF(A31&lt;=70,'Anchor Points'!$F$6+(A31-'Anchor Points'!$A$6)/('Anchor Points'!$A$7-'Anchor Points'!$A$6)*('Anchor Points'!$F$7-'Anchor Points'!$F$6),IF(A31&lt;=90,'Anchor Points'!$F$7+(A31-'Anchor Points'!$A$7)/('Anchor Points'!$A$8-'Anchor Points'!$A$7)*('Anchor Points'!$F$8-'Anchor Points'!$F$7),'Anchor Points'!$F$8+(A31-'Anchor Points'!$A$8)/('Anchor Points'!$A$9-'Anchor Points'!$A$8)*('Anchor Points'!$F$9-'Anchor Points'!$F$8)))))))</x:f>
        <x:v>0</x:v>
      </x:c>
      <x:c r="K31" s="36" t="n">
        <x:f>A7</x:f>
        <x:v>5</x:v>
      </x:c>
      <x:c r="L31" s="36" t="n">
        <x:f>E7</x:f>
        <x:v>0</x:v>
      </x:c>
      <x:c r="M31" s="36" t="n">
        <x:f>G7</x:f>
        <x:v>0</x:v>
      </x:c>
      <x:c r="N31" s="36" t="n">
        <x:f>I7</x:f>
        <x:v>0</x:v>
      </x:c>
    </x:row>
    <x:row r="32">
      <x:c r="A32" s="30" t="n">
        <x:v>30</x:v>
      </x:c>
      <x:c r="B32" s="11" t="str">
        <x:f>IF(A32&lt;=15,"Seedling",IF(A32&lt;=25,"Establishment",IF(A32&lt;=40,"Vegetative Growth",IF(A32&lt;=55,"Flowering &amp; Initial Fruit Set",IF(A32&lt;=80,"Fruit Enlargement",IF(A32&lt;=95,"Ripening","Harvesting"))))))</x:f>
        <x:v>Vegetative Growth</x:v>
      </x:c>
      <x:c r="C32" s="28" t="n">
        <x:f>IF(A32&lt;=15,'Anchor Points'!$B$2+(A32-'Anchor Points'!$A$2)/('Anchor Points'!$A$3-'Anchor Points'!$A$2)*('Anchor Points'!$B$3-'Anchor Points'!$B$2),IF(A32&lt;=25,'Anchor Points'!$B$3+(A32-'Anchor Points'!$A$3)/('Anchor Points'!$A$4-'Anchor Points'!$A$3)*('Anchor Points'!$B$4-'Anchor Points'!$B$3),IF(A32&lt;=40,'Anchor Points'!$B$4+(A32-'Anchor Points'!$A$4)/('Anchor Points'!$A$5-'Anchor Points'!$A$4)*('Anchor Points'!$B$5-'Anchor Points'!$B$4),IF(A32&lt;=55,'Anchor Points'!$B$5+(A32-'Anchor Points'!$A$5)/('Anchor Points'!$A$6-'Anchor Points'!$A$5)*('Anchor Points'!$B$6-'Anchor Points'!$B$5),IF(A32&lt;=70,'Anchor Points'!$B$6+(A32-'Anchor Points'!$A$6)/('Anchor Points'!$A$7-'Anchor Points'!$A$6)*('Anchor Points'!$B$7-'Anchor Points'!$B$6),IF(A32&lt;=90,'Anchor Points'!$B$7+(A32-'Anchor Points'!$A$7)/('Anchor Points'!$A$8-'Anchor Points'!$A$7)*('Anchor Points'!$B$8-'Anchor Points'!$B$7),'Anchor Points'!$B$8+(A32-'Anchor Points'!$A$8)/('Anchor Points'!$A$9-'Anchor Points'!$A$8)*('Anchor Points'!$B$9-'Anchor Points'!$B$8)))))))</x:f>
        <x:v>26</x:v>
      </x:c>
      <x:c r="D32" s="28" t="n">
        <x:f>IF(A32&lt;=15,'Anchor Points'!$C$2+(A32-'Anchor Points'!$A$2)/('Anchor Points'!$A$3-'Anchor Points'!$A$2)*('Anchor Points'!$C$3-'Anchor Points'!$C$2),IF(A32&lt;=25,'Anchor Points'!$C$3+(A32-'Anchor Points'!$A$3)/('Anchor Points'!$A$4-'Anchor Points'!$A$3)*('Anchor Points'!$C$4-'Anchor Points'!$C$3),IF(A32&lt;=40,'Anchor Points'!$C$4+(A32-'Anchor Points'!$A$4)/('Anchor Points'!$A$5-'Anchor Points'!$A$4)*('Anchor Points'!$C$5-'Anchor Points'!$C$4),IF(A32&lt;=55,'Anchor Points'!$C$5+(A32-'Anchor Points'!$A$5)/('Anchor Points'!$A$6-'Anchor Points'!$A$5)*('Anchor Points'!$C$6-'Anchor Points'!$C$5),IF(A32&lt;=70,'Anchor Points'!$C$6+(A32-'Anchor Points'!$A$6)/('Anchor Points'!$A$7-'Anchor Points'!$A$6)*('Anchor Points'!$C$7-'Anchor Points'!$C$6),IF(A32&lt;=90,'Anchor Points'!$C$7+(A32-'Anchor Points'!$A$7)/('Anchor Points'!$A$8-'Anchor Points'!$A$7)*('Anchor Points'!$C$8-'Anchor Points'!$C$7),'Anchor Points'!$C$8+(A32-'Anchor Points'!$A$8)/('Anchor Points'!$A$9-'Anchor Points'!$A$8)*('Anchor Points'!$C$9-'Anchor Points'!$C$8)))))))</x:f>
        <x:v>15</x:v>
      </x:c>
      <x:c r="E32" s="28" t="n">
        <x:f>IF(A32&lt;=15,'Anchor Points'!$D$2+(A32-'Anchor Points'!$A$2)/('Anchor Points'!$A$3-'Anchor Points'!$A$2)*('Anchor Points'!$D$3-'Anchor Points'!$D$2),IF(A32&lt;=25,'Anchor Points'!$D$3+(A32-'Anchor Points'!$A$3)/('Anchor Points'!$A$4-'Anchor Points'!$A$3)*('Anchor Points'!$D$4-'Anchor Points'!$D$3),IF(A32&lt;=40,'Anchor Points'!$D$4+(A32-'Anchor Points'!$A$4)/('Anchor Points'!$A$5-'Anchor Points'!$A$4)*('Anchor Points'!$D$5-'Anchor Points'!$D$4),IF(A32&lt;=55,'Anchor Points'!$D$5+(A32-'Anchor Points'!$A$5)/('Anchor Points'!$A$6-'Anchor Points'!$A$5)*('Anchor Points'!$D$6-'Anchor Points'!$D$5),IF(A32&lt;=70,'Anchor Points'!$D$6+(A32-'Anchor Points'!$A$6)/('Anchor Points'!$A$7-'Anchor Points'!$A$6)*('Anchor Points'!$D$7-'Anchor Points'!$D$6),IF(A32&lt;=90,'Anchor Points'!$D$7+(A32-'Anchor Points'!$A$7)/('Anchor Points'!$A$8-'Anchor Points'!$A$7)*('Anchor Points'!$D$8-'Anchor Points'!$D$7),'Anchor Points'!$D$8+(A32-'Anchor Points'!$A$8)/('Anchor Points'!$A$9-'Anchor Points'!$A$8)*('Anchor Points'!$D$9-'Anchor Points'!$D$8)))))))</x:f>
        <x:v>0.6666666666666666</x:v>
      </x:c>
      <x:c r="F32" s="30" t="n">
        <x:f>ROUND(E32,0)</x:f>
        <x:v>1</x:v>
      </x:c>
      <x:c r="G32" s="28" t="n">
        <x:f>IF(A32&lt;=15,'Anchor Points'!$E$2+(A32-'Anchor Points'!$A$2)/('Anchor Points'!$A$3-'Anchor Points'!$A$2)*('Anchor Points'!$E$3-'Anchor Points'!$E$2),IF(A32&lt;=25,'Anchor Points'!$E$3+(A32-'Anchor Points'!$A$3)/('Anchor Points'!$A$4-'Anchor Points'!$A$3)*('Anchor Points'!$E$4-'Anchor Points'!$E$3),IF(A32&lt;=40,'Anchor Points'!$E$4+(A32-'Anchor Points'!$A$4)/('Anchor Points'!$A$5-'Anchor Points'!$A$4)*('Anchor Points'!$E$5-'Anchor Points'!$E$4),IF(A32&lt;=55,'Anchor Points'!$E$5+(A32-'Anchor Points'!$A$5)/('Anchor Points'!$A$6-'Anchor Points'!$A$5)*('Anchor Points'!$E$6-'Anchor Points'!$E$5),IF(A32&lt;=70,'Anchor Points'!$E$6+(A32-'Anchor Points'!$A$6)/('Anchor Points'!$A$7-'Anchor Points'!$A$6)*('Anchor Points'!$E$7-'Anchor Points'!$E$6),IF(A32&lt;=90,'Anchor Points'!$E$7+(A32-'Anchor Points'!$A$7)/('Anchor Points'!$A$8-'Anchor Points'!$A$7)*('Anchor Points'!$E$8-'Anchor Points'!$E$7),'Anchor Points'!$E$8+(A32-'Anchor Points'!$A$8)/('Anchor Points'!$A$9-'Anchor Points'!$A$8)*('Anchor Points'!$E$9-'Anchor Points'!$E$8)))))))</x:f>
        <x:v>0</x:v>
      </x:c>
      <x:c r="H32" s="30" t="n">
        <x:f>ROUND(G32,0)</x:f>
        <x:v>0</x:v>
      </x:c>
      <x:c r="I32" s="28" t="n">
        <x:f>IF(A32&lt;=15,'Anchor Points'!$F$2+(A32-'Anchor Points'!$A$2)/('Anchor Points'!$A$3-'Anchor Points'!$A$2)*('Anchor Points'!$F$3-'Anchor Points'!$F$2),IF(A32&lt;=25,'Anchor Points'!$F$3+(A32-'Anchor Points'!$A$3)/('Anchor Points'!$A$4-'Anchor Points'!$A$3)*('Anchor Points'!$F$4-'Anchor Points'!$F$3),IF(A32&lt;=40,'Anchor Points'!$F$4+(A32-'Anchor Points'!$A$4)/('Anchor Points'!$A$5-'Anchor Points'!$A$4)*('Anchor Points'!$F$5-'Anchor Points'!$F$4),IF(A32&lt;=55,'Anchor Points'!$F$5+(A32-'Anchor Points'!$A$5)/('Anchor Points'!$A$6-'Anchor Points'!$A$5)*('Anchor Points'!$F$6-'Anchor Points'!$F$5),IF(A32&lt;=70,'Anchor Points'!$F$6+(A32-'Anchor Points'!$A$6)/('Anchor Points'!$A$7-'Anchor Points'!$A$6)*('Anchor Points'!$F$7-'Anchor Points'!$F$6),IF(A32&lt;=90,'Anchor Points'!$F$7+(A32-'Anchor Points'!$A$7)/('Anchor Points'!$A$8-'Anchor Points'!$A$7)*('Anchor Points'!$F$8-'Anchor Points'!$F$7),'Anchor Points'!$F$8+(A32-'Anchor Points'!$A$8)/('Anchor Points'!$A$9-'Anchor Points'!$A$8)*('Anchor Points'!$F$9-'Anchor Points'!$F$8)))))))</x:f>
        <x:v>0</x:v>
      </x:c>
      <x:c r="K32" s="36" t="n">
        <x:f>A8</x:f>
        <x:v>6</x:v>
      </x:c>
      <x:c r="L32" s="36" t="n">
        <x:f>E8</x:f>
        <x:v>0</x:v>
      </x:c>
      <x:c r="M32" s="36" t="n">
        <x:f>G8</x:f>
        <x:v>0</x:v>
      </x:c>
      <x:c r="N32" s="36" t="n">
        <x:f>I8</x:f>
        <x:v>0</x:v>
      </x:c>
    </x:row>
    <x:row r="33">
      <x:c r="A33" s="30" t="n">
        <x:v>31</x:v>
      </x:c>
      <x:c r="B33" s="11" t="str">
        <x:f>IF(A33&lt;=15,"Seedling",IF(A33&lt;=25,"Establishment",IF(A33&lt;=40,"Vegetative Growth",IF(A33&lt;=55,"Flowering &amp; Initial Fruit Set",IF(A33&lt;=80,"Fruit Enlargement",IF(A33&lt;=95,"Ripening","Harvesting"))))))</x:f>
        <x:v>Vegetative Growth</x:v>
      </x:c>
      <x:c r="C33" s="28" t="n">
        <x:f>IF(A33&lt;=15,'Anchor Points'!$B$2+(A33-'Anchor Points'!$A$2)/('Anchor Points'!$A$3-'Anchor Points'!$A$2)*('Anchor Points'!$B$3-'Anchor Points'!$B$2),IF(A33&lt;=25,'Anchor Points'!$B$3+(A33-'Anchor Points'!$A$3)/('Anchor Points'!$A$4-'Anchor Points'!$A$3)*('Anchor Points'!$B$4-'Anchor Points'!$B$3),IF(A33&lt;=40,'Anchor Points'!$B$4+(A33-'Anchor Points'!$A$4)/('Anchor Points'!$A$5-'Anchor Points'!$A$4)*('Anchor Points'!$B$5-'Anchor Points'!$B$4),IF(A33&lt;=55,'Anchor Points'!$B$5+(A33-'Anchor Points'!$A$5)/('Anchor Points'!$A$6-'Anchor Points'!$A$5)*('Anchor Points'!$B$6-'Anchor Points'!$B$5),IF(A33&lt;=70,'Anchor Points'!$B$6+(A33-'Anchor Points'!$A$6)/('Anchor Points'!$A$7-'Anchor Points'!$A$6)*('Anchor Points'!$B$7-'Anchor Points'!$B$6),IF(A33&lt;=90,'Anchor Points'!$B$7+(A33-'Anchor Points'!$A$7)/('Anchor Points'!$A$8-'Anchor Points'!$A$7)*('Anchor Points'!$B$8-'Anchor Points'!$B$7),'Anchor Points'!$B$8+(A33-'Anchor Points'!$A$8)/('Anchor Points'!$A$9-'Anchor Points'!$A$8)*('Anchor Points'!$B$9-'Anchor Points'!$B$8)))))))</x:f>
        <x:v>27.2</x:v>
      </x:c>
      <x:c r="D33" s="28" t="n">
        <x:f>IF(A33&lt;=15,'Anchor Points'!$C$2+(A33-'Anchor Points'!$A$2)/('Anchor Points'!$A$3-'Anchor Points'!$A$2)*('Anchor Points'!$C$3-'Anchor Points'!$C$2),IF(A33&lt;=25,'Anchor Points'!$C$3+(A33-'Anchor Points'!$A$3)/('Anchor Points'!$A$4-'Anchor Points'!$A$3)*('Anchor Points'!$C$4-'Anchor Points'!$C$3),IF(A33&lt;=40,'Anchor Points'!$C$4+(A33-'Anchor Points'!$A$4)/('Anchor Points'!$A$5-'Anchor Points'!$A$4)*('Anchor Points'!$C$5-'Anchor Points'!$C$4),IF(A33&lt;=55,'Anchor Points'!$C$5+(A33-'Anchor Points'!$A$5)/('Anchor Points'!$A$6-'Anchor Points'!$A$5)*('Anchor Points'!$C$6-'Anchor Points'!$C$5),IF(A33&lt;=70,'Anchor Points'!$C$6+(A33-'Anchor Points'!$A$6)/('Anchor Points'!$A$7-'Anchor Points'!$A$6)*('Anchor Points'!$C$7-'Anchor Points'!$C$6),IF(A33&lt;=90,'Anchor Points'!$C$7+(A33-'Anchor Points'!$A$7)/('Anchor Points'!$A$8-'Anchor Points'!$A$7)*('Anchor Points'!$C$8-'Anchor Points'!$C$7),'Anchor Points'!$C$8+(A33-'Anchor Points'!$A$8)/('Anchor Points'!$A$9-'Anchor Points'!$A$8)*('Anchor Points'!$C$9-'Anchor Points'!$C$8)))))))</x:f>
        <x:v>16</x:v>
      </x:c>
      <x:c r="E33" s="28" t="n">
        <x:f>IF(A33&lt;=15,'Anchor Points'!$D$2+(A33-'Anchor Points'!$A$2)/('Anchor Points'!$A$3-'Anchor Points'!$A$2)*('Anchor Points'!$D$3-'Anchor Points'!$D$2),IF(A33&lt;=25,'Anchor Points'!$D$3+(A33-'Anchor Points'!$A$3)/('Anchor Points'!$A$4-'Anchor Points'!$A$3)*('Anchor Points'!$D$4-'Anchor Points'!$D$3),IF(A33&lt;=40,'Anchor Points'!$D$4+(A33-'Anchor Points'!$A$4)/('Anchor Points'!$A$5-'Anchor Points'!$A$4)*('Anchor Points'!$D$5-'Anchor Points'!$D$4),IF(A33&lt;=55,'Anchor Points'!$D$5+(A33-'Anchor Points'!$A$5)/('Anchor Points'!$A$6-'Anchor Points'!$A$5)*('Anchor Points'!$D$6-'Anchor Points'!$D$5),IF(A33&lt;=70,'Anchor Points'!$D$6+(A33-'Anchor Points'!$A$6)/('Anchor Points'!$A$7-'Anchor Points'!$A$6)*('Anchor Points'!$D$7-'Anchor Points'!$D$6),IF(A33&lt;=90,'Anchor Points'!$D$7+(A33-'Anchor Points'!$A$7)/('Anchor Points'!$A$8-'Anchor Points'!$A$7)*('Anchor Points'!$D$8-'Anchor Points'!$D$7),'Anchor Points'!$D$8+(A33-'Anchor Points'!$A$8)/('Anchor Points'!$A$9-'Anchor Points'!$A$8)*('Anchor Points'!$D$9-'Anchor Points'!$D$8)))))))</x:f>
        <x:v>0.8</x:v>
      </x:c>
      <x:c r="F33" s="30" t="n">
        <x:f>ROUND(E33,0)</x:f>
        <x:v>1</x:v>
      </x:c>
      <x:c r="G33" s="28" t="n">
        <x:f>IF(A33&lt;=15,'Anchor Points'!$E$2+(A33-'Anchor Points'!$A$2)/('Anchor Points'!$A$3-'Anchor Points'!$A$2)*('Anchor Points'!$E$3-'Anchor Points'!$E$2),IF(A33&lt;=25,'Anchor Points'!$E$3+(A33-'Anchor Points'!$A$3)/('Anchor Points'!$A$4-'Anchor Points'!$A$3)*('Anchor Points'!$E$4-'Anchor Points'!$E$3),IF(A33&lt;=40,'Anchor Points'!$E$4+(A33-'Anchor Points'!$A$4)/('Anchor Points'!$A$5-'Anchor Points'!$A$4)*('Anchor Points'!$E$5-'Anchor Points'!$E$4),IF(A33&lt;=55,'Anchor Points'!$E$5+(A33-'Anchor Points'!$A$5)/('Anchor Points'!$A$6-'Anchor Points'!$A$5)*('Anchor Points'!$E$6-'Anchor Points'!$E$5),IF(A33&lt;=70,'Anchor Points'!$E$6+(A33-'Anchor Points'!$A$6)/('Anchor Points'!$A$7-'Anchor Points'!$A$6)*('Anchor Points'!$E$7-'Anchor Points'!$E$6),IF(A33&lt;=90,'Anchor Points'!$E$7+(A33-'Anchor Points'!$A$7)/('Anchor Points'!$A$8-'Anchor Points'!$A$7)*('Anchor Points'!$E$8-'Anchor Points'!$E$7),'Anchor Points'!$E$8+(A33-'Anchor Points'!$A$8)/('Anchor Points'!$A$9-'Anchor Points'!$A$8)*('Anchor Points'!$E$9-'Anchor Points'!$E$8)))))))</x:f>
        <x:v>0</x:v>
      </x:c>
      <x:c r="H33" s="30" t="n">
        <x:f>ROUND(G33,0)</x:f>
        <x:v>0</x:v>
      </x:c>
      <x:c r="I33" s="28" t="n">
        <x:f>IF(A33&lt;=15,'Anchor Points'!$F$2+(A33-'Anchor Points'!$A$2)/('Anchor Points'!$A$3-'Anchor Points'!$A$2)*('Anchor Points'!$F$3-'Anchor Points'!$F$2),IF(A33&lt;=25,'Anchor Points'!$F$3+(A33-'Anchor Points'!$A$3)/('Anchor Points'!$A$4-'Anchor Points'!$A$3)*('Anchor Points'!$F$4-'Anchor Points'!$F$3),IF(A33&lt;=40,'Anchor Points'!$F$4+(A33-'Anchor Points'!$A$4)/('Anchor Points'!$A$5-'Anchor Points'!$A$4)*('Anchor Points'!$F$5-'Anchor Points'!$F$4),IF(A33&lt;=55,'Anchor Points'!$F$5+(A33-'Anchor Points'!$A$5)/('Anchor Points'!$A$6-'Anchor Points'!$A$5)*('Anchor Points'!$F$6-'Anchor Points'!$F$5),IF(A33&lt;=70,'Anchor Points'!$F$6+(A33-'Anchor Points'!$A$6)/('Anchor Points'!$A$7-'Anchor Points'!$A$6)*('Anchor Points'!$F$7-'Anchor Points'!$F$6),IF(A33&lt;=90,'Anchor Points'!$F$7+(A33-'Anchor Points'!$A$7)/('Anchor Points'!$A$8-'Anchor Points'!$A$7)*('Anchor Points'!$F$8-'Anchor Points'!$F$7),'Anchor Points'!$F$8+(A33-'Anchor Points'!$A$8)/('Anchor Points'!$A$9-'Anchor Points'!$A$8)*('Anchor Points'!$F$9-'Anchor Points'!$F$8)))))))</x:f>
        <x:v>0</x:v>
      </x:c>
      <x:c r="K33" s="36" t="n">
        <x:f>A9</x:f>
        <x:v>7</x:v>
      </x:c>
      <x:c r="L33" s="36" t="n">
        <x:f>E9</x:f>
        <x:v>0</x:v>
      </x:c>
      <x:c r="M33" s="36" t="n">
        <x:f>G9</x:f>
        <x:v>0</x:v>
      </x:c>
      <x:c r="N33" s="36" t="n">
        <x:f>I9</x:f>
        <x:v>0</x:v>
      </x:c>
    </x:row>
    <x:row r="34">
      <x:c r="A34" s="30" t="n">
        <x:v>32</x:v>
      </x:c>
      <x:c r="B34" s="11" t="str">
        <x:f>IF(A34&lt;=15,"Seedling",IF(A34&lt;=25,"Establishment",IF(A34&lt;=40,"Vegetative Growth",IF(A34&lt;=55,"Flowering &amp; Initial Fruit Set",IF(A34&lt;=80,"Fruit Enlargement",IF(A34&lt;=95,"Ripening","Harvesting"))))))</x:f>
        <x:v>Vegetative Growth</x:v>
      </x:c>
      <x:c r="C34" s="28" t="n">
        <x:f>IF(A34&lt;=15,'Anchor Points'!$B$2+(A34-'Anchor Points'!$A$2)/('Anchor Points'!$A$3-'Anchor Points'!$A$2)*('Anchor Points'!$B$3-'Anchor Points'!$B$2),IF(A34&lt;=25,'Anchor Points'!$B$3+(A34-'Anchor Points'!$A$3)/('Anchor Points'!$A$4-'Anchor Points'!$A$3)*('Anchor Points'!$B$4-'Anchor Points'!$B$3),IF(A34&lt;=40,'Anchor Points'!$B$4+(A34-'Anchor Points'!$A$4)/('Anchor Points'!$A$5-'Anchor Points'!$A$4)*('Anchor Points'!$B$5-'Anchor Points'!$B$4),IF(A34&lt;=55,'Anchor Points'!$B$5+(A34-'Anchor Points'!$A$5)/('Anchor Points'!$A$6-'Anchor Points'!$A$5)*('Anchor Points'!$B$6-'Anchor Points'!$B$5),IF(A34&lt;=70,'Anchor Points'!$B$6+(A34-'Anchor Points'!$A$6)/('Anchor Points'!$A$7-'Anchor Points'!$A$6)*('Anchor Points'!$B$7-'Anchor Points'!$B$6),IF(A34&lt;=90,'Anchor Points'!$B$7+(A34-'Anchor Points'!$A$7)/('Anchor Points'!$A$8-'Anchor Points'!$A$7)*('Anchor Points'!$B$8-'Anchor Points'!$B$7),'Anchor Points'!$B$8+(A34-'Anchor Points'!$A$8)/('Anchor Points'!$A$9-'Anchor Points'!$A$8)*('Anchor Points'!$B$9-'Anchor Points'!$B$8)))))))</x:f>
        <x:v>28.4</x:v>
      </x:c>
      <x:c r="D34" s="28" t="n">
        <x:f>IF(A34&lt;=15,'Anchor Points'!$C$2+(A34-'Anchor Points'!$A$2)/('Anchor Points'!$A$3-'Anchor Points'!$A$2)*('Anchor Points'!$C$3-'Anchor Points'!$C$2),IF(A34&lt;=25,'Anchor Points'!$C$3+(A34-'Anchor Points'!$A$3)/('Anchor Points'!$A$4-'Anchor Points'!$A$3)*('Anchor Points'!$C$4-'Anchor Points'!$C$3),IF(A34&lt;=40,'Anchor Points'!$C$4+(A34-'Anchor Points'!$A$4)/('Anchor Points'!$A$5-'Anchor Points'!$A$4)*('Anchor Points'!$C$5-'Anchor Points'!$C$4),IF(A34&lt;=55,'Anchor Points'!$C$5+(A34-'Anchor Points'!$A$5)/('Anchor Points'!$A$6-'Anchor Points'!$A$5)*('Anchor Points'!$C$6-'Anchor Points'!$C$5),IF(A34&lt;=70,'Anchor Points'!$C$6+(A34-'Anchor Points'!$A$6)/('Anchor Points'!$A$7-'Anchor Points'!$A$6)*('Anchor Points'!$C$7-'Anchor Points'!$C$6),IF(A34&lt;=90,'Anchor Points'!$C$7+(A34-'Anchor Points'!$A$7)/('Anchor Points'!$A$8-'Anchor Points'!$A$7)*('Anchor Points'!$C$8-'Anchor Points'!$C$7),'Anchor Points'!$C$8+(A34-'Anchor Points'!$A$8)/('Anchor Points'!$A$9-'Anchor Points'!$A$8)*('Anchor Points'!$C$9-'Anchor Points'!$C$8)))))))</x:f>
        <x:v>17</x:v>
      </x:c>
      <x:c r="E34" s="28" t="n">
        <x:f>IF(A34&lt;=15,'Anchor Points'!$D$2+(A34-'Anchor Points'!$A$2)/('Anchor Points'!$A$3-'Anchor Points'!$A$2)*('Anchor Points'!$D$3-'Anchor Points'!$D$2),IF(A34&lt;=25,'Anchor Points'!$D$3+(A34-'Anchor Points'!$A$3)/('Anchor Points'!$A$4-'Anchor Points'!$A$3)*('Anchor Points'!$D$4-'Anchor Points'!$D$3),IF(A34&lt;=40,'Anchor Points'!$D$4+(A34-'Anchor Points'!$A$4)/('Anchor Points'!$A$5-'Anchor Points'!$A$4)*('Anchor Points'!$D$5-'Anchor Points'!$D$4),IF(A34&lt;=55,'Anchor Points'!$D$5+(A34-'Anchor Points'!$A$5)/('Anchor Points'!$A$6-'Anchor Points'!$A$5)*('Anchor Points'!$D$6-'Anchor Points'!$D$5),IF(A34&lt;=70,'Anchor Points'!$D$6+(A34-'Anchor Points'!$A$6)/('Anchor Points'!$A$7-'Anchor Points'!$A$6)*('Anchor Points'!$D$7-'Anchor Points'!$D$6),IF(A34&lt;=90,'Anchor Points'!$D$7+(A34-'Anchor Points'!$A$7)/('Anchor Points'!$A$8-'Anchor Points'!$A$7)*('Anchor Points'!$D$8-'Anchor Points'!$D$7),'Anchor Points'!$D$8+(A34-'Anchor Points'!$A$8)/('Anchor Points'!$A$9-'Anchor Points'!$A$8)*('Anchor Points'!$D$9-'Anchor Points'!$D$8)))))))</x:f>
        <x:v>0.9333333333333333</x:v>
      </x:c>
      <x:c r="F34" s="30" t="n">
        <x:f>ROUND(E34,0)</x:f>
        <x:v>1</x:v>
      </x:c>
      <x:c r="G34" s="28" t="n">
        <x:f>IF(A34&lt;=15,'Anchor Points'!$E$2+(A34-'Anchor Points'!$A$2)/('Anchor Points'!$A$3-'Anchor Points'!$A$2)*('Anchor Points'!$E$3-'Anchor Points'!$E$2),IF(A34&lt;=25,'Anchor Points'!$E$3+(A34-'Anchor Points'!$A$3)/('Anchor Points'!$A$4-'Anchor Points'!$A$3)*('Anchor Points'!$E$4-'Anchor Points'!$E$3),IF(A34&lt;=40,'Anchor Points'!$E$4+(A34-'Anchor Points'!$A$4)/('Anchor Points'!$A$5-'Anchor Points'!$A$4)*('Anchor Points'!$E$5-'Anchor Points'!$E$4),IF(A34&lt;=55,'Anchor Points'!$E$5+(A34-'Anchor Points'!$A$5)/('Anchor Points'!$A$6-'Anchor Points'!$A$5)*('Anchor Points'!$E$6-'Anchor Points'!$E$5),IF(A34&lt;=70,'Anchor Points'!$E$6+(A34-'Anchor Points'!$A$6)/('Anchor Points'!$A$7-'Anchor Points'!$A$6)*('Anchor Points'!$E$7-'Anchor Points'!$E$6),IF(A34&lt;=90,'Anchor Points'!$E$7+(A34-'Anchor Points'!$A$7)/('Anchor Points'!$A$8-'Anchor Points'!$A$7)*('Anchor Points'!$E$8-'Anchor Points'!$E$7),'Anchor Points'!$E$8+(A34-'Anchor Points'!$A$8)/('Anchor Points'!$A$9-'Anchor Points'!$A$8)*('Anchor Points'!$E$9-'Anchor Points'!$E$8)))))))</x:f>
        <x:v>0</x:v>
      </x:c>
      <x:c r="H34" s="30" t="n">
        <x:f>ROUND(G34,0)</x:f>
        <x:v>0</x:v>
      </x:c>
      <x:c r="I34" s="28" t="n">
        <x:f>IF(A34&lt;=15,'Anchor Points'!$F$2+(A34-'Anchor Points'!$A$2)/('Anchor Points'!$A$3-'Anchor Points'!$A$2)*('Anchor Points'!$F$3-'Anchor Points'!$F$2),IF(A34&lt;=25,'Anchor Points'!$F$3+(A34-'Anchor Points'!$A$3)/('Anchor Points'!$A$4-'Anchor Points'!$A$3)*('Anchor Points'!$F$4-'Anchor Points'!$F$3),IF(A34&lt;=40,'Anchor Points'!$F$4+(A34-'Anchor Points'!$A$4)/('Anchor Points'!$A$5-'Anchor Points'!$A$4)*('Anchor Points'!$F$5-'Anchor Points'!$F$4),IF(A34&lt;=55,'Anchor Points'!$F$5+(A34-'Anchor Points'!$A$5)/('Anchor Points'!$A$6-'Anchor Points'!$A$5)*('Anchor Points'!$F$6-'Anchor Points'!$F$5),IF(A34&lt;=70,'Anchor Points'!$F$6+(A34-'Anchor Points'!$A$6)/('Anchor Points'!$A$7-'Anchor Points'!$A$6)*('Anchor Points'!$F$7-'Anchor Points'!$F$6),IF(A34&lt;=90,'Anchor Points'!$F$7+(A34-'Anchor Points'!$A$7)/('Anchor Points'!$A$8-'Anchor Points'!$A$7)*('Anchor Points'!$F$8-'Anchor Points'!$F$7),'Anchor Points'!$F$8+(A34-'Anchor Points'!$A$8)/('Anchor Points'!$A$9-'Anchor Points'!$A$8)*('Anchor Points'!$F$9-'Anchor Points'!$F$8)))))))</x:f>
        <x:v>0</x:v>
      </x:c>
      <x:c r="K34" s="36" t="n">
        <x:f>A10</x:f>
        <x:v>8</x:v>
      </x:c>
      <x:c r="L34" s="36" t="n">
        <x:f>E10</x:f>
        <x:v>0</x:v>
      </x:c>
      <x:c r="M34" s="36" t="n">
        <x:f>G10</x:f>
        <x:v>0</x:v>
      </x:c>
      <x:c r="N34" s="36" t="n">
        <x:f>I10</x:f>
        <x:v>0</x:v>
      </x:c>
    </x:row>
    <x:row r="35">
      <x:c r="A35" s="30" t="n">
        <x:v>33</x:v>
      </x:c>
      <x:c r="B35" s="11" t="str">
        <x:f>IF(A35&lt;=15,"Seedling",IF(A35&lt;=25,"Establishment",IF(A35&lt;=40,"Vegetative Growth",IF(A35&lt;=55,"Flowering &amp; Initial Fruit Set",IF(A35&lt;=80,"Fruit Enlargement",IF(A35&lt;=95,"Ripening","Harvesting"))))))</x:f>
        <x:v>Vegetative Growth</x:v>
      </x:c>
      <x:c r="C35" s="28" t="n">
        <x:f>IF(A35&lt;=15,'Anchor Points'!$B$2+(A35-'Anchor Points'!$A$2)/('Anchor Points'!$A$3-'Anchor Points'!$A$2)*('Anchor Points'!$B$3-'Anchor Points'!$B$2),IF(A35&lt;=25,'Anchor Points'!$B$3+(A35-'Anchor Points'!$A$3)/('Anchor Points'!$A$4-'Anchor Points'!$A$3)*('Anchor Points'!$B$4-'Anchor Points'!$B$3),IF(A35&lt;=40,'Anchor Points'!$B$4+(A35-'Anchor Points'!$A$4)/('Anchor Points'!$A$5-'Anchor Points'!$A$4)*('Anchor Points'!$B$5-'Anchor Points'!$B$4),IF(A35&lt;=55,'Anchor Points'!$B$5+(A35-'Anchor Points'!$A$5)/('Anchor Points'!$A$6-'Anchor Points'!$A$5)*('Anchor Points'!$B$6-'Anchor Points'!$B$5),IF(A35&lt;=70,'Anchor Points'!$B$6+(A35-'Anchor Points'!$A$6)/('Anchor Points'!$A$7-'Anchor Points'!$A$6)*('Anchor Points'!$B$7-'Anchor Points'!$B$6),IF(A35&lt;=90,'Anchor Points'!$B$7+(A35-'Anchor Points'!$A$7)/('Anchor Points'!$A$8-'Anchor Points'!$A$7)*('Anchor Points'!$B$8-'Anchor Points'!$B$7),'Anchor Points'!$B$8+(A35-'Anchor Points'!$A$8)/('Anchor Points'!$A$9-'Anchor Points'!$A$8)*('Anchor Points'!$B$9-'Anchor Points'!$B$8)))))))</x:f>
        <x:v>29.6</x:v>
      </x:c>
      <x:c r="D35" s="28" t="n">
        <x:f>IF(A35&lt;=15,'Anchor Points'!$C$2+(A35-'Anchor Points'!$A$2)/('Anchor Points'!$A$3-'Anchor Points'!$A$2)*('Anchor Points'!$C$3-'Anchor Points'!$C$2),IF(A35&lt;=25,'Anchor Points'!$C$3+(A35-'Anchor Points'!$A$3)/('Anchor Points'!$A$4-'Anchor Points'!$A$3)*('Anchor Points'!$C$4-'Anchor Points'!$C$3),IF(A35&lt;=40,'Anchor Points'!$C$4+(A35-'Anchor Points'!$A$4)/('Anchor Points'!$A$5-'Anchor Points'!$A$4)*('Anchor Points'!$C$5-'Anchor Points'!$C$4),IF(A35&lt;=55,'Anchor Points'!$C$5+(A35-'Anchor Points'!$A$5)/('Anchor Points'!$A$6-'Anchor Points'!$A$5)*('Anchor Points'!$C$6-'Anchor Points'!$C$5),IF(A35&lt;=70,'Anchor Points'!$C$6+(A35-'Anchor Points'!$A$6)/('Anchor Points'!$A$7-'Anchor Points'!$A$6)*('Anchor Points'!$C$7-'Anchor Points'!$C$6),IF(A35&lt;=90,'Anchor Points'!$C$7+(A35-'Anchor Points'!$A$7)/('Anchor Points'!$A$8-'Anchor Points'!$A$7)*('Anchor Points'!$C$8-'Anchor Points'!$C$7),'Anchor Points'!$C$8+(A35-'Anchor Points'!$A$8)/('Anchor Points'!$A$9-'Anchor Points'!$A$8)*('Anchor Points'!$C$9-'Anchor Points'!$C$8)))))))</x:f>
        <x:v>18</x:v>
      </x:c>
      <x:c r="E35" s="28" t="n">
        <x:f>IF(A35&lt;=15,'Anchor Points'!$D$2+(A35-'Anchor Points'!$A$2)/('Anchor Points'!$A$3-'Anchor Points'!$A$2)*('Anchor Points'!$D$3-'Anchor Points'!$D$2),IF(A35&lt;=25,'Anchor Points'!$D$3+(A35-'Anchor Points'!$A$3)/('Anchor Points'!$A$4-'Anchor Points'!$A$3)*('Anchor Points'!$D$4-'Anchor Points'!$D$3),IF(A35&lt;=40,'Anchor Points'!$D$4+(A35-'Anchor Points'!$A$4)/('Anchor Points'!$A$5-'Anchor Points'!$A$4)*('Anchor Points'!$D$5-'Anchor Points'!$D$4),IF(A35&lt;=55,'Anchor Points'!$D$5+(A35-'Anchor Points'!$A$5)/('Anchor Points'!$A$6-'Anchor Points'!$A$5)*('Anchor Points'!$D$6-'Anchor Points'!$D$5),IF(A35&lt;=70,'Anchor Points'!$D$6+(A35-'Anchor Points'!$A$6)/('Anchor Points'!$A$7-'Anchor Points'!$A$6)*('Anchor Points'!$D$7-'Anchor Points'!$D$6),IF(A35&lt;=90,'Anchor Points'!$D$7+(A35-'Anchor Points'!$A$7)/('Anchor Points'!$A$8-'Anchor Points'!$A$7)*('Anchor Points'!$D$8-'Anchor Points'!$D$7),'Anchor Points'!$D$8+(A35-'Anchor Points'!$A$8)/('Anchor Points'!$A$9-'Anchor Points'!$A$8)*('Anchor Points'!$D$9-'Anchor Points'!$D$8)))))))</x:f>
        <x:v>1.0666666666666667</x:v>
      </x:c>
      <x:c r="F35" s="30" t="n">
        <x:f>ROUND(E35,0)</x:f>
        <x:v>1</x:v>
      </x:c>
      <x:c r="G35" s="28" t="n">
        <x:f>IF(A35&lt;=15,'Anchor Points'!$E$2+(A35-'Anchor Points'!$A$2)/('Anchor Points'!$A$3-'Anchor Points'!$A$2)*('Anchor Points'!$E$3-'Anchor Points'!$E$2),IF(A35&lt;=25,'Anchor Points'!$E$3+(A35-'Anchor Points'!$A$3)/('Anchor Points'!$A$4-'Anchor Points'!$A$3)*('Anchor Points'!$E$4-'Anchor Points'!$E$3),IF(A35&lt;=40,'Anchor Points'!$E$4+(A35-'Anchor Points'!$A$4)/('Anchor Points'!$A$5-'Anchor Points'!$A$4)*('Anchor Points'!$E$5-'Anchor Points'!$E$4),IF(A35&lt;=55,'Anchor Points'!$E$5+(A35-'Anchor Points'!$A$5)/('Anchor Points'!$A$6-'Anchor Points'!$A$5)*('Anchor Points'!$E$6-'Anchor Points'!$E$5),IF(A35&lt;=70,'Anchor Points'!$E$6+(A35-'Anchor Points'!$A$6)/('Anchor Points'!$A$7-'Anchor Points'!$A$6)*('Anchor Points'!$E$7-'Anchor Points'!$E$6),IF(A35&lt;=90,'Anchor Points'!$E$7+(A35-'Anchor Points'!$A$7)/('Anchor Points'!$A$8-'Anchor Points'!$A$7)*('Anchor Points'!$E$8-'Anchor Points'!$E$7),'Anchor Points'!$E$8+(A35-'Anchor Points'!$A$8)/('Anchor Points'!$A$9-'Anchor Points'!$A$8)*('Anchor Points'!$E$9-'Anchor Points'!$E$8)))))))</x:f>
        <x:v>0</x:v>
      </x:c>
      <x:c r="H35" s="30" t="n">
        <x:f>ROUND(G35,0)</x:f>
        <x:v>0</x:v>
      </x:c>
      <x:c r="I35" s="28" t="n">
        <x:f>IF(A35&lt;=15,'Anchor Points'!$F$2+(A35-'Anchor Points'!$A$2)/('Anchor Points'!$A$3-'Anchor Points'!$A$2)*('Anchor Points'!$F$3-'Anchor Points'!$F$2),IF(A35&lt;=25,'Anchor Points'!$F$3+(A35-'Anchor Points'!$A$3)/('Anchor Points'!$A$4-'Anchor Points'!$A$3)*('Anchor Points'!$F$4-'Anchor Points'!$F$3),IF(A35&lt;=40,'Anchor Points'!$F$4+(A35-'Anchor Points'!$A$4)/('Anchor Points'!$A$5-'Anchor Points'!$A$4)*('Anchor Points'!$F$5-'Anchor Points'!$F$4),IF(A35&lt;=55,'Anchor Points'!$F$5+(A35-'Anchor Points'!$A$5)/('Anchor Points'!$A$6-'Anchor Points'!$A$5)*('Anchor Points'!$F$6-'Anchor Points'!$F$5),IF(A35&lt;=70,'Anchor Points'!$F$6+(A35-'Anchor Points'!$A$6)/('Anchor Points'!$A$7-'Anchor Points'!$A$6)*('Anchor Points'!$F$7-'Anchor Points'!$F$6),IF(A35&lt;=90,'Anchor Points'!$F$7+(A35-'Anchor Points'!$A$7)/('Anchor Points'!$A$8-'Anchor Points'!$A$7)*('Anchor Points'!$F$8-'Anchor Points'!$F$7),'Anchor Points'!$F$8+(A35-'Anchor Points'!$A$8)/('Anchor Points'!$A$9-'Anchor Points'!$A$8)*('Anchor Points'!$F$9-'Anchor Points'!$F$8)))))))</x:f>
        <x:v>0</x:v>
      </x:c>
      <x:c r="K35" s="36" t="n">
        <x:f>A11</x:f>
        <x:v>9</x:v>
      </x:c>
      <x:c r="L35" s="36" t="n">
        <x:f>E11</x:f>
        <x:v>0</x:v>
      </x:c>
      <x:c r="M35" s="36" t="n">
        <x:f>G11</x:f>
        <x:v>0</x:v>
      </x:c>
      <x:c r="N35" s="36" t="n">
        <x:f>I11</x:f>
        <x:v>0</x:v>
      </x:c>
    </x:row>
    <x:row r="36">
      <x:c r="A36" s="30" t="n">
        <x:v>34</x:v>
      </x:c>
      <x:c r="B36" s="11" t="str">
        <x:f>IF(A36&lt;=15,"Seedling",IF(A36&lt;=25,"Establishment",IF(A36&lt;=40,"Vegetative Growth",IF(A36&lt;=55,"Flowering &amp; Initial Fruit Set",IF(A36&lt;=80,"Fruit Enlargement",IF(A36&lt;=95,"Ripening","Harvesting"))))))</x:f>
        <x:v>Vegetative Growth</x:v>
      </x:c>
      <x:c r="C36" s="28" t="n">
        <x:f>IF(A36&lt;=15,'Anchor Points'!$B$2+(A36-'Anchor Points'!$A$2)/('Anchor Points'!$A$3-'Anchor Points'!$A$2)*('Anchor Points'!$B$3-'Anchor Points'!$B$2),IF(A36&lt;=25,'Anchor Points'!$B$3+(A36-'Anchor Points'!$A$3)/('Anchor Points'!$A$4-'Anchor Points'!$A$3)*('Anchor Points'!$B$4-'Anchor Points'!$B$3),IF(A36&lt;=40,'Anchor Points'!$B$4+(A36-'Anchor Points'!$A$4)/('Anchor Points'!$A$5-'Anchor Points'!$A$4)*('Anchor Points'!$B$5-'Anchor Points'!$B$4),IF(A36&lt;=55,'Anchor Points'!$B$5+(A36-'Anchor Points'!$A$5)/('Anchor Points'!$A$6-'Anchor Points'!$A$5)*('Anchor Points'!$B$6-'Anchor Points'!$B$5),IF(A36&lt;=70,'Anchor Points'!$B$6+(A36-'Anchor Points'!$A$6)/('Anchor Points'!$A$7-'Anchor Points'!$A$6)*('Anchor Points'!$B$7-'Anchor Points'!$B$6),IF(A36&lt;=90,'Anchor Points'!$B$7+(A36-'Anchor Points'!$A$7)/('Anchor Points'!$A$8-'Anchor Points'!$A$7)*('Anchor Points'!$B$8-'Anchor Points'!$B$7),'Anchor Points'!$B$8+(A36-'Anchor Points'!$A$8)/('Anchor Points'!$A$9-'Anchor Points'!$A$8)*('Anchor Points'!$B$9-'Anchor Points'!$B$8)))))))</x:f>
        <x:v>30.799999999999997</x:v>
      </x:c>
      <x:c r="D36" s="28" t="n">
        <x:f>IF(A36&lt;=15,'Anchor Points'!$C$2+(A36-'Anchor Points'!$A$2)/('Anchor Points'!$A$3-'Anchor Points'!$A$2)*('Anchor Points'!$C$3-'Anchor Points'!$C$2),IF(A36&lt;=25,'Anchor Points'!$C$3+(A36-'Anchor Points'!$A$3)/('Anchor Points'!$A$4-'Anchor Points'!$A$3)*('Anchor Points'!$C$4-'Anchor Points'!$C$3),IF(A36&lt;=40,'Anchor Points'!$C$4+(A36-'Anchor Points'!$A$4)/('Anchor Points'!$A$5-'Anchor Points'!$A$4)*('Anchor Points'!$C$5-'Anchor Points'!$C$4),IF(A36&lt;=55,'Anchor Points'!$C$5+(A36-'Anchor Points'!$A$5)/('Anchor Points'!$A$6-'Anchor Points'!$A$5)*('Anchor Points'!$C$6-'Anchor Points'!$C$5),IF(A36&lt;=70,'Anchor Points'!$C$6+(A36-'Anchor Points'!$A$6)/('Anchor Points'!$A$7-'Anchor Points'!$A$6)*('Anchor Points'!$C$7-'Anchor Points'!$C$6),IF(A36&lt;=90,'Anchor Points'!$C$7+(A36-'Anchor Points'!$A$7)/('Anchor Points'!$A$8-'Anchor Points'!$A$7)*('Anchor Points'!$C$8-'Anchor Points'!$C$7),'Anchor Points'!$C$8+(A36-'Anchor Points'!$A$8)/('Anchor Points'!$A$9-'Anchor Points'!$A$8)*('Anchor Points'!$C$9-'Anchor Points'!$C$8)))))))</x:f>
        <x:v>19</x:v>
      </x:c>
      <x:c r="E36" s="28" t="n">
        <x:f>IF(A36&lt;=15,'Anchor Points'!$D$2+(A36-'Anchor Points'!$A$2)/('Anchor Points'!$A$3-'Anchor Points'!$A$2)*('Anchor Points'!$D$3-'Anchor Points'!$D$2),IF(A36&lt;=25,'Anchor Points'!$D$3+(A36-'Anchor Points'!$A$3)/('Anchor Points'!$A$4-'Anchor Points'!$A$3)*('Anchor Points'!$D$4-'Anchor Points'!$D$3),IF(A36&lt;=40,'Anchor Points'!$D$4+(A36-'Anchor Points'!$A$4)/('Anchor Points'!$A$5-'Anchor Points'!$A$4)*('Anchor Points'!$D$5-'Anchor Points'!$D$4),IF(A36&lt;=55,'Anchor Points'!$D$5+(A36-'Anchor Points'!$A$5)/('Anchor Points'!$A$6-'Anchor Points'!$A$5)*('Anchor Points'!$D$6-'Anchor Points'!$D$5),IF(A36&lt;=70,'Anchor Points'!$D$6+(A36-'Anchor Points'!$A$6)/('Anchor Points'!$A$7-'Anchor Points'!$A$6)*('Anchor Points'!$D$7-'Anchor Points'!$D$6),IF(A36&lt;=90,'Anchor Points'!$D$7+(A36-'Anchor Points'!$A$7)/('Anchor Points'!$A$8-'Anchor Points'!$A$7)*('Anchor Points'!$D$8-'Anchor Points'!$D$7),'Anchor Points'!$D$8+(A36-'Anchor Points'!$A$8)/('Anchor Points'!$A$9-'Anchor Points'!$A$8)*('Anchor Points'!$D$9-'Anchor Points'!$D$8)))))))</x:f>
        <x:v>1.2</x:v>
      </x:c>
      <x:c r="F36" s="30" t="n">
        <x:f>ROUND(E36,0)</x:f>
        <x:v>1</x:v>
      </x:c>
      <x:c r="G36" s="28" t="n">
        <x:f>IF(A36&lt;=15,'Anchor Points'!$E$2+(A36-'Anchor Points'!$A$2)/('Anchor Points'!$A$3-'Anchor Points'!$A$2)*('Anchor Points'!$E$3-'Anchor Points'!$E$2),IF(A36&lt;=25,'Anchor Points'!$E$3+(A36-'Anchor Points'!$A$3)/('Anchor Points'!$A$4-'Anchor Points'!$A$3)*('Anchor Points'!$E$4-'Anchor Points'!$E$3),IF(A36&lt;=40,'Anchor Points'!$E$4+(A36-'Anchor Points'!$A$4)/('Anchor Points'!$A$5-'Anchor Points'!$A$4)*('Anchor Points'!$E$5-'Anchor Points'!$E$4),IF(A36&lt;=55,'Anchor Points'!$E$5+(A36-'Anchor Points'!$A$5)/('Anchor Points'!$A$6-'Anchor Points'!$A$5)*('Anchor Points'!$E$6-'Anchor Points'!$E$5),IF(A36&lt;=70,'Anchor Points'!$E$6+(A36-'Anchor Points'!$A$6)/('Anchor Points'!$A$7-'Anchor Points'!$A$6)*('Anchor Points'!$E$7-'Anchor Points'!$E$6),IF(A36&lt;=90,'Anchor Points'!$E$7+(A36-'Anchor Points'!$A$7)/('Anchor Points'!$A$8-'Anchor Points'!$A$7)*('Anchor Points'!$E$8-'Anchor Points'!$E$7),'Anchor Points'!$E$8+(A36-'Anchor Points'!$A$8)/('Anchor Points'!$A$9-'Anchor Points'!$A$8)*('Anchor Points'!$E$9-'Anchor Points'!$E$8)))))))</x:f>
        <x:v>0</x:v>
      </x:c>
      <x:c r="H36" s="30" t="n">
        <x:f>ROUND(G36,0)</x:f>
        <x:v>0</x:v>
      </x:c>
      <x:c r="I36" s="28" t="n">
        <x:f>IF(A36&lt;=15,'Anchor Points'!$F$2+(A36-'Anchor Points'!$A$2)/('Anchor Points'!$A$3-'Anchor Points'!$A$2)*('Anchor Points'!$F$3-'Anchor Points'!$F$2),IF(A36&lt;=25,'Anchor Points'!$F$3+(A36-'Anchor Points'!$A$3)/('Anchor Points'!$A$4-'Anchor Points'!$A$3)*('Anchor Points'!$F$4-'Anchor Points'!$F$3),IF(A36&lt;=40,'Anchor Points'!$F$4+(A36-'Anchor Points'!$A$4)/('Anchor Points'!$A$5-'Anchor Points'!$A$4)*('Anchor Points'!$F$5-'Anchor Points'!$F$4),IF(A36&lt;=55,'Anchor Points'!$F$5+(A36-'Anchor Points'!$A$5)/('Anchor Points'!$A$6-'Anchor Points'!$A$5)*('Anchor Points'!$F$6-'Anchor Points'!$F$5),IF(A36&lt;=70,'Anchor Points'!$F$6+(A36-'Anchor Points'!$A$6)/('Anchor Points'!$A$7-'Anchor Points'!$A$6)*('Anchor Points'!$F$7-'Anchor Points'!$F$6),IF(A36&lt;=90,'Anchor Points'!$F$7+(A36-'Anchor Points'!$A$7)/('Anchor Points'!$A$8-'Anchor Points'!$A$7)*('Anchor Points'!$F$8-'Anchor Points'!$F$7),'Anchor Points'!$F$8+(A36-'Anchor Points'!$A$8)/('Anchor Points'!$A$9-'Anchor Points'!$A$8)*('Anchor Points'!$F$9-'Anchor Points'!$F$8)))))))</x:f>
        <x:v>0</x:v>
      </x:c>
      <x:c r="K36" s="36" t="n">
        <x:f>A12</x:f>
        <x:v>10</x:v>
      </x:c>
      <x:c r="L36" s="36" t="n">
        <x:f>E12</x:f>
        <x:v>0</x:v>
      </x:c>
      <x:c r="M36" s="36" t="n">
        <x:f>G12</x:f>
        <x:v>0</x:v>
      </x:c>
      <x:c r="N36" s="36" t="n">
        <x:f>I12</x:f>
        <x:v>0</x:v>
      </x:c>
    </x:row>
    <x:row r="37">
      <x:c r="A37" s="30" t="n">
        <x:v>35</x:v>
      </x:c>
      <x:c r="B37" s="11" t="str">
        <x:f>IF(A37&lt;=15,"Seedling",IF(A37&lt;=25,"Establishment",IF(A37&lt;=40,"Vegetative Growth",IF(A37&lt;=55,"Flowering &amp; Initial Fruit Set",IF(A37&lt;=80,"Fruit Enlargement",IF(A37&lt;=95,"Ripening","Harvesting"))))))</x:f>
        <x:v>Vegetative Growth</x:v>
      </x:c>
      <x:c r="C37" s="28" t="n">
        <x:f>IF(A37&lt;=15,'Anchor Points'!$B$2+(A37-'Anchor Points'!$A$2)/('Anchor Points'!$A$3-'Anchor Points'!$A$2)*('Anchor Points'!$B$3-'Anchor Points'!$B$2),IF(A37&lt;=25,'Anchor Points'!$B$3+(A37-'Anchor Points'!$A$3)/('Anchor Points'!$A$4-'Anchor Points'!$A$3)*('Anchor Points'!$B$4-'Anchor Points'!$B$3),IF(A37&lt;=40,'Anchor Points'!$B$4+(A37-'Anchor Points'!$A$4)/('Anchor Points'!$A$5-'Anchor Points'!$A$4)*('Anchor Points'!$B$5-'Anchor Points'!$B$4),IF(A37&lt;=55,'Anchor Points'!$B$5+(A37-'Anchor Points'!$A$5)/('Anchor Points'!$A$6-'Anchor Points'!$A$5)*('Anchor Points'!$B$6-'Anchor Points'!$B$5),IF(A37&lt;=70,'Anchor Points'!$B$6+(A37-'Anchor Points'!$A$6)/('Anchor Points'!$A$7-'Anchor Points'!$A$6)*('Anchor Points'!$B$7-'Anchor Points'!$B$6),IF(A37&lt;=90,'Anchor Points'!$B$7+(A37-'Anchor Points'!$A$7)/('Anchor Points'!$A$8-'Anchor Points'!$A$7)*('Anchor Points'!$B$8-'Anchor Points'!$B$7),'Anchor Points'!$B$8+(A37-'Anchor Points'!$A$8)/('Anchor Points'!$A$9-'Anchor Points'!$A$8)*('Anchor Points'!$B$9-'Anchor Points'!$B$8)))))))</x:f>
        <x:v>32</x:v>
      </x:c>
      <x:c r="D37" s="28" t="n">
        <x:f>IF(A37&lt;=15,'Anchor Points'!$C$2+(A37-'Anchor Points'!$A$2)/('Anchor Points'!$A$3-'Anchor Points'!$A$2)*('Anchor Points'!$C$3-'Anchor Points'!$C$2),IF(A37&lt;=25,'Anchor Points'!$C$3+(A37-'Anchor Points'!$A$3)/('Anchor Points'!$A$4-'Anchor Points'!$A$3)*('Anchor Points'!$C$4-'Anchor Points'!$C$3),IF(A37&lt;=40,'Anchor Points'!$C$4+(A37-'Anchor Points'!$A$4)/('Anchor Points'!$A$5-'Anchor Points'!$A$4)*('Anchor Points'!$C$5-'Anchor Points'!$C$4),IF(A37&lt;=55,'Anchor Points'!$C$5+(A37-'Anchor Points'!$A$5)/('Anchor Points'!$A$6-'Anchor Points'!$A$5)*('Anchor Points'!$C$6-'Anchor Points'!$C$5),IF(A37&lt;=70,'Anchor Points'!$C$6+(A37-'Anchor Points'!$A$6)/('Anchor Points'!$A$7-'Anchor Points'!$A$6)*('Anchor Points'!$C$7-'Anchor Points'!$C$6),IF(A37&lt;=90,'Anchor Points'!$C$7+(A37-'Anchor Points'!$A$7)/('Anchor Points'!$A$8-'Anchor Points'!$A$7)*('Anchor Points'!$C$8-'Anchor Points'!$C$7),'Anchor Points'!$C$8+(A37-'Anchor Points'!$A$8)/('Anchor Points'!$A$9-'Anchor Points'!$A$8)*('Anchor Points'!$C$9-'Anchor Points'!$C$8)))))))</x:f>
        <x:v>20</x:v>
      </x:c>
      <x:c r="E37" s="28" t="n">
        <x:f>IF(A37&lt;=15,'Anchor Points'!$D$2+(A37-'Anchor Points'!$A$2)/('Anchor Points'!$A$3-'Anchor Points'!$A$2)*('Anchor Points'!$D$3-'Anchor Points'!$D$2),IF(A37&lt;=25,'Anchor Points'!$D$3+(A37-'Anchor Points'!$A$3)/('Anchor Points'!$A$4-'Anchor Points'!$A$3)*('Anchor Points'!$D$4-'Anchor Points'!$D$3),IF(A37&lt;=40,'Anchor Points'!$D$4+(A37-'Anchor Points'!$A$4)/('Anchor Points'!$A$5-'Anchor Points'!$A$4)*('Anchor Points'!$D$5-'Anchor Points'!$D$4),IF(A37&lt;=55,'Anchor Points'!$D$5+(A37-'Anchor Points'!$A$5)/('Anchor Points'!$A$6-'Anchor Points'!$A$5)*('Anchor Points'!$D$6-'Anchor Points'!$D$5),IF(A37&lt;=70,'Anchor Points'!$D$6+(A37-'Anchor Points'!$A$6)/('Anchor Points'!$A$7-'Anchor Points'!$A$6)*('Anchor Points'!$D$7-'Anchor Points'!$D$6),IF(A37&lt;=90,'Anchor Points'!$D$7+(A37-'Anchor Points'!$A$7)/('Anchor Points'!$A$8-'Anchor Points'!$A$7)*('Anchor Points'!$D$8-'Anchor Points'!$D$7),'Anchor Points'!$D$8+(A37-'Anchor Points'!$A$8)/('Anchor Points'!$A$9-'Anchor Points'!$A$8)*('Anchor Points'!$D$9-'Anchor Points'!$D$8)))))))</x:f>
        <x:v>1.3333333333333333</x:v>
      </x:c>
      <x:c r="F37" s="30" t="n">
        <x:f>ROUND(E37,0)</x:f>
        <x:v>1</x:v>
      </x:c>
      <x:c r="G37" s="28" t="n">
        <x:f>IF(A37&lt;=15,'Anchor Points'!$E$2+(A37-'Anchor Points'!$A$2)/('Anchor Points'!$A$3-'Anchor Points'!$A$2)*('Anchor Points'!$E$3-'Anchor Points'!$E$2),IF(A37&lt;=25,'Anchor Points'!$E$3+(A37-'Anchor Points'!$A$3)/('Anchor Points'!$A$4-'Anchor Points'!$A$3)*('Anchor Points'!$E$4-'Anchor Points'!$E$3),IF(A37&lt;=40,'Anchor Points'!$E$4+(A37-'Anchor Points'!$A$4)/('Anchor Points'!$A$5-'Anchor Points'!$A$4)*('Anchor Points'!$E$5-'Anchor Points'!$E$4),IF(A37&lt;=55,'Anchor Points'!$E$5+(A37-'Anchor Points'!$A$5)/('Anchor Points'!$A$6-'Anchor Points'!$A$5)*('Anchor Points'!$E$6-'Anchor Points'!$E$5),IF(A37&lt;=70,'Anchor Points'!$E$6+(A37-'Anchor Points'!$A$6)/('Anchor Points'!$A$7-'Anchor Points'!$A$6)*('Anchor Points'!$E$7-'Anchor Points'!$E$6),IF(A37&lt;=90,'Anchor Points'!$E$7+(A37-'Anchor Points'!$A$7)/('Anchor Points'!$A$8-'Anchor Points'!$A$7)*('Anchor Points'!$E$8-'Anchor Points'!$E$7),'Anchor Points'!$E$8+(A37-'Anchor Points'!$A$8)/('Anchor Points'!$A$9-'Anchor Points'!$A$8)*('Anchor Points'!$E$9-'Anchor Points'!$E$8)))))))</x:f>
        <x:v>0</x:v>
      </x:c>
      <x:c r="H37" s="30" t="n">
        <x:f>ROUND(G37,0)</x:f>
        <x:v>0</x:v>
      </x:c>
      <x:c r="I37" s="28" t="n">
        <x:f>IF(A37&lt;=15,'Anchor Points'!$F$2+(A37-'Anchor Points'!$A$2)/('Anchor Points'!$A$3-'Anchor Points'!$A$2)*('Anchor Points'!$F$3-'Anchor Points'!$F$2),IF(A37&lt;=25,'Anchor Points'!$F$3+(A37-'Anchor Points'!$A$3)/('Anchor Points'!$A$4-'Anchor Points'!$A$3)*('Anchor Points'!$F$4-'Anchor Points'!$F$3),IF(A37&lt;=40,'Anchor Points'!$F$4+(A37-'Anchor Points'!$A$4)/('Anchor Points'!$A$5-'Anchor Points'!$A$4)*('Anchor Points'!$F$5-'Anchor Points'!$F$4),IF(A37&lt;=55,'Anchor Points'!$F$5+(A37-'Anchor Points'!$A$5)/('Anchor Points'!$A$6-'Anchor Points'!$A$5)*('Anchor Points'!$F$6-'Anchor Points'!$F$5),IF(A37&lt;=70,'Anchor Points'!$F$6+(A37-'Anchor Points'!$A$6)/('Anchor Points'!$A$7-'Anchor Points'!$A$6)*('Anchor Points'!$F$7-'Anchor Points'!$F$6),IF(A37&lt;=90,'Anchor Points'!$F$7+(A37-'Anchor Points'!$A$7)/('Anchor Points'!$A$8-'Anchor Points'!$A$7)*('Anchor Points'!$F$8-'Anchor Points'!$F$7),'Anchor Points'!$F$8+(A37-'Anchor Points'!$A$8)/('Anchor Points'!$A$9-'Anchor Points'!$A$8)*('Anchor Points'!$F$9-'Anchor Points'!$F$8)))))))</x:f>
        <x:v>0</x:v>
      </x:c>
      <x:c r="K37" s="36" t="n">
        <x:f>A13</x:f>
        <x:v>11</x:v>
      </x:c>
      <x:c r="L37" s="36" t="n">
        <x:f>E13</x:f>
        <x:v>0</x:v>
      </x:c>
      <x:c r="M37" s="36" t="n">
        <x:f>G13</x:f>
        <x:v>0</x:v>
      </x:c>
      <x:c r="N37" s="36" t="n">
        <x:f>I13</x:f>
        <x:v>0</x:v>
      </x:c>
    </x:row>
    <x:row r="38">
      <x:c r="A38" s="30" t="n">
        <x:v>36</x:v>
      </x:c>
      <x:c r="B38" s="11" t="str">
        <x:f>IF(A38&lt;=15,"Seedling",IF(A38&lt;=25,"Establishment",IF(A38&lt;=40,"Vegetative Growth",IF(A38&lt;=55,"Flowering &amp; Initial Fruit Set",IF(A38&lt;=80,"Fruit Enlargement",IF(A38&lt;=95,"Ripening","Harvesting"))))))</x:f>
        <x:v>Vegetative Growth</x:v>
      </x:c>
      <x:c r="C38" s="28" t="n">
        <x:f>IF(A38&lt;=15,'Anchor Points'!$B$2+(A38-'Anchor Points'!$A$2)/('Anchor Points'!$A$3-'Anchor Points'!$A$2)*('Anchor Points'!$B$3-'Anchor Points'!$B$2),IF(A38&lt;=25,'Anchor Points'!$B$3+(A38-'Anchor Points'!$A$3)/('Anchor Points'!$A$4-'Anchor Points'!$A$3)*('Anchor Points'!$B$4-'Anchor Points'!$B$3),IF(A38&lt;=40,'Anchor Points'!$B$4+(A38-'Anchor Points'!$A$4)/('Anchor Points'!$A$5-'Anchor Points'!$A$4)*('Anchor Points'!$B$5-'Anchor Points'!$B$4),IF(A38&lt;=55,'Anchor Points'!$B$5+(A38-'Anchor Points'!$A$5)/('Anchor Points'!$A$6-'Anchor Points'!$A$5)*('Anchor Points'!$B$6-'Anchor Points'!$B$5),IF(A38&lt;=70,'Anchor Points'!$B$6+(A38-'Anchor Points'!$A$6)/('Anchor Points'!$A$7-'Anchor Points'!$A$6)*('Anchor Points'!$B$7-'Anchor Points'!$B$6),IF(A38&lt;=90,'Anchor Points'!$B$7+(A38-'Anchor Points'!$A$7)/('Anchor Points'!$A$8-'Anchor Points'!$A$7)*('Anchor Points'!$B$8-'Anchor Points'!$B$7),'Anchor Points'!$B$8+(A38-'Anchor Points'!$A$8)/('Anchor Points'!$A$9-'Anchor Points'!$A$8)*('Anchor Points'!$B$9-'Anchor Points'!$B$8)))))))</x:f>
        <x:v>33.2</x:v>
      </x:c>
      <x:c r="D38" s="28" t="n">
        <x:f>IF(A38&lt;=15,'Anchor Points'!$C$2+(A38-'Anchor Points'!$A$2)/('Anchor Points'!$A$3-'Anchor Points'!$A$2)*('Anchor Points'!$C$3-'Anchor Points'!$C$2),IF(A38&lt;=25,'Anchor Points'!$C$3+(A38-'Anchor Points'!$A$3)/('Anchor Points'!$A$4-'Anchor Points'!$A$3)*('Anchor Points'!$C$4-'Anchor Points'!$C$3),IF(A38&lt;=40,'Anchor Points'!$C$4+(A38-'Anchor Points'!$A$4)/('Anchor Points'!$A$5-'Anchor Points'!$A$4)*('Anchor Points'!$C$5-'Anchor Points'!$C$4),IF(A38&lt;=55,'Anchor Points'!$C$5+(A38-'Anchor Points'!$A$5)/('Anchor Points'!$A$6-'Anchor Points'!$A$5)*('Anchor Points'!$C$6-'Anchor Points'!$C$5),IF(A38&lt;=70,'Anchor Points'!$C$6+(A38-'Anchor Points'!$A$6)/('Anchor Points'!$A$7-'Anchor Points'!$A$6)*('Anchor Points'!$C$7-'Anchor Points'!$C$6),IF(A38&lt;=90,'Anchor Points'!$C$7+(A38-'Anchor Points'!$A$7)/('Anchor Points'!$A$8-'Anchor Points'!$A$7)*('Anchor Points'!$C$8-'Anchor Points'!$C$7),'Anchor Points'!$C$8+(A38-'Anchor Points'!$A$8)/('Anchor Points'!$A$9-'Anchor Points'!$A$8)*('Anchor Points'!$C$9-'Anchor Points'!$C$8)))))))</x:f>
        <x:v>21</x:v>
      </x:c>
      <x:c r="E38" s="28" t="n">
        <x:f>IF(A38&lt;=15,'Anchor Points'!$D$2+(A38-'Anchor Points'!$A$2)/('Anchor Points'!$A$3-'Anchor Points'!$A$2)*('Anchor Points'!$D$3-'Anchor Points'!$D$2),IF(A38&lt;=25,'Anchor Points'!$D$3+(A38-'Anchor Points'!$A$3)/('Anchor Points'!$A$4-'Anchor Points'!$A$3)*('Anchor Points'!$D$4-'Anchor Points'!$D$3),IF(A38&lt;=40,'Anchor Points'!$D$4+(A38-'Anchor Points'!$A$4)/('Anchor Points'!$A$5-'Anchor Points'!$A$4)*('Anchor Points'!$D$5-'Anchor Points'!$D$4),IF(A38&lt;=55,'Anchor Points'!$D$5+(A38-'Anchor Points'!$A$5)/('Anchor Points'!$A$6-'Anchor Points'!$A$5)*('Anchor Points'!$D$6-'Anchor Points'!$D$5),IF(A38&lt;=70,'Anchor Points'!$D$6+(A38-'Anchor Points'!$A$6)/('Anchor Points'!$A$7-'Anchor Points'!$A$6)*('Anchor Points'!$D$7-'Anchor Points'!$D$6),IF(A38&lt;=90,'Anchor Points'!$D$7+(A38-'Anchor Points'!$A$7)/('Anchor Points'!$A$8-'Anchor Points'!$A$7)*('Anchor Points'!$D$8-'Anchor Points'!$D$7),'Anchor Points'!$D$8+(A38-'Anchor Points'!$A$8)/('Anchor Points'!$A$9-'Anchor Points'!$A$8)*('Anchor Points'!$D$9-'Anchor Points'!$D$8)))))))</x:f>
        <x:v>1.4666666666666666</x:v>
      </x:c>
      <x:c r="F38" s="30" t="n">
        <x:f>ROUND(E38,0)</x:f>
        <x:v>1</x:v>
      </x:c>
      <x:c r="G38" s="28" t="n">
        <x:f>IF(A38&lt;=15,'Anchor Points'!$E$2+(A38-'Anchor Points'!$A$2)/('Anchor Points'!$A$3-'Anchor Points'!$A$2)*('Anchor Points'!$E$3-'Anchor Points'!$E$2),IF(A38&lt;=25,'Anchor Points'!$E$3+(A38-'Anchor Points'!$A$3)/('Anchor Points'!$A$4-'Anchor Points'!$A$3)*('Anchor Points'!$E$4-'Anchor Points'!$E$3),IF(A38&lt;=40,'Anchor Points'!$E$4+(A38-'Anchor Points'!$A$4)/('Anchor Points'!$A$5-'Anchor Points'!$A$4)*('Anchor Points'!$E$5-'Anchor Points'!$E$4),IF(A38&lt;=55,'Anchor Points'!$E$5+(A38-'Anchor Points'!$A$5)/('Anchor Points'!$A$6-'Anchor Points'!$A$5)*('Anchor Points'!$E$6-'Anchor Points'!$E$5),IF(A38&lt;=70,'Anchor Points'!$E$6+(A38-'Anchor Points'!$A$6)/('Anchor Points'!$A$7-'Anchor Points'!$A$6)*('Anchor Points'!$E$7-'Anchor Points'!$E$6),IF(A38&lt;=90,'Anchor Points'!$E$7+(A38-'Anchor Points'!$A$7)/('Anchor Points'!$A$8-'Anchor Points'!$A$7)*('Anchor Points'!$E$8-'Anchor Points'!$E$7),'Anchor Points'!$E$8+(A38-'Anchor Points'!$A$8)/('Anchor Points'!$A$9-'Anchor Points'!$A$8)*('Anchor Points'!$E$9-'Anchor Points'!$E$8)))))))</x:f>
        <x:v>0</x:v>
      </x:c>
      <x:c r="H38" s="30" t="n">
        <x:f>ROUND(G38,0)</x:f>
        <x:v>0</x:v>
      </x:c>
      <x:c r="I38" s="28" t="n">
        <x:f>IF(A38&lt;=15,'Anchor Points'!$F$2+(A38-'Anchor Points'!$A$2)/('Anchor Points'!$A$3-'Anchor Points'!$A$2)*('Anchor Points'!$F$3-'Anchor Points'!$F$2),IF(A38&lt;=25,'Anchor Points'!$F$3+(A38-'Anchor Points'!$A$3)/('Anchor Points'!$A$4-'Anchor Points'!$A$3)*('Anchor Points'!$F$4-'Anchor Points'!$F$3),IF(A38&lt;=40,'Anchor Points'!$F$4+(A38-'Anchor Points'!$A$4)/('Anchor Points'!$A$5-'Anchor Points'!$A$4)*('Anchor Points'!$F$5-'Anchor Points'!$F$4),IF(A38&lt;=55,'Anchor Points'!$F$5+(A38-'Anchor Points'!$A$5)/('Anchor Points'!$A$6-'Anchor Points'!$A$5)*('Anchor Points'!$F$6-'Anchor Points'!$F$5),IF(A38&lt;=70,'Anchor Points'!$F$6+(A38-'Anchor Points'!$A$6)/('Anchor Points'!$A$7-'Anchor Points'!$A$6)*('Anchor Points'!$F$7-'Anchor Points'!$F$6),IF(A38&lt;=90,'Anchor Points'!$F$7+(A38-'Anchor Points'!$A$7)/('Anchor Points'!$A$8-'Anchor Points'!$A$7)*('Anchor Points'!$F$8-'Anchor Points'!$F$7),'Anchor Points'!$F$8+(A38-'Anchor Points'!$A$8)/('Anchor Points'!$A$9-'Anchor Points'!$A$8)*('Anchor Points'!$F$9-'Anchor Points'!$F$8)))))))</x:f>
        <x:v>0</x:v>
      </x:c>
      <x:c r="K38" s="36" t="n">
        <x:f>A14</x:f>
        <x:v>12</x:v>
      </x:c>
      <x:c r="L38" s="36" t="n">
        <x:f>E14</x:f>
        <x:v>0</x:v>
      </x:c>
      <x:c r="M38" s="36" t="n">
        <x:f>G14</x:f>
        <x:v>0</x:v>
      </x:c>
      <x:c r="N38" s="36" t="n">
        <x:f>I14</x:f>
        <x:v>0</x:v>
      </x:c>
    </x:row>
    <x:row r="39">
      <x:c r="A39" s="30" t="n">
        <x:v>37</x:v>
      </x:c>
      <x:c r="B39" s="11" t="str">
        <x:f>IF(A39&lt;=15,"Seedling",IF(A39&lt;=25,"Establishment",IF(A39&lt;=40,"Vegetative Growth",IF(A39&lt;=55,"Flowering &amp; Initial Fruit Set",IF(A39&lt;=80,"Fruit Enlargement",IF(A39&lt;=95,"Ripening","Harvesting"))))))</x:f>
        <x:v>Vegetative Growth</x:v>
      </x:c>
      <x:c r="C39" s="28" t="n">
        <x:f>IF(A39&lt;=15,'Anchor Points'!$B$2+(A39-'Anchor Points'!$A$2)/('Anchor Points'!$A$3-'Anchor Points'!$A$2)*('Anchor Points'!$B$3-'Anchor Points'!$B$2),IF(A39&lt;=25,'Anchor Points'!$B$3+(A39-'Anchor Points'!$A$3)/('Anchor Points'!$A$4-'Anchor Points'!$A$3)*('Anchor Points'!$B$4-'Anchor Points'!$B$3),IF(A39&lt;=40,'Anchor Points'!$B$4+(A39-'Anchor Points'!$A$4)/('Anchor Points'!$A$5-'Anchor Points'!$A$4)*('Anchor Points'!$B$5-'Anchor Points'!$B$4),IF(A39&lt;=55,'Anchor Points'!$B$5+(A39-'Anchor Points'!$A$5)/('Anchor Points'!$A$6-'Anchor Points'!$A$5)*('Anchor Points'!$B$6-'Anchor Points'!$B$5),IF(A39&lt;=70,'Anchor Points'!$B$6+(A39-'Anchor Points'!$A$6)/('Anchor Points'!$A$7-'Anchor Points'!$A$6)*('Anchor Points'!$B$7-'Anchor Points'!$B$6),IF(A39&lt;=90,'Anchor Points'!$B$7+(A39-'Anchor Points'!$A$7)/('Anchor Points'!$A$8-'Anchor Points'!$A$7)*('Anchor Points'!$B$8-'Anchor Points'!$B$7),'Anchor Points'!$B$8+(A39-'Anchor Points'!$A$8)/('Anchor Points'!$A$9-'Anchor Points'!$A$8)*('Anchor Points'!$B$9-'Anchor Points'!$B$8)))))))</x:f>
        <x:v>34.4</x:v>
      </x:c>
      <x:c r="D39" s="28" t="n">
        <x:f>IF(A39&lt;=15,'Anchor Points'!$C$2+(A39-'Anchor Points'!$A$2)/('Anchor Points'!$A$3-'Anchor Points'!$A$2)*('Anchor Points'!$C$3-'Anchor Points'!$C$2),IF(A39&lt;=25,'Anchor Points'!$C$3+(A39-'Anchor Points'!$A$3)/('Anchor Points'!$A$4-'Anchor Points'!$A$3)*('Anchor Points'!$C$4-'Anchor Points'!$C$3),IF(A39&lt;=40,'Anchor Points'!$C$4+(A39-'Anchor Points'!$A$4)/('Anchor Points'!$A$5-'Anchor Points'!$A$4)*('Anchor Points'!$C$5-'Anchor Points'!$C$4),IF(A39&lt;=55,'Anchor Points'!$C$5+(A39-'Anchor Points'!$A$5)/('Anchor Points'!$A$6-'Anchor Points'!$A$5)*('Anchor Points'!$C$6-'Anchor Points'!$C$5),IF(A39&lt;=70,'Anchor Points'!$C$6+(A39-'Anchor Points'!$A$6)/('Anchor Points'!$A$7-'Anchor Points'!$A$6)*('Anchor Points'!$C$7-'Anchor Points'!$C$6),IF(A39&lt;=90,'Anchor Points'!$C$7+(A39-'Anchor Points'!$A$7)/('Anchor Points'!$A$8-'Anchor Points'!$A$7)*('Anchor Points'!$C$8-'Anchor Points'!$C$7),'Anchor Points'!$C$8+(A39-'Anchor Points'!$A$8)/('Anchor Points'!$A$9-'Anchor Points'!$A$8)*('Anchor Points'!$C$9-'Anchor Points'!$C$8)))))))</x:f>
        <x:v>22</x:v>
      </x:c>
      <x:c r="E39" s="28" t="n">
        <x:f>IF(A39&lt;=15,'Anchor Points'!$D$2+(A39-'Anchor Points'!$A$2)/('Anchor Points'!$A$3-'Anchor Points'!$A$2)*('Anchor Points'!$D$3-'Anchor Points'!$D$2),IF(A39&lt;=25,'Anchor Points'!$D$3+(A39-'Anchor Points'!$A$3)/('Anchor Points'!$A$4-'Anchor Points'!$A$3)*('Anchor Points'!$D$4-'Anchor Points'!$D$3),IF(A39&lt;=40,'Anchor Points'!$D$4+(A39-'Anchor Points'!$A$4)/('Anchor Points'!$A$5-'Anchor Points'!$A$4)*('Anchor Points'!$D$5-'Anchor Points'!$D$4),IF(A39&lt;=55,'Anchor Points'!$D$5+(A39-'Anchor Points'!$A$5)/('Anchor Points'!$A$6-'Anchor Points'!$A$5)*('Anchor Points'!$D$6-'Anchor Points'!$D$5),IF(A39&lt;=70,'Anchor Points'!$D$6+(A39-'Anchor Points'!$A$6)/('Anchor Points'!$A$7-'Anchor Points'!$A$6)*('Anchor Points'!$D$7-'Anchor Points'!$D$6),IF(A39&lt;=90,'Anchor Points'!$D$7+(A39-'Anchor Points'!$A$7)/('Anchor Points'!$A$8-'Anchor Points'!$A$7)*('Anchor Points'!$D$8-'Anchor Points'!$D$7),'Anchor Points'!$D$8+(A39-'Anchor Points'!$A$8)/('Anchor Points'!$A$9-'Anchor Points'!$A$8)*('Anchor Points'!$D$9-'Anchor Points'!$D$8)))))))</x:f>
        <x:v>1.6</x:v>
      </x:c>
      <x:c r="F39" s="30" t="n">
        <x:f>ROUND(E39,0)</x:f>
        <x:v>2</x:v>
      </x:c>
      <x:c r="G39" s="28" t="n">
        <x:f>IF(A39&lt;=15,'Anchor Points'!$E$2+(A39-'Anchor Points'!$A$2)/('Anchor Points'!$A$3-'Anchor Points'!$A$2)*('Anchor Points'!$E$3-'Anchor Points'!$E$2),IF(A39&lt;=25,'Anchor Points'!$E$3+(A39-'Anchor Points'!$A$3)/('Anchor Points'!$A$4-'Anchor Points'!$A$3)*('Anchor Points'!$E$4-'Anchor Points'!$E$3),IF(A39&lt;=40,'Anchor Points'!$E$4+(A39-'Anchor Points'!$A$4)/('Anchor Points'!$A$5-'Anchor Points'!$A$4)*('Anchor Points'!$E$5-'Anchor Points'!$E$4),IF(A39&lt;=55,'Anchor Points'!$E$5+(A39-'Anchor Points'!$A$5)/('Anchor Points'!$A$6-'Anchor Points'!$A$5)*('Anchor Points'!$E$6-'Anchor Points'!$E$5),IF(A39&lt;=70,'Anchor Points'!$E$6+(A39-'Anchor Points'!$A$6)/('Anchor Points'!$A$7-'Anchor Points'!$A$6)*('Anchor Points'!$E$7-'Anchor Points'!$E$6),IF(A39&lt;=90,'Anchor Points'!$E$7+(A39-'Anchor Points'!$A$7)/('Anchor Points'!$A$8-'Anchor Points'!$A$7)*('Anchor Points'!$E$8-'Anchor Points'!$E$7),'Anchor Points'!$E$8+(A39-'Anchor Points'!$A$8)/('Anchor Points'!$A$9-'Anchor Points'!$A$8)*('Anchor Points'!$E$9-'Anchor Points'!$E$8)))))))</x:f>
        <x:v>0</x:v>
      </x:c>
      <x:c r="H39" s="30" t="n">
        <x:f>ROUND(G39,0)</x:f>
        <x:v>0</x:v>
      </x:c>
      <x:c r="I39" s="28" t="n">
        <x:f>IF(A39&lt;=15,'Anchor Points'!$F$2+(A39-'Anchor Points'!$A$2)/('Anchor Points'!$A$3-'Anchor Points'!$A$2)*('Anchor Points'!$F$3-'Anchor Points'!$F$2),IF(A39&lt;=25,'Anchor Points'!$F$3+(A39-'Anchor Points'!$A$3)/('Anchor Points'!$A$4-'Anchor Points'!$A$3)*('Anchor Points'!$F$4-'Anchor Points'!$F$3),IF(A39&lt;=40,'Anchor Points'!$F$4+(A39-'Anchor Points'!$A$4)/('Anchor Points'!$A$5-'Anchor Points'!$A$4)*('Anchor Points'!$F$5-'Anchor Points'!$F$4),IF(A39&lt;=55,'Anchor Points'!$F$5+(A39-'Anchor Points'!$A$5)/('Anchor Points'!$A$6-'Anchor Points'!$A$5)*('Anchor Points'!$F$6-'Anchor Points'!$F$5),IF(A39&lt;=70,'Anchor Points'!$F$6+(A39-'Anchor Points'!$A$6)/('Anchor Points'!$A$7-'Anchor Points'!$A$6)*('Anchor Points'!$F$7-'Anchor Points'!$F$6),IF(A39&lt;=90,'Anchor Points'!$F$7+(A39-'Anchor Points'!$A$7)/('Anchor Points'!$A$8-'Anchor Points'!$A$7)*('Anchor Points'!$F$8-'Anchor Points'!$F$7),'Anchor Points'!$F$8+(A39-'Anchor Points'!$A$8)/('Anchor Points'!$A$9-'Anchor Points'!$A$8)*('Anchor Points'!$F$9-'Anchor Points'!$F$8)))))))</x:f>
        <x:v>0</x:v>
      </x:c>
      <x:c r="K39" s="36" t="n">
        <x:f>A15</x:f>
        <x:v>13</x:v>
      </x:c>
      <x:c r="L39" s="36" t="n">
        <x:f>E15</x:f>
        <x:v>0</x:v>
      </x:c>
      <x:c r="M39" s="36" t="n">
        <x:f>G15</x:f>
        <x:v>0</x:v>
      </x:c>
      <x:c r="N39" s="36" t="n">
        <x:f>I15</x:f>
        <x:v>0</x:v>
      </x:c>
    </x:row>
    <x:row r="40">
      <x:c r="A40" s="30" t="n">
        <x:v>38</x:v>
      </x:c>
      <x:c r="B40" s="11" t="str">
        <x:f>IF(A40&lt;=15,"Seedling",IF(A40&lt;=25,"Establishment",IF(A40&lt;=40,"Vegetative Growth",IF(A40&lt;=55,"Flowering &amp; Initial Fruit Set",IF(A40&lt;=80,"Fruit Enlargement",IF(A40&lt;=95,"Ripening","Harvesting"))))))</x:f>
        <x:v>Vegetative Growth</x:v>
      </x:c>
      <x:c r="C40" s="28" t="n">
        <x:f>IF(A40&lt;=15,'Anchor Points'!$B$2+(A40-'Anchor Points'!$A$2)/('Anchor Points'!$A$3-'Anchor Points'!$A$2)*('Anchor Points'!$B$3-'Anchor Points'!$B$2),IF(A40&lt;=25,'Anchor Points'!$B$3+(A40-'Anchor Points'!$A$3)/('Anchor Points'!$A$4-'Anchor Points'!$A$3)*('Anchor Points'!$B$4-'Anchor Points'!$B$3),IF(A40&lt;=40,'Anchor Points'!$B$4+(A40-'Anchor Points'!$A$4)/('Anchor Points'!$A$5-'Anchor Points'!$A$4)*('Anchor Points'!$B$5-'Anchor Points'!$B$4),IF(A40&lt;=55,'Anchor Points'!$B$5+(A40-'Anchor Points'!$A$5)/('Anchor Points'!$A$6-'Anchor Points'!$A$5)*('Anchor Points'!$B$6-'Anchor Points'!$B$5),IF(A40&lt;=70,'Anchor Points'!$B$6+(A40-'Anchor Points'!$A$6)/('Anchor Points'!$A$7-'Anchor Points'!$A$6)*('Anchor Points'!$B$7-'Anchor Points'!$B$6),IF(A40&lt;=90,'Anchor Points'!$B$7+(A40-'Anchor Points'!$A$7)/('Anchor Points'!$A$8-'Anchor Points'!$A$7)*('Anchor Points'!$B$8-'Anchor Points'!$B$7),'Anchor Points'!$B$8+(A40-'Anchor Points'!$A$8)/('Anchor Points'!$A$9-'Anchor Points'!$A$8)*('Anchor Points'!$B$9-'Anchor Points'!$B$8)))))))</x:f>
        <x:v>35.6</x:v>
      </x:c>
      <x:c r="D40" s="28" t="n">
        <x:f>IF(A40&lt;=15,'Anchor Points'!$C$2+(A40-'Anchor Points'!$A$2)/('Anchor Points'!$A$3-'Anchor Points'!$A$2)*('Anchor Points'!$C$3-'Anchor Points'!$C$2),IF(A40&lt;=25,'Anchor Points'!$C$3+(A40-'Anchor Points'!$A$3)/('Anchor Points'!$A$4-'Anchor Points'!$A$3)*('Anchor Points'!$C$4-'Anchor Points'!$C$3),IF(A40&lt;=40,'Anchor Points'!$C$4+(A40-'Anchor Points'!$A$4)/('Anchor Points'!$A$5-'Anchor Points'!$A$4)*('Anchor Points'!$C$5-'Anchor Points'!$C$4),IF(A40&lt;=55,'Anchor Points'!$C$5+(A40-'Anchor Points'!$A$5)/('Anchor Points'!$A$6-'Anchor Points'!$A$5)*('Anchor Points'!$C$6-'Anchor Points'!$C$5),IF(A40&lt;=70,'Anchor Points'!$C$6+(A40-'Anchor Points'!$A$6)/('Anchor Points'!$A$7-'Anchor Points'!$A$6)*('Anchor Points'!$C$7-'Anchor Points'!$C$6),IF(A40&lt;=90,'Anchor Points'!$C$7+(A40-'Anchor Points'!$A$7)/('Anchor Points'!$A$8-'Anchor Points'!$A$7)*('Anchor Points'!$C$8-'Anchor Points'!$C$7),'Anchor Points'!$C$8+(A40-'Anchor Points'!$A$8)/('Anchor Points'!$A$9-'Anchor Points'!$A$8)*('Anchor Points'!$C$9-'Anchor Points'!$C$8)))))))</x:f>
        <x:v>23</x:v>
      </x:c>
      <x:c r="E40" s="28" t="n">
        <x:f>IF(A40&lt;=15,'Anchor Points'!$D$2+(A40-'Anchor Points'!$A$2)/('Anchor Points'!$A$3-'Anchor Points'!$A$2)*('Anchor Points'!$D$3-'Anchor Points'!$D$2),IF(A40&lt;=25,'Anchor Points'!$D$3+(A40-'Anchor Points'!$A$3)/('Anchor Points'!$A$4-'Anchor Points'!$A$3)*('Anchor Points'!$D$4-'Anchor Points'!$D$3),IF(A40&lt;=40,'Anchor Points'!$D$4+(A40-'Anchor Points'!$A$4)/('Anchor Points'!$A$5-'Anchor Points'!$A$4)*('Anchor Points'!$D$5-'Anchor Points'!$D$4),IF(A40&lt;=55,'Anchor Points'!$D$5+(A40-'Anchor Points'!$A$5)/('Anchor Points'!$A$6-'Anchor Points'!$A$5)*('Anchor Points'!$D$6-'Anchor Points'!$D$5),IF(A40&lt;=70,'Anchor Points'!$D$6+(A40-'Anchor Points'!$A$6)/('Anchor Points'!$A$7-'Anchor Points'!$A$6)*('Anchor Points'!$D$7-'Anchor Points'!$D$6),IF(A40&lt;=90,'Anchor Points'!$D$7+(A40-'Anchor Points'!$A$7)/('Anchor Points'!$A$8-'Anchor Points'!$A$7)*('Anchor Points'!$D$8-'Anchor Points'!$D$7),'Anchor Points'!$D$8+(A40-'Anchor Points'!$A$8)/('Anchor Points'!$A$9-'Anchor Points'!$A$8)*('Anchor Points'!$D$9-'Anchor Points'!$D$8)))))))</x:f>
        <x:v>1.7333333333333334</x:v>
      </x:c>
      <x:c r="F40" s="30" t="n">
        <x:f>ROUND(E40,0)</x:f>
        <x:v>2</x:v>
      </x:c>
      <x:c r="G40" s="28" t="n">
        <x:f>IF(A40&lt;=15,'Anchor Points'!$E$2+(A40-'Anchor Points'!$A$2)/('Anchor Points'!$A$3-'Anchor Points'!$A$2)*('Anchor Points'!$E$3-'Anchor Points'!$E$2),IF(A40&lt;=25,'Anchor Points'!$E$3+(A40-'Anchor Points'!$A$3)/('Anchor Points'!$A$4-'Anchor Points'!$A$3)*('Anchor Points'!$E$4-'Anchor Points'!$E$3),IF(A40&lt;=40,'Anchor Points'!$E$4+(A40-'Anchor Points'!$A$4)/('Anchor Points'!$A$5-'Anchor Points'!$A$4)*('Anchor Points'!$E$5-'Anchor Points'!$E$4),IF(A40&lt;=55,'Anchor Points'!$E$5+(A40-'Anchor Points'!$A$5)/('Anchor Points'!$A$6-'Anchor Points'!$A$5)*('Anchor Points'!$E$6-'Anchor Points'!$E$5),IF(A40&lt;=70,'Anchor Points'!$E$6+(A40-'Anchor Points'!$A$6)/('Anchor Points'!$A$7-'Anchor Points'!$A$6)*('Anchor Points'!$E$7-'Anchor Points'!$E$6),IF(A40&lt;=90,'Anchor Points'!$E$7+(A40-'Anchor Points'!$A$7)/('Anchor Points'!$A$8-'Anchor Points'!$A$7)*('Anchor Points'!$E$8-'Anchor Points'!$E$7),'Anchor Points'!$E$8+(A40-'Anchor Points'!$A$8)/('Anchor Points'!$A$9-'Anchor Points'!$A$8)*('Anchor Points'!$E$9-'Anchor Points'!$E$8)))))))</x:f>
        <x:v>0</x:v>
      </x:c>
      <x:c r="H40" s="30" t="n">
        <x:f>ROUND(G40,0)</x:f>
        <x:v>0</x:v>
      </x:c>
      <x:c r="I40" s="28" t="n">
        <x:f>IF(A40&lt;=15,'Anchor Points'!$F$2+(A40-'Anchor Points'!$A$2)/('Anchor Points'!$A$3-'Anchor Points'!$A$2)*('Anchor Points'!$F$3-'Anchor Points'!$F$2),IF(A40&lt;=25,'Anchor Points'!$F$3+(A40-'Anchor Points'!$A$3)/('Anchor Points'!$A$4-'Anchor Points'!$A$3)*('Anchor Points'!$F$4-'Anchor Points'!$F$3),IF(A40&lt;=40,'Anchor Points'!$F$4+(A40-'Anchor Points'!$A$4)/('Anchor Points'!$A$5-'Anchor Points'!$A$4)*('Anchor Points'!$F$5-'Anchor Points'!$F$4),IF(A40&lt;=55,'Anchor Points'!$F$5+(A40-'Anchor Points'!$A$5)/('Anchor Points'!$A$6-'Anchor Points'!$A$5)*('Anchor Points'!$F$6-'Anchor Points'!$F$5),IF(A40&lt;=70,'Anchor Points'!$F$6+(A40-'Anchor Points'!$A$6)/('Anchor Points'!$A$7-'Anchor Points'!$A$6)*('Anchor Points'!$F$7-'Anchor Points'!$F$6),IF(A40&lt;=90,'Anchor Points'!$F$7+(A40-'Anchor Points'!$A$7)/('Anchor Points'!$A$8-'Anchor Points'!$A$7)*('Anchor Points'!$F$8-'Anchor Points'!$F$7),'Anchor Points'!$F$8+(A40-'Anchor Points'!$A$8)/('Anchor Points'!$A$9-'Anchor Points'!$A$8)*('Anchor Points'!$F$9-'Anchor Points'!$F$8)))))))</x:f>
        <x:v>0</x:v>
      </x:c>
      <x:c r="K40" s="36" t="n">
        <x:f>A16</x:f>
        <x:v>14</x:v>
      </x:c>
      <x:c r="L40" s="36" t="n">
        <x:f>E16</x:f>
        <x:v>0</x:v>
      </x:c>
      <x:c r="M40" s="36" t="n">
        <x:f>G16</x:f>
        <x:v>0</x:v>
      </x:c>
      <x:c r="N40" s="36" t="n">
        <x:f>I16</x:f>
        <x:v>0</x:v>
      </x:c>
    </x:row>
    <x:row r="41">
      <x:c r="A41" s="30" t="n">
        <x:v>39</x:v>
      </x:c>
      <x:c r="B41" s="11" t="str">
        <x:f>IF(A41&lt;=15,"Seedling",IF(A41&lt;=25,"Establishment",IF(A41&lt;=40,"Vegetative Growth",IF(A41&lt;=55,"Flowering &amp; Initial Fruit Set",IF(A41&lt;=80,"Fruit Enlargement",IF(A41&lt;=95,"Ripening","Harvesting"))))))</x:f>
        <x:v>Vegetative Growth</x:v>
      </x:c>
      <x:c r="C41" s="28" t="n">
        <x:f>IF(A41&lt;=15,'Anchor Points'!$B$2+(A41-'Anchor Points'!$A$2)/('Anchor Points'!$A$3-'Anchor Points'!$A$2)*('Anchor Points'!$B$3-'Anchor Points'!$B$2),IF(A41&lt;=25,'Anchor Points'!$B$3+(A41-'Anchor Points'!$A$3)/('Anchor Points'!$A$4-'Anchor Points'!$A$3)*('Anchor Points'!$B$4-'Anchor Points'!$B$3),IF(A41&lt;=40,'Anchor Points'!$B$4+(A41-'Anchor Points'!$A$4)/('Anchor Points'!$A$5-'Anchor Points'!$A$4)*('Anchor Points'!$B$5-'Anchor Points'!$B$4),IF(A41&lt;=55,'Anchor Points'!$B$5+(A41-'Anchor Points'!$A$5)/('Anchor Points'!$A$6-'Anchor Points'!$A$5)*('Anchor Points'!$B$6-'Anchor Points'!$B$5),IF(A41&lt;=70,'Anchor Points'!$B$6+(A41-'Anchor Points'!$A$6)/('Anchor Points'!$A$7-'Anchor Points'!$A$6)*('Anchor Points'!$B$7-'Anchor Points'!$B$6),IF(A41&lt;=90,'Anchor Points'!$B$7+(A41-'Anchor Points'!$A$7)/('Anchor Points'!$A$8-'Anchor Points'!$A$7)*('Anchor Points'!$B$8-'Anchor Points'!$B$7),'Anchor Points'!$B$8+(A41-'Anchor Points'!$A$8)/('Anchor Points'!$A$9-'Anchor Points'!$A$8)*('Anchor Points'!$B$9-'Anchor Points'!$B$8)))))))</x:f>
        <x:v>36.8</x:v>
      </x:c>
      <x:c r="D41" s="28" t="n">
        <x:f>IF(A41&lt;=15,'Anchor Points'!$C$2+(A41-'Anchor Points'!$A$2)/('Anchor Points'!$A$3-'Anchor Points'!$A$2)*('Anchor Points'!$C$3-'Anchor Points'!$C$2),IF(A41&lt;=25,'Anchor Points'!$C$3+(A41-'Anchor Points'!$A$3)/('Anchor Points'!$A$4-'Anchor Points'!$A$3)*('Anchor Points'!$C$4-'Anchor Points'!$C$3),IF(A41&lt;=40,'Anchor Points'!$C$4+(A41-'Anchor Points'!$A$4)/('Anchor Points'!$A$5-'Anchor Points'!$A$4)*('Anchor Points'!$C$5-'Anchor Points'!$C$4),IF(A41&lt;=55,'Anchor Points'!$C$5+(A41-'Anchor Points'!$A$5)/('Anchor Points'!$A$6-'Anchor Points'!$A$5)*('Anchor Points'!$C$6-'Anchor Points'!$C$5),IF(A41&lt;=70,'Anchor Points'!$C$6+(A41-'Anchor Points'!$A$6)/('Anchor Points'!$A$7-'Anchor Points'!$A$6)*('Anchor Points'!$C$7-'Anchor Points'!$C$6),IF(A41&lt;=90,'Anchor Points'!$C$7+(A41-'Anchor Points'!$A$7)/('Anchor Points'!$A$8-'Anchor Points'!$A$7)*('Anchor Points'!$C$8-'Anchor Points'!$C$7),'Anchor Points'!$C$8+(A41-'Anchor Points'!$A$8)/('Anchor Points'!$A$9-'Anchor Points'!$A$8)*('Anchor Points'!$C$9-'Anchor Points'!$C$8)))))))</x:f>
        <x:v>24</x:v>
      </x:c>
      <x:c r="E41" s="28" t="n">
        <x:f>IF(A41&lt;=15,'Anchor Points'!$D$2+(A41-'Anchor Points'!$A$2)/('Anchor Points'!$A$3-'Anchor Points'!$A$2)*('Anchor Points'!$D$3-'Anchor Points'!$D$2),IF(A41&lt;=25,'Anchor Points'!$D$3+(A41-'Anchor Points'!$A$3)/('Anchor Points'!$A$4-'Anchor Points'!$A$3)*('Anchor Points'!$D$4-'Anchor Points'!$D$3),IF(A41&lt;=40,'Anchor Points'!$D$4+(A41-'Anchor Points'!$A$4)/('Anchor Points'!$A$5-'Anchor Points'!$A$4)*('Anchor Points'!$D$5-'Anchor Points'!$D$4),IF(A41&lt;=55,'Anchor Points'!$D$5+(A41-'Anchor Points'!$A$5)/('Anchor Points'!$A$6-'Anchor Points'!$A$5)*('Anchor Points'!$D$6-'Anchor Points'!$D$5),IF(A41&lt;=70,'Anchor Points'!$D$6+(A41-'Anchor Points'!$A$6)/('Anchor Points'!$A$7-'Anchor Points'!$A$6)*('Anchor Points'!$D$7-'Anchor Points'!$D$6),IF(A41&lt;=90,'Anchor Points'!$D$7+(A41-'Anchor Points'!$A$7)/('Anchor Points'!$A$8-'Anchor Points'!$A$7)*('Anchor Points'!$D$8-'Anchor Points'!$D$7),'Anchor Points'!$D$8+(A41-'Anchor Points'!$A$8)/('Anchor Points'!$A$9-'Anchor Points'!$A$8)*('Anchor Points'!$D$9-'Anchor Points'!$D$8)))))))</x:f>
        <x:v>1.8666666666666667</x:v>
      </x:c>
      <x:c r="F41" s="30" t="n">
        <x:f>ROUND(E41,0)</x:f>
        <x:v>2</x:v>
      </x:c>
      <x:c r="G41" s="28" t="n">
        <x:f>IF(A41&lt;=15,'Anchor Points'!$E$2+(A41-'Anchor Points'!$A$2)/('Anchor Points'!$A$3-'Anchor Points'!$A$2)*('Anchor Points'!$E$3-'Anchor Points'!$E$2),IF(A41&lt;=25,'Anchor Points'!$E$3+(A41-'Anchor Points'!$A$3)/('Anchor Points'!$A$4-'Anchor Points'!$A$3)*('Anchor Points'!$E$4-'Anchor Points'!$E$3),IF(A41&lt;=40,'Anchor Points'!$E$4+(A41-'Anchor Points'!$A$4)/('Anchor Points'!$A$5-'Anchor Points'!$A$4)*('Anchor Points'!$E$5-'Anchor Points'!$E$4),IF(A41&lt;=55,'Anchor Points'!$E$5+(A41-'Anchor Points'!$A$5)/('Anchor Points'!$A$6-'Anchor Points'!$A$5)*('Anchor Points'!$E$6-'Anchor Points'!$E$5),IF(A41&lt;=70,'Anchor Points'!$E$6+(A41-'Anchor Points'!$A$6)/('Anchor Points'!$A$7-'Anchor Points'!$A$6)*('Anchor Points'!$E$7-'Anchor Points'!$E$6),IF(A41&lt;=90,'Anchor Points'!$E$7+(A41-'Anchor Points'!$A$7)/('Anchor Points'!$A$8-'Anchor Points'!$A$7)*('Anchor Points'!$E$8-'Anchor Points'!$E$7),'Anchor Points'!$E$8+(A41-'Anchor Points'!$A$8)/('Anchor Points'!$A$9-'Anchor Points'!$A$8)*('Anchor Points'!$E$9-'Anchor Points'!$E$8)))))))</x:f>
        <x:v>0</x:v>
      </x:c>
      <x:c r="H41" s="30" t="n">
        <x:f>ROUND(G41,0)</x:f>
        <x:v>0</x:v>
      </x:c>
      <x:c r="I41" s="28" t="n">
        <x:f>IF(A41&lt;=15,'Anchor Points'!$F$2+(A41-'Anchor Points'!$A$2)/('Anchor Points'!$A$3-'Anchor Points'!$A$2)*('Anchor Points'!$F$3-'Anchor Points'!$F$2),IF(A41&lt;=25,'Anchor Points'!$F$3+(A41-'Anchor Points'!$A$3)/('Anchor Points'!$A$4-'Anchor Points'!$A$3)*('Anchor Points'!$F$4-'Anchor Points'!$F$3),IF(A41&lt;=40,'Anchor Points'!$F$4+(A41-'Anchor Points'!$A$4)/('Anchor Points'!$A$5-'Anchor Points'!$A$4)*('Anchor Points'!$F$5-'Anchor Points'!$F$4),IF(A41&lt;=55,'Anchor Points'!$F$5+(A41-'Anchor Points'!$A$5)/('Anchor Points'!$A$6-'Anchor Points'!$A$5)*('Anchor Points'!$F$6-'Anchor Points'!$F$5),IF(A41&lt;=70,'Anchor Points'!$F$6+(A41-'Anchor Points'!$A$6)/('Anchor Points'!$A$7-'Anchor Points'!$A$6)*('Anchor Points'!$F$7-'Anchor Points'!$F$6),IF(A41&lt;=90,'Anchor Points'!$F$7+(A41-'Anchor Points'!$A$7)/('Anchor Points'!$A$8-'Anchor Points'!$A$7)*('Anchor Points'!$F$8-'Anchor Points'!$F$7),'Anchor Points'!$F$8+(A41-'Anchor Points'!$A$8)/('Anchor Points'!$A$9-'Anchor Points'!$A$8)*('Anchor Points'!$F$9-'Anchor Points'!$F$8)))))))</x:f>
        <x:v>0</x:v>
      </x:c>
      <x:c r="K41" s="36" t="n">
        <x:f>A17</x:f>
        <x:v>15</x:v>
      </x:c>
      <x:c r="L41" s="36" t="n">
        <x:f>E17</x:f>
        <x:v>0</x:v>
      </x:c>
      <x:c r="M41" s="36" t="n">
        <x:f>G17</x:f>
        <x:v>0</x:v>
      </x:c>
      <x:c r="N41" s="36" t="n">
        <x:f>I17</x:f>
        <x:v>0</x:v>
      </x:c>
    </x:row>
    <x:row r="42">
      <x:c r="A42" s="30" t="n">
        <x:v>40</x:v>
      </x:c>
      <x:c r="B42" s="11" t="str">
        <x:f>IF(A42&lt;=15,"Seedling",IF(A42&lt;=25,"Establishment",IF(A42&lt;=40,"Vegetative Growth",IF(A42&lt;=55,"Flowering &amp; Initial Fruit Set",IF(A42&lt;=80,"Fruit Enlargement",IF(A42&lt;=95,"Ripening","Harvesting"))))))</x:f>
        <x:v>Vegetative Growth</x:v>
      </x:c>
      <x:c r="C42" s="28" t="n">
        <x:f>IF(A42&lt;=15,'Anchor Points'!$B$2+(A42-'Anchor Points'!$A$2)/('Anchor Points'!$A$3-'Anchor Points'!$A$2)*('Anchor Points'!$B$3-'Anchor Points'!$B$2),IF(A42&lt;=25,'Anchor Points'!$B$3+(A42-'Anchor Points'!$A$3)/('Anchor Points'!$A$4-'Anchor Points'!$A$3)*('Anchor Points'!$B$4-'Anchor Points'!$B$3),IF(A42&lt;=40,'Anchor Points'!$B$4+(A42-'Anchor Points'!$A$4)/('Anchor Points'!$A$5-'Anchor Points'!$A$4)*('Anchor Points'!$B$5-'Anchor Points'!$B$4),IF(A42&lt;=55,'Anchor Points'!$B$5+(A42-'Anchor Points'!$A$5)/('Anchor Points'!$A$6-'Anchor Points'!$A$5)*('Anchor Points'!$B$6-'Anchor Points'!$B$5),IF(A42&lt;=70,'Anchor Points'!$B$6+(A42-'Anchor Points'!$A$6)/('Anchor Points'!$A$7-'Anchor Points'!$A$6)*('Anchor Points'!$B$7-'Anchor Points'!$B$6),IF(A42&lt;=90,'Anchor Points'!$B$7+(A42-'Anchor Points'!$A$7)/('Anchor Points'!$A$8-'Anchor Points'!$A$7)*('Anchor Points'!$B$8-'Anchor Points'!$B$7),'Anchor Points'!$B$8+(A42-'Anchor Points'!$A$8)/('Anchor Points'!$A$9-'Anchor Points'!$A$8)*('Anchor Points'!$B$9-'Anchor Points'!$B$8)))))))</x:f>
        <x:v>38</x:v>
      </x:c>
      <x:c r="D42" s="28" t="n">
        <x:f>IF(A42&lt;=15,'Anchor Points'!$C$2+(A42-'Anchor Points'!$A$2)/('Anchor Points'!$A$3-'Anchor Points'!$A$2)*('Anchor Points'!$C$3-'Anchor Points'!$C$2),IF(A42&lt;=25,'Anchor Points'!$C$3+(A42-'Anchor Points'!$A$3)/('Anchor Points'!$A$4-'Anchor Points'!$A$3)*('Anchor Points'!$C$4-'Anchor Points'!$C$3),IF(A42&lt;=40,'Anchor Points'!$C$4+(A42-'Anchor Points'!$A$4)/('Anchor Points'!$A$5-'Anchor Points'!$A$4)*('Anchor Points'!$C$5-'Anchor Points'!$C$4),IF(A42&lt;=55,'Anchor Points'!$C$5+(A42-'Anchor Points'!$A$5)/('Anchor Points'!$A$6-'Anchor Points'!$A$5)*('Anchor Points'!$C$6-'Anchor Points'!$C$5),IF(A42&lt;=70,'Anchor Points'!$C$6+(A42-'Anchor Points'!$A$6)/('Anchor Points'!$A$7-'Anchor Points'!$A$6)*('Anchor Points'!$C$7-'Anchor Points'!$C$6),IF(A42&lt;=90,'Anchor Points'!$C$7+(A42-'Anchor Points'!$A$7)/('Anchor Points'!$A$8-'Anchor Points'!$A$7)*('Anchor Points'!$C$8-'Anchor Points'!$C$7),'Anchor Points'!$C$8+(A42-'Anchor Points'!$A$8)/('Anchor Points'!$A$9-'Anchor Points'!$A$8)*('Anchor Points'!$C$9-'Anchor Points'!$C$8)))))))</x:f>
        <x:v>25</x:v>
      </x:c>
      <x:c r="E42" s="28" t="n">
        <x:f>IF(A42&lt;=15,'Anchor Points'!$D$2+(A42-'Anchor Points'!$A$2)/('Anchor Points'!$A$3-'Anchor Points'!$A$2)*('Anchor Points'!$D$3-'Anchor Points'!$D$2),IF(A42&lt;=25,'Anchor Points'!$D$3+(A42-'Anchor Points'!$A$3)/('Anchor Points'!$A$4-'Anchor Points'!$A$3)*('Anchor Points'!$D$4-'Anchor Points'!$D$3),IF(A42&lt;=40,'Anchor Points'!$D$4+(A42-'Anchor Points'!$A$4)/('Anchor Points'!$A$5-'Anchor Points'!$A$4)*('Anchor Points'!$D$5-'Anchor Points'!$D$4),IF(A42&lt;=55,'Anchor Points'!$D$5+(A42-'Anchor Points'!$A$5)/('Anchor Points'!$A$6-'Anchor Points'!$A$5)*('Anchor Points'!$D$6-'Anchor Points'!$D$5),IF(A42&lt;=70,'Anchor Points'!$D$6+(A42-'Anchor Points'!$A$6)/('Anchor Points'!$A$7-'Anchor Points'!$A$6)*('Anchor Points'!$D$7-'Anchor Points'!$D$6),IF(A42&lt;=90,'Anchor Points'!$D$7+(A42-'Anchor Points'!$A$7)/('Anchor Points'!$A$8-'Anchor Points'!$A$7)*('Anchor Points'!$D$8-'Anchor Points'!$D$7),'Anchor Points'!$D$8+(A42-'Anchor Points'!$A$8)/('Anchor Points'!$A$9-'Anchor Points'!$A$8)*('Anchor Points'!$D$9-'Anchor Points'!$D$8)))))))</x:f>
        <x:v>2</x:v>
      </x:c>
      <x:c r="F42" s="30" t="n">
        <x:f>ROUND(E42,0)</x:f>
        <x:v>2</x:v>
      </x:c>
      <x:c r="G42" s="28" t="n">
        <x:f>IF(A42&lt;=15,'Anchor Points'!$E$2+(A42-'Anchor Points'!$A$2)/('Anchor Points'!$A$3-'Anchor Points'!$A$2)*('Anchor Points'!$E$3-'Anchor Points'!$E$2),IF(A42&lt;=25,'Anchor Points'!$E$3+(A42-'Anchor Points'!$A$3)/('Anchor Points'!$A$4-'Anchor Points'!$A$3)*('Anchor Points'!$E$4-'Anchor Points'!$E$3),IF(A42&lt;=40,'Anchor Points'!$E$4+(A42-'Anchor Points'!$A$4)/('Anchor Points'!$A$5-'Anchor Points'!$A$4)*('Anchor Points'!$E$5-'Anchor Points'!$E$4),IF(A42&lt;=55,'Anchor Points'!$E$5+(A42-'Anchor Points'!$A$5)/('Anchor Points'!$A$6-'Anchor Points'!$A$5)*('Anchor Points'!$E$6-'Anchor Points'!$E$5),IF(A42&lt;=70,'Anchor Points'!$E$6+(A42-'Anchor Points'!$A$6)/('Anchor Points'!$A$7-'Anchor Points'!$A$6)*('Anchor Points'!$E$7-'Anchor Points'!$E$6),IF(A42&lt;=90,'Anchor Points'!$E$7+(A42-'Anchor Points'!$A$7)/('Anchor Points'!$A$8-'Anchor Points'!$A$7)*('Anchor Points'!$E$8-'Anchor Points'!$E$7),'Anchor Points'!$E$8+(A42-'Anchor Points'!$A$8)/('Anchor Points'!$A$9-'Anchor Points'!$A$8)*('Anchor Points'!$E$9-'Anchor Points'!$E$8)))))))</x:f>
        <x:v>0</x:v>
      </x:c>
      <x:c r="H42" s="30" t="n">
        <x:f>ROUND(G42,0)</x:f>
        <x:v>0</x:v>
      </x:c>
      <x:c r="I42" s="28" t="n">
        <x:f>IF(A42&lt;=15,'Anchor Points'!$F$2+(A42-'Anchor Points'!$A$2)/('Anchor Points'!$A$3-'Anchor Points'!$A$2)*('Anchor Points'!$F$3-'Anchor Points'!$F$2),IF(A42&lt;=25,'Anchor Points'!$F$3+(A42-'Anchor Points'!$A$3)/('Anchor Points'!$A$4-'Anchor Points'!$A$3)*('Anchor Points'!$F$4-'Anchor Points'!$F$3),IF(A42&lt;=40,'Anchor Points'!$F$4+(A42-'Anchor Points'!$A$4)/('Anchor Points'!$A$5-'Anchor Points'!$A$4)*('Anchor Points'!$F$5-'Anchor Points'!$F$4),IF(A42&lt;=55,'Anchor Points'!$F$5+(A42-'Anchor Points'!$A$5)/('Anchor Points'!$A$6-'Anchor Points'!$A$5)*('Anchor Points'!$F$6-'Anchor Points'!$F$5),IF(A42&lt;=70,'Anchor Points'!$F$6+(A42-'Anchor Points'!$A$6)/('Anchor Points'!$A$7-'Anchor Points'!$A$6)*('Anchor Points'!$F$7-'Anchor Points'!$F$6),IF(A42&lt;=90,'Anchor Points'!$F$7+(A42-'Anchor Points'!$A$7)/('Anchor Points'!$A$8-'Anchor Points'!$A$7)*('Anchor Points'!$F$8-'Anchor Points'!$F$7),'Anchor Points'!$F$8+(A42-'Anchor Points'!$A$8)/('Anchor Points'!$A$9-'Anchor Points'!$A$8)*('Anchor Points'!$F$9-'Anchor Points'!$F$8)))))))</x:f>
        <x:v>0</x:v>
      </x:c>
      <x:c r="K42" s="36" t="n">
        <x:f>A18</x:f>
        <x:v>16</x:v>
      </x:c>
      <x:c r="L42" s="36" t="n">
        <x:f>E18</x:f>
        <x:v>0</x:v>
      </x:c>
      <x:c r="M42" s="36" t="n">
        <x:f>G18</x:f>
        <x:v>0</x:v>
      </x:c>
      <x:c r="N42" s="36" t="n">
        <x:f>I18</x:f>
        <x:v>0</x:v>
      </x:c>
    </x:row>
    <x:row r="43">
      <x:c r="A43" s="30" t="n">
        <x:v>41</x:v>
      </x:c>
      <x:c r="B43" s="11" t="str">
        <x:f>IF(A43&lt;=15,"Seedling",IF(A43&lt;=25,"Establishment",IF(A43&lt;=40,"Vegetative Growth",IF(A43&lt;=55,"Flowering &amp; Initial Fruit Set",IF(A43&lt;=80,"Fruit Enlargement",IF(A43&lt;=95,"Ripening","Harvesting"))))))</x:f>
        <x:v>Flowering &amp; Initial Fruit Set</x:v>
      </x:c>
      <x:c r="C43" s="28" t="n">
        <x:f>IF(A43&lt;=15,'Anchor Points'!$B$2+(A43-'Anchor Points'!$A$2)/('Anchor Points'!$A$3-'Anchor Points'!$A$2)*('Anchor Points'!$B$3-'Anchor Points'!$B$2),IF(A43&lt;=25,'Anchor Points'!$B$3+(A43-'Anchor Points'!$A$3)/('Anchor Points'!$A$4-'Anchor Points'!$A$3)*('Anchor Points'!$B$4-'Anchor Points'!$B$3),IF(A43&lt;=40,'Anchor Points'!$B$4+(A43-'Anchor Points'!$A$4)/('Anchor Points'!$A$5-'Anchor Points'!$A$4)*('Anchor Points'!$B$5-'Anchor Points'!$B$4),IF(A43&lt;=55,'Anchor Points'!$B$5+(A43-'Anchor Points'!$A$5)/('Anchor Points'!$A$6-'Anchor Points'!$A$5)*('Anchor Points'!$B$6-'Anchor Points'!$B$5),IF(A43&lt;=70,'Anchor Points'!$B$6+(A43-'Anchor Points'!$A$6)/('Anchor Points'!$A$7-'Anchor Points'!$A$6)*('Anchor Points'!$B$7-'Anchor Points'!$B$6),IF(A43&lt;=90,'Anchor Points'!$B$7+(A43-'Anchor Points'!$A$7)/('Anchor Points'!$A$8-'Anchor Points'!$A$7)*('Anchor Points'!$B$8-'Anchor Points'!$B$7),'Anchor Points'!$B$8+(A43-'Anchor Points'!$A$8)/('Anchor Points'!$A$9-'Anchor Points'!$A$8)*('Anchor Points'!$B$9-'Anchor Points'!$B$8)))))))</x:f>
        <x:v>39.333333333333336</x:v>
      </x:c>
      <x:c r="D43" s="28" t="n">
        <x:f>IF(A43&lt;=15,'Anchor Points'!$C$2+(A43-'Anchor Points'!$A$2)/('Anchor Points'!$A$3-'Anchor Points'!$A$2)*('Anchor Points'!$C$3-'Anchor Points'!$C$2),IF(A43&lt;=25,'Anchor Points'!$C$3+(A43-'Anchor Points'!$A$3)/('Anchor Points'!$A$4-'Anchor Points'!$A$3)*('Anchor Points'!$C$4-'Anchor Points'!$C$3),IF(A43&lt;=40,'Anchor Points'!$C$4+(A43-'Anchor Points'!$A$4)/('Anchor Points'!$A$5-'Anchor Points'!$A$4)*('Anchor Points'!$C$5-'Anchor Points'!$C$4),IF(A43&lt;=55,'Anchor Points'!$C$5+(A43-'Anchor Points'!$A$5)/('Anchor Points'!$A$6-'Anchor Points'!$A$5)*('Anchor Points'!$C$6-'Anchor Points'!$C$5),IF(A43&lt;=70,'Anchor Points'!$C$6+(A43-'Anchor Points'!$A$6)/('Anchor Points'!$A$7-'Anchor Points'!$A$6)*('Anchor Points'!$C$7-'Anchor Points'!$C$6),IF(A43&lt;=90,'Anchor Points'!$C$7+(A43-'Anchor Points'!$A$7)/('Anchor Points'!$A$8-'Anchor Points'!$A$7)*('Anchor Points'!$C$8-'Anchor Points'!$C$7),'Anchor Points'!$C$8+(A43-'Anchor Points'!$A$8)/('Anchor Points'!$A$9-'Anchor Points'!$A$8)*('Anchor Points'!$C$9-'Anchor Points'!$C$8)))))))</x:f>
        <x:v>26.333333333333332</x:v>
      </x:c>
      <x:c r="E43" s="28" t="n">
        <x:f>IF(A43&lt;=15,'Anchor Points'!$D$2+(A43-'Anchor Points'!$A$2)/('Anchor Points'!$A$3-'Anchor Points'!$A$2)*('Anchor Points'!$D$3-'Anchor Points'!$D$2),IF(A43&lt;=25,'Anchor Points'!$D$3+(A43-'Anchor Points'!$A$3)/('Anchor Points'!$A$4-'Anchor Points'!$A$3)*('Anchor Points'!$D$4-'Anchor Points'!$D$3),IF(A43&lt;=40,'Anchor Points'!$D$4+(A43-'Anchor Points'!$A$4)/('Anchor Points'!$A$5-'Anchor Points'!$A$4)*('Anchor Points'!$D$5-'Anchor Points'!$D$4),IF(A43&lt;=55,'Anchor Points'!$D$5+(A43-'Anchor Points'!$A$5)/('Anchor Points'!$A$6-'Anchor Points'!$A$5)*('Anchor Points'!$D$6-'Anchor Points'!$D$5),IF(A43&lt;=70,'Anchor Points'!$D$6+(A43-'Anchor Points'!$A$6)/('Anchor Points'!$A$7-'Anchor Points'!$A$6)*('Anchor Points'!$D$7-'Anchor Points'!$D$6),IF(A43&lt;=90,'Anchor Points'!$D$7+(A43-'Anchor Points'!$A$7)/('Anchor Points'!$A$8-'Anchor Points'!$A$7)*('Anchor Points'!$D$8-'Anchor Points'!$D$7),'Anchor Points'!$D$8+(A43-'Anchor Points'!$A$8)/('Anchor Points'!$A$9-'Anchor Points'!$A$8)*('Anchor Points'!$D$9-'Anchor Points'!$D$8)))))))</x:f>
        <x:v>2.3333333333333335</x:v>
      </x:c>
      <x:c r="F43" s="30" t="n">
        <x:f>ROUND(E43,0)</x:f>
        <x:v>2</x:v>
      </x:c>
      <x:c r="G43" s="28" t="n">
        <x:f>IF(A43&lt;=15,'Anchor Points'!$E$2+(A43-'Anchor Points'!$A$2)/('Anchor Points'!$A$3-'Anchor Points'!$A$2)*('Anchor Points'!$E$3-'Anchor Points'!$E$2),IF(A43&lt;=25,'Anchor Points'!$E$3+(A43-'Anchor Points'!$A$3)/('Anchor Points'!$A$4-'Anchor Points'!$A$3)*('Anchor Points'!$E$4-'Anchor Points'!$E$3),IF(A43&lt;=40,'Anchor Points'!$E$4+(A43-'Anchor Points'!$A$4)/('Anchor Points'!$A$5-'Anchor Points'!$A$4)*('Anchor Points'!$E$5-'Anchor Points'!$E$4),IF(A43&lt;=55,'Anchor Points'!$E$5+(A43-'Anchor Points'!$A$5)/('Anchor Points'!$A$6-'Anchor Points'!$A$5)*('Anchor Points'!$E$6-'Anchor Points'!$E$5),IF(A43&lt;=70,'Anchor Points'!$E$6+(A43-'Anchor Points'!$A$6)/('Anchor Points'!$A$7-'Anchor Points'!$A$6)*('Anchor Points'!$E$7-'Anchor Points'!$E$6),IF(A43&lt;=90,'Anchor Points'!$E$7+(A43-'Anchor Points'!$A$7)/('Anchor Points'!$A$8-'Anchor Points'!$A$7)*('Anchor Points'!$E$8-'Anchor Points'!$E$7),'Anchor Points'!$E$8+(A43-'Anchor Points'!$A$8)/('Anchor Points'!$A$9-'Anchor Points'!$A$8)*('Anchor Points'!$E$9-'Anchor Points'!$E$8)))))))</x:f>
        <x:v>0.06666666666666667</x:v>
      </x:c>
      <x:c r="H43" s="30" t="n">
        <x:f>ROUND(G43,0)</x:f>
        <x:v>0</x:v>
      </x:c>
      <x:c r="I43" s="28" t="n">
        <x:f>IF(A43&lt;=15,'Anchor Points'!$F$2+(A43-'Anchor Points'!$A$2)/('Anchor Points'!$A$3-'Anchor Points'!$A$2)*('Anchor Points'!$F$3-'Anchor Points'!$F$2),IF(A43&lt;=25,'Anchor Points'!$F$3+(A43-'Anchor Points'!$A$3)/('Anchor Points'!$A$4-'Anchor Points'!$A$3)*('Anchor Points'!$F$4-'Anchor Points'!$F$3),IF(A43&lt;=40,'Anchor Points'!$F$4+(A43-'Anchor Points'!$A$4)/('Anchor Points'!$A$5-'Anchor Points'!$A$4)*('Anchor Points'!$F$5-'Anchor Points'!$F$4),IF(A43&lt;=55,'Anchor Points'!$F$5+(A43-'Anchor Points'!$A$5)/('Anchor Points'!$A$6-'Anchor Points'!$A$5)*('Anchor Points'!$F$6-'Anchor Points'!$F$5),IF(A43&lt;=70,'Anchor Points'!$F$6+(A43-'Anchor Points'!$A$6)/('Anchor Points'!$A$7-'Anchor Points'!$A$6)*('Anchor Points'!$F$7-'Anchor Points'!$F$6),IF(A43&lt;=90,'Anchor Points'!$F$7+(A43-'Anchor Points'!$A$7)/('Anchor Points'!$A$8-'Anchor Points'!$A$7)*('Anchor Points'!$F$8-'Anchor Points'!$F$7),'Anchor Points'!$F$8+(A43-'Anchor Points'!$A$8)/('Anchor Points'!$A$9-'Anchor Points'!$A$8)*('Anchor Points'!$F$9-'Anchor Points'!$F$8)))))))</x:f>
        <x:v>0.5333333333333333</x:v>
      </x:c>
      <x:c r="K43" s="36" t="n">
        <x:f>A19</x:f>
        <x:v>17</x:v>
      </x:c>
      <x:c r="L43" s="36" t="n">
        <x:f>E19</x:f>
        <x:v>0</x:v>
      </x:c>
      <x:c r="M43" s="36" t="n">
        <x:f>G19</x:f>
        <x:v>0</x:v>
      </x:c>
      <x:c r="N43" s="36" t="n">
        <x:f>I19</x:f>
        <x:v>0</x:v>
      </x:c>
    </x:row>
    <x:row r="44">
      <x:c r="A44" s="30" t="n">
        <x:v>42</x:v>
      </x:c>
      <x:c r="B44" s="11" t="str">
        <x:f>IF(A44&lt;=15,"Seedling",IF(A44&lt;=25,"Establishment",IF(A44&lt;=40,"Vegetative Growth",IF(A44&lt;=55,"Flowering &amp; Initial Fruit Set",IF(A44&lt;=80,"Fruit Enlargement",IF(A44&lt;=95,"Ripening","Harvesting"))))))</x:f>
        <x:v>Flowering &amp; Initial Fruit Set</x:v>
      </x:c>
      <x:c r="C44" s="28" t="n">
        <x:f>IF(A44&lt;=15,'Anchor Points'!$B$2+(A44-'Anchor Points'!$A$2)/('Anchor Points'!$A$3-'Anchor Points'!$A$2)*('Anchor Points'!$B$3-'Anchor Points'!$B$2),IF(A44&lt;=25,'Anchor Points'!$B$3+(A44-'Anchor Points'!$A$3)/('Anchor Points'!$A$4-'Anchor Points'!$A$3)*('Anchor Points'!$B$4-'Anchor Points'!$B$3),IF(A44&lt;=40,'Anchor Points'!$B$4+(A44-'Anchor Points'!$A$4)/('Anchor Points'!$A$5-'Anchor Points'!$A$4)*('Anchor Points'!$B$5-'Anchor Points'!$B$4),IF(A44&lt;=55,'Anchor Points'!$B$5+(A44-'Anchor Points'!$A$5)/('Anchor Points'!$A$6-'Anchor Points'!$A$5)*('Anchor Points'!$B$6-'Anchor Points'!$B$5),IF(A44&lt;=70,'Anchor Points'!$B$6+(A44-'Anchor Points'!$A$6)/('Anchor Points'!$A$7-'Anchor Points'!$A$6)*('Anchor Points'!$B$7-'Anchor Points'!$B$6),IF(A44&lt;=90,'Anchor Points'!$B$7+(A44-'Anchor Points'!$A$7)/('Anchor Points'!$A$8-'Anchor Points'!$A$7)*('Anchor Points'!$B$8-'Anchor Points'!$B$7),'Anchor Points'!$B$8+(A44-'Anchor Points'!$A$8)/('Anchor Points'!$A$9-'Anchor Points'!$A$8)*('Anchor Points'!$B$9-'Anchor Points'!$B$8)))))))</x:f>
        <x:v>40.666666666666664</x:v>
      </x:c>
      <x:c r="D44" s="28" t="n">
        <x:f>IF(A44&lt;=15,'Anchor Points'!$C$2+(A44-'Anchor Points'!$A$2)/('Anchor Points'!$A$3-'Anchor Points'!$A$2)*('Anchor Points'!$C$3-'Anchor Points'!$C$2),IF(A44&lt;=25,'Anchor Points'!$C$3+(A44-'Anchor Points'!$A$3)/('Anchor Points'!$A$4-'Anchor Points'!$A$3)*('Anchor Points'!$C$4-'Anchor Points'!$C$3),IF(A44&lt;=40,'Anchor Points'!$C$4+(A44-'Anchor Points'!$A$4)/('Anchor Points'!$A$5-'Anchor Points'!$A$4)*('Anchor Points'!$C$5-'Anchor Points'!$C$4),IF(A44&lt;=55,'Anchor Points'!$C$5+(A44-'Anchor Points'!$A$5)/('Anchor Points'!$A$6-'Anchor Points'!$A$5)*('Anchor Points'!$C$6-'Anchor Points'!$C$5),IF(A44&lt;=70,'Anchor Points'!$C$6+(A44-'Anchor Points'!$A$6)/('Anchor Points'!$A$7-'Anchor Points'!$A$6)*('Anchor Points'!$C$7-'Anchor Points'!$C$6),IF(A44&lt;=90,'Anchor Points'!$C$7+(A44-'Anchor Points'!$A$7)/('Anchor Points'!$A$8-'Anchor Points'!$A$7)*('Anchor Points'!$C$8-'Anchor Points'!$C$7),'Anchor Points'!$C$8+(A44-'Anchor Points'!$A$8)/('Anchor Points'!$A$9-'Anchor Points'!$A$8)*('Anchor Points'!$C$9-'Anchor Points'!$C$8)))))))</x:f>
        <x:v>27.666666666666668</x:v>
      </x:c>
      <x:c r="E44" s="28" t="n">
        <x:f>IF(A44&lt;=15,'Anchor Points'!$D$2+(A44-'Anchor Points'!$A$2)/('Anchor Points'!$A$3-'Anchor Points'!$A$2)*('Anchor Points'!$D$3-'Anchor Points'!$D$2),IF(A44&lt;=25,'Anchor Points'!$D$3+(A44-'Anchor Points'!$A$3)/('Anchor Points'!$A$4-'Anchor Points'!$A$3)*('Anchor Points'!$D$4-'Anchor Points'!$D$3),IF(A44&lt;=40,'Anchor Points'!$D$4+(A44-'Anchor Points'!$A$4)/('Anchor Points'!$A$5-'Anchor Points'!$A$4)*('Anchor Points'!$D$5-'Anchor Points'!$D$4),IF(A44&lt;=55,'Anchor Points'!$D$5+(A44-'Anchor Points'!$A$5)/('Anchor Points'!$A$6-'Anchor Points'!$A$5)*('Anchor Points'!$D$6-'Anchor Points'!$D$5),IF(A44&lt;=70,'Anchor Points'!$D$6+(A44-'Anchor Points'!$A$6)/('Anchor Points'!$A$7-'Anchor Points'!$A$6)*('Anchor Points'!$D$7-'Anchor Points'!$D$6),IF(A44&lt;=90,'Anchor Points'!$D$7+(A44-'Anchor Points'!$A$7)/('Anchor Points'!$A$8-'Anchor Points'!$A$7)*('Anchor Points'!$D$8-'Anchor Points'!$D$7),'Anchor Points'!$D$8+(A44-'Anchor Points'!$A$8)/('Anchor Points'!$A$9-'Anchor Points'!$A$8)*('Anchor Points'!$D$9-'Anchor Points'!$D$8)))))))</x:f>
        <x:v>2.6666666666666665</x:v>
      </x:c>
      <x:c r="F44" s="30" t="n">
        <x:f>ROUND(E44,0)</x:f>
        <x:v>3</x:v>
      </x:c>
      <x:c r="G44" s="28" t="n">
        <x:f>IF(A44&lt;=15,'Anchor Points'!$E$2+(A44-'Anchor Points'!$A$2)/('Anchor Points'!$A$3-'Anchor Points'!$A$2)*('Anchor Points'!$E$3-'Anchor Points'!$E$2),IF(A44&lt;=25,'Anchor Points'!$E$3+(A44-'Anchor Points'!$A$3)/('Anchor Points'!$A$4-'Anchor Points'!$A$3)*('Anchor Points'!$E$4-'Anchor Points'!$E$3),IF(A44&lt;=40,'Anchor Points'!$E$4+(A44-'Anchor Points'!$A$4)/('Anchor Points'!$A$5-'Anchor Points'!$A$4)*('Anchor Points'!$E$5-'Anchor Points'!$E$4),IF(A44&lt;=55,'Anchor Points'!$E$5+(A44-'Anchor Points'!$A$5)/('Anchor Points'!$A$6-'Anchor Points'!$A$5)*('Anchor Points'!$E$6-'Anchor Points'!$E$5),IF(A44&lt;=70,'Anchor Points'!$E$6+(A44-'Anchor Points'!$A$6)/('Anchor Points'!$A$7-'Anchor Points'!$A$6)*('Anchor Points'!$E$7-'Anchor Points'!$E$6),IF(A44&lt;=90,'Anchor Points'!$E$7+(A44-'Anchor Points'!$A$7)/('Anchor Points'!$A$8-'Anchor Points'!$A$7)*('Anchor Points'!$E$8-'Anchor Points'!$E$7),'Anchor Points'!$E$8+(A44-'Anchor Points'!$A$8)/('Anchor Points'!$A$9-'Anchor Points'!$A$8)*('Anchor Points'!$E$9-'Anchor Points'!$E$8)))))))</x:f>
        <x:v>0.13333333333333333</x:v>
      </x:c>
      <x:c r="H44" s="30" t="n">
        <x:f>ROUND(G44,0)</x:f>
        <x:v>0</x:v>
      </x:c>
      <x:c r="I44" s="28" t="n">
        <x:f>IF(A44&lt;=15,'Anchor Points'!$F$2+(A44-'Anchor Points'!$A$2)/('Anchor Points'!$A$3-'Anchor Points'!$A$2)*('Anchor Points'!$F$3-'Anchor Points'!$F$2),IF(A44&lt;=25,'Anchor Points'!$F$3+(A44-'Anchor Points'!$A$3)/('Anchor Points'!$A$4-'Anchor Points'!$A$3)*('Anchor Points'!$F$4-'Anchor Points'!$F$3),IF(A44&lt;=40,'Anchor Points'!$F$4+(A44-'Anchor Points'!$A$4)/('Anchor Points'!$A$5-'Anchor Points'!$A$4)*('Anchor Points'!$F$5-'Anchor Points'!$F$4),IF(A44&lt;=55,'Anchor Points'!$F$5+(A44-'Anchor Points'!$A$5)/('Anchor Points'!$A$6-'Anchor Points'!$A$5)*('Anchor Points'!$F$6-'Anchor Points'!$F$5),IF(A44&lt;=70,'Anchor Points'!$F$6+(A44-'Anchor Points'!$A$6)/('Anchor Points'!$A$7-'Anchor Points'!$A$6)*('Anchor Points'!$F$7-'Anchor Points'!$F$6),IF(A44&lt;=90,'Anchor Points'!$F$7+(A44-'Anchor Points'!$A$7)/('Anchor Points'!$A$8-'Anchor Points'!$A$7)*('Anchor Points'!$F$8-'Anchor Points'!$F$7),'Anchor Points'!$F$8+(A44-'Anchor Points'!$A$8)/('Anchor Points'!$A$9-'Anchor Points'!$A$8)*('Anchor Points'!$F$9-'Anchor Points'!$F$8)))))))</x:f>
        <x:v>1.0666666666666667</x:v>
      </x:c>
      <x:c r="K44" s="36" t="n">
        <x:f>A20</x:f>
        <x:v>18</x:v>
      </x:c>
      <x:c r="L44" s="36" t="n">
        <x:f>E20</x:f>
        <x:v>0</x:v>
      </x:c>
      <x:c r="M44" s="36" t="n">
        <x:f>G20</x:f>
        <x:v>0</x:v>
      </x:c>
      <x:c r="N44" s="36" t="n">
        <x:f>I20</x:f>
        <x:v>0</x:v>
      </x:c>
    </x:row>
    <x:row r="45">
      <x:c r="A45" s="30" t="n">
        <x:v>43</x:v>
      </x:c>
      <x:c r="B45" s="11" t="str">
        <x:f>IF(A45&lt;=15,"Seedling",IF(A45&lt;=25,"Establishment",IF(A45&lt;=40,"Vegetative Growth",IF(A45&lt;=55,"Flowering &amp; Initial Fruit Set",IF(A45&lt;=80,"Fruit Enlargement",IF(A45&lt;=95,"Ripening","Harvesting"))))))</x:f>
        <x:v>Flowering &amp; Initial Fruit Set</x:v>
      </x:c>
      <x:c r="C45" s="28" t="n">
        <x:f>IF(A45&lt;=15,'Anchor Points'!$B$2+(A45-'Anchor Points'!$A$2)/('Anchor Points'!$A$3-'Anchor Points'!$A$2)*('Anchor Points'!$B$3-'Anchor Points'!$B$2),IF(A45&lt;=25,'Anchor Points'!$B$3+(A45-'Anchor Points'!$A$3)/('Anchor Points'!$A$4-'Anchor Points'!$A$3)*('Anchor Points'!$B$4-'Anchor Points'!$B$3),IF(A45&lt;=40,'Anchor Points'!$B$4+(A45-'Anchor Points'!$A$4)/('Anchor Points'!$A$5-'Anchor Points'!$A$4)*('Anchor Points'!$B$5-'Anchor Points'!$B$4),IF(A45&lt;=55,'Anchor Points'!$B$5+(A45-'Anchor Points'!$A$5)/('Anchor Points'!$A$6-'Anchor Points'!$A$5)*('Anchor Points'!$B$6-'Anchor Points'!$B$5),IF(A45&lt;=70,'Anchor Points'!$B$6+(A45-'Anchor Points'!$A$6)/('Anchor Points'!$A$7-'Anchor Points'!$A$6)*('Anchor Points'!$B$7-'Anchor Points'!$B$6),IF(A45&lt;=90,'Anchor Points'!$B$7+(A45-'Anchor Points'!$A$7)/('Anchor Points'!$A$8-'Anchor Points'!$A$7)*('Anchor Points'!$B$8-'Anchor Points'!$B$7),'Anchor Points'!$B$8+(A45-'Anchor Points'!$A$8)/('Anchor Points'!$A$9-'Anchor Points'!$A$8)*('Anchor Points'!$B$9-'Anchor Points'!$B$8)))))))</x:f>
        <x:v>42</x:v>
      </x:c>
      <x:c r="D45" s="28" t="n">
        <x:f>IF(A45&lt;=15,'Anchor Points'!$C$2+(A45-'Anchor Points'!$A$2)/('Anchor Points'!$A$3-'Anchor Points'!$A$2)*('Anchor Points'!$C$3-'Anchor Points'!$C$2),IF(A45&lt;=25,'Anchor Points'!$C$3+(A45-'Anchor Points'!$A$3)/('Anchor Points'!$A$4-'Anchor Points'!$A$3)*('Anchor Points'!$C$4-'Anchor Points'!$C$3),IF(A45&lt;=40,'Anchor Points'!$C$4+(A45-'Anchor Points'!$A$4)/('Anchor Points'!$A$5-'Anchor Points'!$A$4)*('Anchor Points'!$C$5-'Anchor Points'!$C$4),IF(A45&lt;=55,'Anchor Points'!$C$5+(A45-'Anchor Points'!$A$5)/('Anchor Points'!$A$6-'Anchor Points'!$A$5)*('Anchor Points'!$C$6-'Anchor Points'!$C$5),IF(A45&lt;=70,'Anchor Points'!$C$6+(A45-'Anchor Points'!$A$6)/('Anchor Points'!$A$7-'Anchor Points'!$A$6)*('Anchor Points'!$C$7-'Anchor Points'!$C$6),IF(A45&lt;=90,'Anchor Points'!$C$7+(A45-'Anchor Points'!$A$7)/('Anchor Points'!$A$8-'Anchor Points'!$A$7)*('Anchor Points'!$C$8-'Anchor Points'!$C$7),'Anchor Points'!$C$8+(A45-'Anchor Points'!$A$8)/('Anchor Points'!$A$9-'Anchor Points'!$A$8)*('Anchor Points'!$C$9-'Anchor Points'!$C$8)))))))</x:f>
        <x:v>29</x:v>
      </x:c>
      <x:c r="E45" s="28" t="n">
        <x:f>IF(A45&lt;=15,'Anchor Points'!$D$2+(A45-'Anchor Points'!$A$2)/('Anchor Points'!$A$3-'Anchor Points'!$A$2)*('Anchor Points'!$D$3-'Anchor Points'!$D$2),IF(A45&lt;=25,'Anchor Points'!$D$3+(A45-'Anchor Points'!$A$3)/('Anchor Points'!$A$4-'Anchor Points'!$A$3)*('Anchor Points'!$D$4-'Anchor Points'!$D$3),IF(A45&lt;=40,'Anchor Points'!$D$4+(A45-'Anchor Points'!$A$4)/('Anchor Points'!$A$5-'Anchor Points'!$A$4)*('Anchor Points'!$D$5-'Anchor Points'!$D$4),IF(A45&lt;=55,'Anchor Points'!$D$5+(A45-'Anchor Points'!$A$5)/('Anchor Points'!$A$6-'Anchor Points'!$A$5)*('Anchor Points'!$D$6-'Anchor Points'!$D$5),IF(A45&lt;=70,'Anchor Points'!$D$6+(A45-'Anchor Points'!$A$6)/('Anchor Points'!$A$7-'Anchor Points'!$A$6)*('Anchor Points'!$D$7-'Anchor Points'!$D$6),IF(A45&lt;=90,'Anchor Points'!$D$7+(A45-'Anchor Points'!$A$7)/('Anchor Points'!$A$8-'Anchor Points'!$A$7)*('Anchor Points'!$D$8-'Anchor Points'!$D$7),'Anchor Points'!$D$8+(A45-'Anchor Points'!$A$8)/('Anchor Points'!$A$9-'Anchor Points'!$A$8)*('Anchor Points'!$D$9-'Anchor Points'!$D$8)))))))</x:f>
        <x:v>3</x:v>
      </x:c>
      <x:c r="F45" s="30" t="n">
        <x:f>ROUND(E45,0)</x:f>
        <x:v>3</x:v>
      </x:c>
      <x:c r="G45" s="28" t="n">
        <x:f>IF(A45&lt;=15,'Anchor Points'!$E$2+(A45-'Anchor Points'!$A$2)/('Anchor Points'!$A$3-'Anchor Points'!$A$2)*('Anchor Points'!$E$3-'Anchor Points'!$E$2),IF(A45&lt;=25,'Anchor Points'!$E$3+(A45-'Anchor Points'!$A$3)/('Anchor Points'!$A$4-'Anchor Points'!$A$3)*('Anchor Points'!$E$4-'Anchor Points'!$E$3),IF(A45&lt;=40,'Anchor Points'!$E$4+(A45-'Anchor Points'!$A$4)/('Anchor Points'!$A$5-'Anchor Points'!$A$4)*('Anchor Points'!$E$5-'Anchor Points'!$E$4),IF(A45&lt;=55,'Anchor Points'!$E$5+(A45-'Anchor Points'!$A$5)/('Anchor Points'!$A$6-'Anchor Points'!$A$5)*('Anchor Points'!$E$6-'Anchor Points'!$E$5),IF(A45&lt;=70,'Anchor Points'!$E$6+(A45-'Anchor Points'!$A$6)/('Anchor Points'!$A$7-'Anchor Points'!$A$6)*('Anchor Points'!$E$7-'Anchor Points'!$E$6),IF(A45&lt;=90,'Anchor Points'!$E$7+(A45-'Anchor Points'!$A$7)/('Anchor Points'!$A$8-'Anchor Points'!$A$7)*('Anchor Points'!$E$8-'Anchor Points'!$E$7),'Anchor Points'!$E$8+(A45-'Anchor Points'!$A$8)/('Anchor Points'!$A$9-'Anchor Points'!$A$8)*('Anchor Points'!$E$9-'Anchor Points'!$E$8)))))))</x:f>
        <x:v>0.2</x:v>
      </x:c>
      <x:c r="H45" s="30" t="n">
        <x:f>ROUND(G45,0)</x:f>
        <x:v>0</x:v>
      </x:c>
      <x:c r="I45" s="28" t="n">
        <x:f>IF(A45&lt;=15,'Anchor Points'!$F$2+(A45-'Anchor Points'!$A$2)/('Anchor Points'!$A$3-'Anchor Points'!$A$2)*('Anchor Points'!$F$3-'Anchor Points'!$F$2),IF(A45&lt;=25,'Anchor Points'!$F$3+(A45-'Anchor Points'!$A$3)/('Anchor Points'!$A$4-'Anchor Points'!$A$3)*('Anchor Points'!$F$4-'Anchor Points'!$F$3),IF(A45&lt;=40,'Anchor Points'!$F$4+(A45-'Anchor Points'!$A$4)/('Anchor Points'!$A$5-'Anchor Points'!$A$4)*('Anchor Points'!$F$5-'Anchor Points'!$F$4),IF(A45&lt;=55,'Anchor Points'!$F$5+(A45-'Anchor Points'!$A$5)/('Anchor Points'!$A$6-'Anchor Points'!$A$5)*('Anchor Points'!$F$6-'Anchor Points'!$F$5),IF(A45&lt;=70,'Anchor Points'!$F$6+(A45-'Anchor Points'!$A$6)/('Anchor Points'!$A$7-'Anchor Points'!$A$6)*('Anchor Points'!$F$7-'Anchor Points'!$F$6),IF(A45&lt;=90,'Anchor Points'!$F$7+(A45-'Anchor Points'!$A$7)/('Anchor Points'!$A$8-'Anchor Points'!$A$7)*('Anchor Points'!$F$8-'Anchor Points'!$F$7),'Anchor Points'!$F$8+(A45-'Anchor Points'!$A$8)/('Anchor Points'!$A$9-'Anchor Points'!$A$8)*('Anchor Points'!$F$9-'Anchor Points'!$F$8)))))))</x:f>
        <x:v>1.6</x:v>
      </x:c>
      <x:c r="K45" s="36" t="n">
        <x:f>A21</x:f>
        <x:v>19</x:v>
      </x:c>
      <x:c r="L45" s="36" t="n">
        <x:f>E21</x:f>
        <x:v>0</x:v>
      </x:c>
      <x:c r="M45" s="36" t="n">
        <x:f>G21</x:f>
        <x:v>0</x:v>
      </x:c>
      <x:c r="N45" s="36" t="n">
        <x:f>I21</x:f>
        <x:v>0</x:v>
      </x:c>
    </x:row>
    <x:row r="46">
      <x:c r="A46" s="30" t="n">
        <x:v>44</x:v>
      </x:c>
      <x:c r="B46" s="11" t="str">
        <x:f>IF(A46&lt;=15,"Seedling",IF(A46&lt;=25,"Establishment",IF(A46&lt;=40,"Vegetative Growth",IF(A46&lt;=55,"Flowering &amp; Initial Fruit Set",IF(A46&lt;=80,"Fruit Enlargement",IF(A46&lt;=95,"Ripening","Harvesting"))))))</x:f>
        <x:v>Flowering &amp; Initial Fruit Set</x:v>
      </x:c>
      <x:c r="C46" s="28" t="n">
        <x:f>IF(A46&lt;=15,'Anchor Points'!$B$2+(A46-'Anchor Points'!$A$2)/('Anchor Points'!$A$3-'Anchor Points'!$A$2)*('Anchor Points'!$B$3-'Anchor Points'!$B$2),IF(A46&lt;=25,'Anchor Points'!$B$3+(A46-'Anchor Points'!$A$3)/('Anchor Points'!$A$4-'Anchor Points'!$A$3)*('Anchor Points'!$B$4-'Anchor Points'!$B$3),IF(A46&lt;=40,'Anchor Points'!$B$4+(A46-'Anchor Points'!$A$4)/('Anchor Points'!$A$5-'Anchor Points'!$A$4)*('Anchor Points'!$B$5-'Anchor Points'!$B$4),IF(A46&lt;=55,'Anchor Points'!$B$5+(A46-'Anchor Points'!$A$5)/('Anchor Points'!$A$6-'Anchor Points'!$A$5)*('Anchor Points'!$B$6-'Anchor Points'!$B$5),IF(A46&lt;=70,'Anchor Points'!$B$6+(A46-'Anchor Points'!$A$6)/('Anchor Points'!$A$7-'Anchor Points'!$A$6)*('Anchor Points'!$B$7-'Anchor Points'!$B$6),IF(A46&lt;=90,'Anchor Points'!$B$7+(A46-'Anchor Points'!$A$7)/('Anchor Points'!$A$8-'Anchor Points'!$A$7)*('Anchor Points'!$B$8-'Anchor Points'!$B$7),'Anchor Points'!$B$8+(A46-'Anchor Points'!$A$8)/('Anchor Points'!$A$9-'Anchor Points'!$A$8)*('Anchor Points'!$B$9-'Anchor Points'!$B$8)))))))</x:f>
        <x:v>43.333333333333336</x:v>
      </x:c>
      <x:c r="D46" s="28" t="n">
        <x:f>IF(A46&lt;=15,'Anchor Points'!$C$2+(A46-'Anchor Points'!$A$2)/('Anchor Points'!$A$3-'Anchor Points'!$A$2)*('Anchor Points'!$C$3-'Anchor Points'!$C$2),IF(A46&lt;=25,'Anchor Points'!$C$3+(A46-'Anchor Points'!$A$3)/('Anchor Points'!$A$4-'Anchor Points'!$A$3)*('Anchor Points'!$C$4-'Anchor Points'!$C$3),IF(A46&lt;=40,'Anchor Points'!$C$4+(A46-'Anchor Points'!$A$4)/('Anchor Points'!$A$5-'Anchor Points'!$A$4)*('Anchor Points'!$C$5-'Anchor Points'!$C$4),IF(A46&lt;=55,'Anchor Points'!$C$5+(A46-'Anchor Points'!$A$5)/('Anchor Points'!$A$6-'Anchor Points'!$A$5)*('Anchor Points'!$C$6-'Anchor Points'!$C$5),IF(A46&lt;=70,'Anchor Points'!$C$6+(A46-'Anchor Points'!$A$6)/('Anchor Points'!$A$7-'Anchor Points'!$A$6)*('Anchor Points'!$C$7-'Anchor Points'!$C$6),IF(A46&lt;=90,'Anchor Points'!$C$7+(A46-'Anchor Points'!$A$7)/('Anchor Points'!$A$8-'Anchor Points'!$A$7)*('Anchor Points'!$C$8-'Anchor Points'!$C$7),'Anchor Points'!$C$8+(A46-'Anchor Points'!$A$8)/('Anchor Points'!$A$9-'Anchor Points'!$A$8)*('Anchor Points'!$C$9-'Anchor Points'!$C$8)))))))</x:f>
        <x:v>30.333333333333332</x:v>
      </x:c>
      <x:c r="E46" s="28" t="n">
        <x:f>IF(A46&lt;=15,'Anchor Points'!$D$2+(A46-'Anchor Points'!$A$2)/('Anchor Points'!$A$3-'Anchor Points'!$A$2)*('Anchor Points'!$D$3-'Anchor Points'!$D$2),IF(A46&lt;=25,'Anchor Points'!$D$3+(A46-'Anchor Points'!$A$3)/('Anchor Points'!$A$4-'Anchor Points'!$A$3)*('Anchor Points'!$D$4-'Anchor Points'!$D$3),IF(A46&lt;=40,'Anchor Points'!$D$4+(A46-'Anchor Points'!$A$4)/('Anchor Points'!$A$5-'Anchor Points'!$A$4)*('Anchor Points'!$D$5-'Anchor Points'!$D$4),IF(A46&lt;=55,'Anchor Points'!$D$5+(A46-'Anchor Points'!$A$5)/('Anchor Points'!$A$6-'Anchor Points'!$A$5)*('Anchor Points'!$D$6-'Anchor Points'!$D$5),IF(A46&lt;=70,'Anchor Points'!$D$6+(A46-'Anchor Points'!$A$6)/('Anchor Points'!$A$7-'Anchor Points'!$A$6)*('Anchor Points'!$D$7-'Anchor Points'!$D$6),IF(A46&lt;=90,'Anchor Points'!$D$7+(A46-'Anchor Points'!$A$7)/('Anchor Points'!$A$8-'Anchor Points'!$A$7)*('Anchor Points'!$D$8-'Anchor Points'!$D$7),'Anchor Points'!$D$8+(A46-'Anchor Points'!$A$8)/('Anchor Points'!$A$9-'Anchor Points'!$A$8)*('Anchor Points'!$D$9-'Anchor Points'!$D$8)))))))</x:f>
        <x:v>3.333333333333333</x:v>
      </x:c>
      <x:c r="F46" s="30" t="n">
        <x:f>ROUND(E46,0)</x:f>
        <x:v>3</x:v>
      </x:c>
      <x:c r="G46" s="28" t="n">
        <x:f>IF(A46&lt;=15,'Anchor Points'!$E$2+(A46-'Anchor Points'!$A$2)/('Anchor Points'!$A$3-'Anchor Points'!$A$2)*('Anchor Points'!$E$3-'Anchor Points'!$E$2),IF(A46&lt;=25,'Anchor Points'!$E$3+(A46-'Anchor Points'!$A$3)/('Anchor Points'!$A$4-'Anchor Points'!$A$3)*('Anchor Points'!$E$4-'Anchor Points'!$E$3),IF(A46&lt;=40,'Anchor Points'!$E$4+(A46-'Anchor Points'!$A$4)/('Anchor Points'!$A$5-'Anchor Points'!$A$4)*('Anchor Points'!$E$5-'Anchor Points'!$E$4),IF(A46&lt;=55,'Anchor Points'!$E$5+(A46-'Anchor Points'!$A$5)/('Anchor Points'!$A$6-'Anchor Points'!$A$5)*('Anchor Points'!$E$6-'Anchor Points'!$E$5),IF(A46&lt;=70,'Anchor Points'!$E$6+(A46-'Anchor Points'!$A$6)/('Anchor Points'!$A$7-'Anchor Points'!$A$6)*('Anchor Points'!$E$7-'Anchor Points'!$E$6),IF(A46&lt;=90,'Anchor Points'!$E$7+(A46-'Anchor Points'!$A$7)/('Anchor Points'!$A$8-'Anchor Points'!$A$7)*('Anchor Points'!$E$8-'Anchor Points'!$E$7),'Anchor Points'!$E$8+(A46-'Anchor Points'!$A$8)/('Anchor Points'!$A$9-'Anchor Points'!$A$8)*('Anchor Points'!$E$9-'Anchor Points'!$E$8)))))))</x:f>
        <x:v>0.26666666666666666</x:v>
      </x:c>
      <x:c r="H46" s="30" t="n">
        <x:f>ROUND(G46,0)</x:f>
        <x:v>0</x:v>
      </x:c>
      <x:c r="I46" s="28" t="n">
        <x:f>IF(A46&lt;=15,'Anchor Points'!$F$2+(A46-'Anchor Points'!$A$2)/('Anchor Points'!$A$3-'Anchor Points'!$A$2)*('Anchor Points'!$F$3-'Anchor Points'!$F$2),IF(A46&lt;=25,'Anchor Points'!$F$3+(A46-'Anchor Points'!$A$3)/('Anchor Points'!$A$4-'Anchor Points'!$A$3)*('Anchor Points'!$F$4-'Anchor Points'!$F$3),IF(A46&lt;=40,'Anchor Points'!$F$4+(A46-'Anchor Points'!$A$4)/('Anchor Points'!$A$5-'Anchor Points'!$A$4)*('Anchor Points'!$F$5-'Anchor Points'!$F$4),IF(A46&lt;=55,'Anchor Points'!$F$5+(A46-'Anchor Points'!$A$5)/('Anchor Points'!$A$6-'Anchor Points'!$A$5)*('Anchor Points'!$F$6-'Anchor Points'!$F$5),IF(A46&lt;=70,'Anchor Points'!$F$6+(A46-'Anchor Points'!$A$6)/('Anchor Points'!$A$7-'Anchor Points'!$A$6)*('Anchor Points'!$F$7-'Anchor Points'!$F$6),IF(A46&lt;=90,'Anchor Points'!$F$7+(A46-'Anchor Points'!$A$7)/('Anchor Points'!$A$8-'Anchor Points'!$A$7)*('Anchor Points'!$F$8-'Anchor Points'!$F$7),'Anchor Points'!$F$8+(A46-'Anchor Points'!$A$8)/('Anchor Points'!$A$9-'Anchor Points'!$A$8)*('Anchor Points'!$F$9-'Anchor Points'!$F$8)))))))</x:f>
        <x:v>2.1333333333333333</x:v>
      </x:c>
      <x:c r="K46" s="36" t="n">
        <x:f>A22</x:f>
        <x:v>20</x:v>
      </x:c>
      <x:c r="L46" s="36" t="n">
        <x:f>E22</x:f>
        <x:v>0</x:v>
      </x:c>
      <x:c r="M46" s="36" t="n">
        <x:f>G22</x:f>
        <x:v>0</x:v>
      </x:c>
      <x:c r="N46" s="36" t="n">
        <x:f>I22</x:f>
        <x:v>0</x:v>
      </x:c>
    </x:row>
    <x:row r="47">
      <x:c r="A47" s="30" t="n">
        <x:v>45</x:v>
      </x:c>
      <x:c r="B47" s="11" t="str">
        <x:f>IF(A47&lt;=15,"Seedling",IF(A47&lt;=25,"Establishment",IF(A47&lt;=40,"Vegetative Growth",IF(A47&lt;=55,"Flowering &amp; Initial Fruit Set",IF(A47&lt;=80,"Fruit Enlargement",IF(A47&lt;=95,"Ripening","Harvesting"))))))</x:f>
        <x:v>Flowering &amp; Initial Fruit Set</x:v>
      </x:c>
      <x:c r="C47" s="28" t="n">
        <x:f>IF(A47&lt;=15,'Anchor Points'!$B$2+(A47-'Anchor Points'!$A$2)/('Anchor Points'!$A$3-'Anchor Points'!$A$2)*('Anchor Points'!$B$3-'Anchor Points'!$B$2),IF(A47&lt;=25,'Anchor Points'!$B$3+(A47-'Anchor Points'!$A$3)/('Anchor Points'!$A$4-'Anchor Points'!$A$3)*('Anchor Points'!$B$4-'Anchor Points'!$B$3),IF(A47&lt;=40,'Anchor Points'!$B$4+(A47-'Anchor Points'!$A$4)/('Anchor Points'!$A$5-'Anchor Points'!$A$4)*('Anchor Points'!$B$5-'Anchor Points'!$B$4),IF(A47&lt;=55,'Anchor Points'!$B$5+(A47-'Anchor Points'!$A$5)/('Anchor Points'!$A$6-'Anchor Points'!$A$5)*('Anchor Points'!$B$6-'Anchor Points'!$B$5),IF(A47&lt;=70,'Anchor Points'!$B$6+(A47-'Anchor Points'!$A$6)/('Anchor Points'!$A$7-'Anchor Points'!$A$6)*('Anchor Points'!$B$7-'Anchor Points'!$B$6),IF(A47&lt;=90,'Anchor Points'!$B$7+(A47-'Anchor Points'!$A$7)/('Anchor Points'!$A$8-'Anchor Points'!$A$7)*('Anchor Points'!$B$8-'Anchor Points'!$B$7),'Anchor Points'!$B$8+(A47-'Anchor Points'!$A$8)/('Anchor Points'!$A$9-'Anchor Points'!$A$8)*('Anchor Points'!$B$9-'Anchor Points'!$B$8)))))))</x:f>
        <x:v>44.666666666666664</x:v>
      </x:c>
      <x:c r="D47" s="28" t="n">
        <x:f>IF(A47&lt;=15,'Anchor Points'!$C$2+(A47-'Anchor Points'!$A$2)/('Anchor Points'!$A$3-'Anchor Points'!$A$2)*('Anchor Points'!$C$3-'Anchor Points'!$C$2),IF(A47&lt;=25,'Anchor Points'!$C$3+(A47-'Anchor Points'!$A$3)/('Anchor Points'!$A$4-'Anchor Points'!$A$3)*('Anchor Points'!$C$4-'Anchor Points'!$C$3),IF(A47&lt;=40,'Anchor Points'!$C$4+(A47-'Anchor Points'!$A$4)/('Anchor Points'!$A$5-'Anchor Points'!$A$4)*('Anchor Points'!$C$5-'Anchor Points'!$C$4),IF(A47&lt;=55,'Anchor Points'!$C$5+(A47-'Anchor Points'!$A$5)/('Anchor Points'!$A$6-'Anchor Points'!$A$5)*('Anchor Points'!$C$6-'Anchor Points'!$C$5),IF(A47&lt;=70,'Anchor Points'!$C$6+(A47-'Anchor Points'!$A$6)/('Anchor Points'!$A$7-'Anchor Points'!$A$6)*('Anchor Points'!$C$7-'Anchor Points'!$C$6),IF(A47&lt;=90,'Anchor Points'!$C$7+(A47-'Anchor Points'!$A$7)/('Anchor Points'!$A$8-'Anchor Points'!$A$7)*('Anchor Points'!$C$8-'Anchor Points'!$C$7),'Anchor Points'!$C$8+(A47-'Anchor Points'!$A$8)/('Anchor Points'!$A$9-'Anchor Points'!$A$8)*('Anchor Points'!$C$9-'Anchor Points'!$C$8)))))))</x:f>
        <x:v>31.666666666666664</x:v>
      </x:c>
      <x:c r="E47" s="28" t="n">
        <x:f>IF(A47&lt;=15,'Anchor Points'!$D$2+(A47-'Anchor Points'!$A$2)/('Anchor Points'!$A$3-'Anchor Points'!$A$2)*('Anchor Points'!$D$3-'Anchor Points'!$D$2),IF(A47&lt;=25,'Anchor Points'!$D$3+(A47-'Anchor Points'!$A$3)/('Anchor Points'!$A$4-'Anchor Points'!$A$3)*('Anchor Points'!$D$4-'Anchor Points'!$D$3),IF(A47&lt;=40,'Anchor Points'!$D$4+(A47-'Anchor Points'!$A$4)/('Anchor Points'!$A$5-'Anchor Points'!$A$4)*('Anchor Points'!$D$5-'Anchor Points'!$D$4),IF(A47&lt;=55,'Anchor Points'!$D$5+(A47-'Anchor Points'!$A$5)/('Anchor Points'!$A$6-'Anchor Points'!$A$5)*('Anchor Points'!$D$6-'Anchor Points'!$D$5),IF(A47&lt;=70,'Anchor Points'!$D$6+(A47-'Anchor Points'!$A$6)/('Anchor Points'!$A$7-'Anchor Points'!$A$6)*('Anchor Points'!$D$7-'Anchor Points'!$D$6),IF(A47&lt;=90,'Anchor Points'!$D$7+(A47-'Anchor Points'!$A$7)/('Anchor Points'!$A$8-'Anchor Points'!$A$7)*('Anchor Points'!$D$8-'Anchor Points'!$D$7),'Anchor Points'!$D$8+(A47-'Anchor Points'!$A$8)/('Anchor Points'!$A$9-'Anchor Points'!$A$8)*('Anchor Points'!$D$9-'Anchor Points'!$D$8)))))))</x:f>
        <x:v>3.6666666666666665</x:v>
      </x:c>
      <x:c r="F47" s="30" t="n">
        <x:f>ROUND(E47,0)</x:f>
        <x:v>4</x:v>
      </x:c>
      <x:c r="G47" s="28" t="n">
        <x:f>IF(A47&lt;=15,'Anchor Points'!$E$2+(A47-'Anchor Points'!$A$2)/('Anchor Points'!$A$3-'Anchor Points'!$A$2)*('Anchor Points'!$E$3-'Anchor Points'!$E$2),IF(A47&lt;=25,'Anchor Points'!$E$3+(A47-'Anchor Points'!$A$3)/('Anchor Points'!$A$4-'Anchor Points'!$A$3)*('Anchor Points'!$E$4-'Anchor Points'!$E$3),IF(A47&lt;=40,'Anchor Points'!$E$4+(A47-'Anchor Points'!$A$4)/('Anchor Points'!$A$5-'Anchor Points'!$A$4)*('Anchor Points'!$E$5-'Anchor Points'!$E$4),IF(A47&lt;=55,'Anchor Points'!$E$5+(A47-'Anchor Points'!$A$5)/('Anchor Points'!$A$6-'Anchor Points'!$A$5)*('Anchor Points'!$E$6-'Anchor Points'!$E$5),IF(A47&lt;=70,'Anchor Points'!$E$6+(A47-'Anchor Points'!$A$6)/('Anchor Points'!$A$7-'Anchor Points'!$A$6)*('Anchor Points'!$E$7-'Anchor Points'!$E$6),IF(A47&lt;=90,'Anchor Points'!$E$7+(A47-'Anchor Points'!$A$7)/('Anchor Points'!$A$8-'Anchor Points'!$A$7)*('Anchor Points'!$E$8-'Anchor Points'!$E$7),'Anchor Points'!$E$8+(A47-'Anchor Points'!$A$8)/('Anchor Points'!$A$9-'Anchor Points'!$A$8)*('Anchor Points'!$E$9-'Anchor Points'!$E$8)))))))</x:f>
        <x:v>0.3333333333333333</x:v>
      </x:c>
      <x:c r="H47" s="30" t="n">
        <x:f>ROUND(G47,0)</x:f>
        <x:v>0</x:v>
      </x:c>
      <x:c r="I47" s="28" t="n">
        <x:f>IF(A47&lt;=15,'Anchor Points'!$F$2+(A47-'Anchor Points'!$A$2)/('Anchor Points'!$A$3-'Anchor Points'!$A$2)*('Anchor Points'!$F$3-'Anchor Points'!$F$2),IF(A47&lt;=25,'Anchor Points'!$F$3+(A47-'Anchor Points'!$A$3)/('Anchor Points'!$A$4-'Anchor Points'!$A$3)*('Anchor Points'!$F$4-'Anchor Points'!$F$3),IF(A47&lt;=40,'Anchor Points'!$F$4+(A47-'Anchor Points'!$A$4)/('Anchor Points'!$A$5-'Anchor Points'!$A$4)*('Anchor Points'!$F$5-'Anchor Points'!$F$4),IF(A47&lt;=55,'Anchor Points'!$F$5+(A47-'Anchor Points'!$A$5)/('Anchor Points'!$A$6-'Anchor Points'!$A$5)*('Anchor Points'!$F$6-'Anchor Points'!$F$5),IF(A47&lt;=70,'Anchor Points'!$F$6+(A47-'Anchor Points'!$A$6)/('Anchor Points'!$A$7-'Anchor Points'!$A$6)*('Anchor Points'!$F$7-'Anchor Points'!$F$6),IF(A47&lt;=90,'Anchor Points'!$F$7+(A47-'Anchor Points'!$A$7)/('Anchor Points'!$A$8-'Anchor Points'!$A$7)*('Anchor Points'!$F$8-'Anchor Points'!$F$7),'Anchor Points'!$F$8+(A47-'Anchor Points'!$A$8)/('Anchor Points'!$A$9-'Anchor Points'!$A$8)*('Anchor Points'!$F$9-'Anchor Points'!$F$8)))))))</x:f>
        <x:v>2.6666666666666665</x:v>
      </x:c>
      <x:c r="K47" s="36" t="n">
        <x:f>A23</x:f>
        <x:v>21</x:v>
      </x:c>
      <x:c r="L47" s="36" t="n">
        <x:f>E23</x:f>
        <x:v>0</x:v>
      </x:c>
      <x:c r="M47" s="36" t="n">
        <x:f>G23</x:f>
        <x:v>0</x:v>
      </x:c>
      <x:c r="N47" s="36" t="n">
        <x:f>I23</x:f>
        <x:v>0</x:v>
      </x:c>
    </x:row>
    <x:row r="48">
      <x:c r="A48" s="30" t="n">
        <x:v>46</x:v>
      </x:c>
      <x:c r="B48" s="11" t="str">
        <x:f>IF(A48&lt;=15,"Seedling",IF(A48&lt;=25,"Establishment",IF(A48&lt;=40,"Vegetative Growth",IF(A48&lt;=55,"Flowering &amp; Initial Fruit Set",IF(A48&lt;=80,"Fruit Enlargement",IF(A48&lt;=95,"Ripening","Harvesting"))))))</x:f>
        <x:v>Flowering &amp; Initial Fruit Set</x:v>
      </x:c>
      <x:c r="C48" s="28" t="n">
        <x:f>IF(A48&lt;=15,'Anchor Points'!$B$2+(A48-'Anchor Points'!$A$2)/('Anchor Points'!$A$3-'Anchor Points'!$A$2)*('Anchor Points'!$B$3-'Anchor Points'!$B$2),IF(A48&lt;=25,'Anchor Points'!$B$3+(A48-'Anchor Points'!$A$3)/('Anchor Points'!$A$4-'Anchor Points'!$A$3)*('Anchor Points'!$B$4-'Anchor Points'!$B$3),IF(A48&lt;=40,'Anchor Points'!$B$4+(A48-'Anchor Points'!$A$4)/('Anchor Points'!$A$5-'Anchor Points'!$A$4)*('Anchor Points'!$B$5-'Anchor Points'!$B$4),IF(A48&lt;=55,'Anchor Points'!$B$5+(A48-'Anchor Points'!$A$5)/('Anchor Points'!$A$6-'Anchor Points'!$A$5)*('Anchor Points'!$B$6-'Anchor Points'!$B$5),IF(A48&lt;=70,'Anchor Points'!$B$6+(A48-'Anchor Points'!$A$6)/('Anchor Points'!$A$7-'Anchor Points'!$A$6)*('Anchor Points'!$B$7-'Anchor Points'!$B$6),IF(A48&lt;=90,'Anchor Points'!$B$7+(A48-'Anchor Points'!$A$7)/('Anchor Points'!$A$8-'Anchor Points'!$A$7)*('Anchor Points'!$B$8-'Anchor Points'!$B$7),'Anchor Points'!$B$8+(A48-'Anchor Points'!$A$8)/('Anchor Points'!$A$9-'Anchor Points'!$A$8)*('Anchor Points'!$B$9-'Anchor Points'!$B$8)))))))</x:f>
        <x:v>46</x:v>
      </x:c>
      <x:c r="D48" s="28" t="n">
        <x:f>IF(A48&lt;=15,'Anchor Points'!$C$2+(A48-'Anchor Points'!$A$2)/('Anchor Points'!$A$3-'Anchor Points'!$A$2)*('Anchor Points'!$C$3-'Anchor Points'!$C$2),IF(A48&lt;=25,'Anchor Points'!$C$3+(A48-'Anchor Points'!$A$3)/('Anchor Points'!$A$4-'Anchor Points'!$A$3)*('Anchor Points'!$C$4-'Anchor Points'!$C$3),IF(A48&lt;=40,'Anchor Points'!$C$4+(A48-'Anchor Points'!$A$4)/('Anchor Points'!$A$5-'Anchor Points'!$A$4)*('Anchor Points'!$C$5-'Anchor Points'!$C$4),IF(A48&lt;=55,'Anchor Points'!$C$5+(A48-'Anchor Points'!$A$5)/('Anchor Points'!$A$6-'Anchor Points'!$A$5)*('Anchor Points'!$C$6-'Anchor Points'!$C$5),IF(A48&lt;=70,'Anchor Points'!$C$6+(A48-'Anchor Points'!$A$6)/('Anchor Points'!$A$7-'Anchor Points'!$A$6)*('Anchor Points'!$C$7-'Anchor Points'!$C$6),IF(A48&lt;=90,'Anchor Points'!$C$7+(A48-'Anchor Points'!$A$7)/('Anchor Points'!$A$8-'Anchor Points'!$A$7)*('Anchor Points'!$C$8-'Anchor Points'!$C$7),'Anchor Points'!$C$8+(A48-'Anchor Points'!$A$8)/('Anchor Points'!$A$9-'Anchor Points'!$A$8)*('Anchor Points'!$C$9-'Anchor Points'!$C$8)))))))</x:f>
        <x:v>33</x:v>
      </x:c>
      <x:c r="E48" s="28" t="n">
        <x:f>IF(A48&lt;=15,'Anchor Points'!$D$2+(A48-'Anchor Points'!$A$2)/('Anchor Points'!$A$3-'Anchor Points'!$A$2)*('Anchor Points'!$D$3-'Anchor Points'!$D$2),IF(A48&lt;=25,'Anchor Points'!$D$3+(A48-'Anchor Points'!$A$3)/('Anchor Points'!$A$4-'Anchor Points'!$A$3)*('Anchor Points'!$D$4-'Anchor Points'!$D$3),IF(A48&lt;=40,'Anchor Points'!$D$4+(A48-'Anchor Points'!$A$4)/('Anchor Points'!$A$5-'Anchor Points'!$A$4)*('Anchor Points'!$D$5-'Anchor Points'!$D$4),IF(A48&lt;=55,'Anchor Points'!$D$5+(A48-'Anchor Points'!$A$5)/('Anchor Points'!$A$6-'Anchor Points'!$A$5)*('Anchor Points'!$D$6-'Anchor Points'!$D$5),IF(A48&lt;=70,'Anchor Points'!$D$6+(A48-'Anchor Points'!$A$6)/('Anchor Points'!$A$7-'Anchor Points'!$A$6)*('Anchor Points'!$D$7-'Anchor Points'!$D$6),IF(A48&lt;=90,'Anchor Points'!$D$7+(A48-'Anchor Points'!$A$7)/('Anchor Points'!$A$8-'Anchor Points'!$A$7)*('Anchor Points'!$D$8-'Anchor Points'!$D$7),'Anchor Points'!$D$8+(A48-'Anchor Points'!$A$8)/('Anchor Points'!$A$9-'Anchor Points'!$A$8)*('Anchor Points'!$D$9-'Anchor Points'!$D$8)))))))</x:f>
        <x:v>4</x:v>
      </x:c>
      <x:c r="F48" s="30" t="n">
        <x:f>ROUND(E48,0)</x:f>
        <x:v>4</x:v>
      </x:c>
      <x:c r="G48" s="28" t="n">
        <x:f>IF(A48&lt;=15,'Anchor Points'!$E$2+(A48-'Anchor Points'!$A$2)/('Anchor Points'!$A$3-'Anchor Points'!$A$2)*('Anchor Points'!$E$3-'Anchor Points'!$E$2),IF(A48&lt;=25,'Anchor Points'!$E$3+(A48-'Anchor Points'!$A$3)/('Anchor Points'!$A$4-'Anchor Points'!$A$3)*('Anchor Points'!$E$4-'Anchor Points'!$E$3),IF(A48&lt;=40,'Anchor Points'!$E$4+(A48-'Anchor Points'!$A$4)/('Anchor Points'!$A$5-'Anchor Points'!$A$4)*('Anchor Points'!$E$5-'Anchor Points'!$E$4),IF(A48&lt;=55,'Anchor Points'!$E$5+(A48-'Anchor Points'!$A$5)/('Anchor Points'!$A$6-'Anchor Points'!$A$5)*('Anchor Points'!$E$6-'Anchor Points'!$E$5),IF(A48&lt;=70,'Anchor Points'!$E$6+(A48-'Anchor Points'!$A$6)/('Anchor Points'!$A$7-'Anchor Points'!$A$6)*('Anchor Points'!$E$7-'Anchor Points'!$E$6),IF(A48&lt;=90,'Anchor Points'!$E$7+(A48-'Anchor Points'!$A$7)/('Anchor Points'!$A$8-'Anchor Points'!$A$7)*('Anchor Points'!$E$8-'Anchor Points'!$E$7),'Anchor Points'!$E$8+(A48-'Anchor Points'!$A$8)/('Anchor Points'!$A$9-'Anchor Points'!$A$8)*('Anchor Points'!$E$9-'Anchor Points'!$E$8)))))))</x:f>
        <x:v>0.4</x:v>
      </x:c>
      <x:c r="H48" s="30" t="n">
        <x:f>ROUND(G48,0)</x:f>
        <x:v>0</x:v>
      </x:c>
      <x:c r="I48" s="28" t="n">
        <x:f>IF(A48&lt;=15,'Anchor Points'!$F$2+(A48-'Anchor Points'!$A$2)/('Anchor Points'!$A$3-'Anchor Points'!$A$2)*('Anchor Points'!$F$3-'Anchor Points'!$F$2),IF(A48&lt;=25,'Anchor Points'!$F$3+(A48-'Anchor Points'!$A$3)/('Anchor Points'!$A$4-'Anchor Points'!$A$3)*('Anchor Points'!$F$4-'Anchor Points'!$F$3),IF(A48&lt;=40,'Anchor Points'!$F$4+(A48-'Anchor Points'!$A$4)/('Anchor Points'!$A$5-'Anchor Points'!$A$4)*('Anchor Points'!$F$5-'Anchor Points'!$F$4),IF(A48&lt;=55,'Anchor Points'!$F$5+(A48-'Anchor Points'!$A$5)/('Anchor Points'!$A$6-'Anchor Points'!$A$5)*('Anchor Points'!$F$6-'Anchor Points'!$F$5),IF(A48&lt;=70,'Anchor Points'!$F$6+(A48-'Anchor Points'!$A$6)/('Anchor Points'!$A$7-'Anchor Points'!$A$6)*('Anchor Points'!$F$7-'Anchor Points'!$F$6),IF(A48&lt;=90,'Anchor Points'!$F$7+(A48-'Anchor Points'!$A$7)/('Anchor Points'!$A$8-'Anchor Points'!$A$7)*('Anchor Points'!$F$8-'Anchor Points'!$F$7),'Anchor Points'!$F$8+(A48-'Anchor Points'!$A$8)/('Anchor Points'!$A$9-'Anchor Points'!$A$8)*('Anchor Points'!$F$9-'Anchor Points'!$F$8)))))))</x:f>
        <x:v>3.2</x:v>
      </x:c>
      <x:c r="K48" s="36" t="n">
        <x:f>A24</x:f>
        <x:v>22</x:v>
      </x:c>
      <x:c r="L48" s="36" t="n">
        <x:f>E24</x:f>
        <x:v>0</x:v>
      </x:c>
      <x:c r="M48" s="36" t="n">
        <x:f>G24</x:f>
        <x:v>0</x:v>
      </x:c>
      <x:c r="N48" s="36" t="n">
        <x:f>I24</x:f>
        <x:v>0</x:v>
      </x:c>
    </x:row>
    <x:row r="49">
      <x:c r="A49" s="30" t="n">
        <x:v>47</x:v>
      </x:c>
      <x:c r="B49" s="11" t="str">
        <x:f>IF(A49&lt;=15,"Seedling",IF(A49&lt;=25,"Establishment",IF(A49&lt;=40,"Vegetative Growth",IF(A49&lt;=55,"Flowering &amp; Initial Fruit Set",IF(A49&lt;=80,"Fruit Enlargement",IF(A49&lt;=95,"Ripening","Harvesting"))))))</x:f>
        <x:v>Flowering &amp; Initial Fruit Set</x:v>
      </x:c>
      <x:c r="C49" s="28" t="n">
        <x:f>IF(A49&lt;=15,'Anchor Points'!$B$2+(A49-'Anchor Points'!$A$2)/('Anchor Points'!$A$3-'Anchor Points'!$A$2)*('Anchor Points'!$B$3-'Anchor Points'!$B$2),IF(A49&lt;=25,'Anchor Points'!$B$3+(A49-'Anchor Points'!$A$3)/('Anchor Points'!$A$4-'Anchor Points'!$A$3)*('Anchor Points'!$B$4-'Anchor Points'!$B$3),IF(A49&lt;=40,'Anchor Points'!$B$4+(A49-'Anchor Points'!$A$4)/('Anchor Points'!$A$5-'Anchor Points'!$A$4)*('Anchor Points'!$B$5-'Anchor Points'!$B$4),IF(A49&lt;=55,'Anchor Points'!$B$5+(A49-'Anchor Points'!$A$5)/('Anchor Points'!$A$6-'Anchor Points'!$A$5)*('Anchor Points'!$B$6-'Anchor Points'!$B$5),IF(A49&lt;=70,'Anchor Points'!$B$6+(A49-'Anchor Points'!$A$6)/('Anchor Points'!$A$7-'Anchor Points'!$A$6)*('Anchor Points'!$B$7-'Anchor Points'!$B$6),IF(A49&lt;=90,'Anchor Points'!$B$7+(A49-'Anchor Points'!$A$7)/('Anchor Points'!$A$8-'Anchor Points'!$A$7)*('Anchor Points'!$B$8-'Anchor Points'!$B$7),'Anchor Points'!$B$8+(A49-'Anchor Points'!$A$8)/('Anchor Points'!$A$9-'Anchor Points'!$A$8)*('Anchor Points'!$B$9-'Anchor Points'!$B$8)))))))</x:f>
        <x:v>47.333333333333336</x:v>
      </x:c>
      <x:c r="D49" s="28" t="n">
        <x:f>IF(A49&lt;=15,'Anchor Points'!$C$2+(A49-'Anchor Points'!$A$2)/('Anchor Points'!$A$3-'Anchor Points'!$A$2)*('Anchor Points'!$C$3-'Anchor Points'!$C$2),IF(A49&lt;=25,'Anchor Points'!$C$3+(A49-'Anchor Points'!$A$3)/('Anchor Points'!$A$4-'Anchor Points'!$A$3)*('Anchor Points'!$C$4-'Anchor Points'!$C$3),IF(A49&lt;=40,'Anchor Points'!$C$4+(A49-'Anchor Points'!$A$4)/('Anchor Points'!$A$5-'Anchor Points'!$A$4)*('Anchor Points'!$C$5-'Anchor Points'!$C$4),IF(A49&lt;=55,'Anchor Points'!$C$5+(A49-'Anchor Points'!$A$5)/('Anchor Points'!$A$6-'Anchor Points'!$A$5)*('Anchor Points'!$C$6-'Anchor Points'!$C$5),IF(A49&lt;=70,'Anchor Points'!$C$6+(A49-'Anchor Points'!$A$6)/('Anchor Points'!$A$7-'Anchor Points'!$A$6)*('Anchor Points'!$C$7-'Anchor Points'!$C$6),IF(A49&lt;=90,'Anchor Points'!$C$7+(A49-'Anchor Points'!$A$7)/('Anchor Points'!$A$8-'Anchor Points'!$A$7)*('Anchor Points'!$C$8-'Anchor Points'!$C$7),'Anchor Points'!$C$8+(A49-'Anchor Points'!$A$8)/('Anchor Points'!$A$9-'Anchor Points'!$A$8)*('Anchor Points'!$C$9-'Anchor Points'!$C$8)))))))</x:f>
        <x:v>34.333333333333336</x:v>
      </x:c>
      <x:c r="E49" s="28" t="n">
        <x:f>IF(A49&lt;=15,'Anchor Points'!$D$2+(A49-'Anchor Points'!$A$2)/('Anchor Points'!$A$3-'Anchor Points'!$A$2)*('Anchor Points'!$D$3-'Anchor Points'!$D$2),IF(A49&lt;=25,'Anchor Points'!$D$3+(A49-'Anchor Points'!$A$3)/('Anchor Points'!$A$4-'Anchor Points'!$A$3)*('Anchor Points'!$D$4-'Anchor Points'!$D$3),IF(A49&lt;=40,'Anchor Points'!$D$4+(A49-'Anchor Points'!$A$4)/('Anchor Points'!$A$5-'Anchor Points'!$A$4)*('Anchor Points'!$D$5-'Anchor Points'!$D$4),IF(A49&lt;=55,'Anchor Points'!$D$5+(A49-'Anchor Points'!$A$5)/('Anchor Points'!$A$6-'Anchor Points'!$A$5)*('Anchor Points'!$D$6-'Anchor Points'!$D$5),IF(A49&lt;=70,'Anchor Points'!$D$6+(A49-'Anchor Points'!$A$6)/('Anchor Points'!$A$7-'Anchor Points'!$A$6)*('Anchor Points'!$D$7-'Anchor Points'!$D$6),IF(A49&lt;=90,'Anchor Points'!$D$7+(A49-'Anchor Points'!$A$7)/('Anchor Points'!$A$8-'Anchor Points'!$A$7)*('Anchor Points'!$D$8-'Anchor Points'!$D$7),'Anchor Points'!$D$8+(A49-'Anchor Points'!$A$8)/('Anchor Points'!$A$9-'Anchor Points'!$A$8)*('Anchor Points'!$D$9-'Anchor Points'!$D$8)))))))</x:f>
        <x:v>4.333333333333334</x:v>
      </x:c>
      <x:c r="F49" s="30" t="n">
        <x:f>ROUND(E49,0)</x:f>
        <x:v>4</x:v>
      </x:c>
      <x:c r="G49" s="28" t="n">
        <x:f>IF(A49&lt;=15,'Anchor Points'!$E$2+(A49-'Anchor Points'!$A$2)/('Anchor Points'!$A$3-'Anchor Points'!$A$2)*('Anchor Points'!$E$3-'Anchor Points'!$E$2),IF(A49&lt;=25,'Anchor Points'!$E$3+(A49-'Anchor Points'!$A$3)/('Anchor Points'!$A$4-'Anchor Points'!$A$3)*('Anchor Points'!$E$4-'Anchor Points'!$E$3),IF(A49&lt;=40,'Anchor Points'!$E$4+(A49-'Anchor Points'!$A$4)/('Anchor Points'!$A$5-'Anchor Points'!$A$4)*('Anchor Points'!$E$5-'Anchor Points'!$E$4),IF(A49&lt;=55,'Anchor Points'!$E$5+(A49-'Anchor Points'!$A$5)/('Anchor Points'!$A$6-'Anchor Points'!$A$5)*('Anchor Points'!$E$6-'Anchor Points'!$E$5),IF(A49&lt;=70,'Anchor Points'!$E$6+(A49-'Anchor Points'!$A$6)/('Anchor Points'!$A$7-'Anchor Points'!$A$6)*('Anchor Points'!$E$7-'Anchor Points'!$E$6),IF(A49&lt;=90,'Anchor Points'!$E$7+(A49-'Anchor Points'!$A$7)/('Anchor Points'!$A$8-'Anchor Points'!$A$7)*('Anchor Points'!$E$8-'Anchor Points'!$E$7),'Anchor Points'!$E$8+(A49-'Anchor Points'!$A$8)/('Anchor Points'!$A$9-'Anchor Points'!$A$8)*('Anchor Points'!$E$9-'Anchor Points'!$E$8)))))))</x:f>
        <x:v>0.4666666666666667</x:v>
      </x:c>
      <x:c r="H49" s="30" t="n">
        <x:f>ROUND(G49,0)</x:f>
        <x:v>0</x:v>
      </x:c>
      <x:c r="I49" s="28" t="n">
        <x:f>IF(A49&lt;=15,'Anchor Points'!$F$2+(A49-'Anchor Points'!$A$2)/('Anchor Points'!$A$3-'Anchor Points'!$A$2)*('Anchor Points'!$F$3-'Anchor Points'!$F$2),IF(A49&lt;=25,'Anchor Points'!$F$3+(A49-'Anchor Points'!$A$3)/('Anchor Points'!$A$4-'Anchor Points'!$A$3)*('Anchor Points'!$F$4-'Anchor Points'!$F$3),IF(A49&lt;=40,'Anchor Points'!$F$4+(A49-'Anchor Points'!$A$4)/('Anchor Points'!$A$5-'Anchor Points'!$A$4)*('Anchor Points'!$F$5-'Anchor Points'!$F$4),IF(A49&lt;=55,'Anchor Points'!$F$5+(A49-'Anchor Points'!$A$5)/('Anchor Points'!$A$6-'Anchor Points'!$A$5)*('Anchor Points'!$F$6-'Anchor Points'!$F$5),IF(A49&lt;=70,'Anchor Points'!$F$6+(A49-'Anchor Points'!$A$6)/('Anchor Points'!$A$7-'Anchor Points'!$A$6)*('Anchor Points'!$F$7-'Anchor Points'!$F$6),IF(A49&lt;=90,'Anchor Points'!$F$7+(A49-'Anchor Points'!$A$7)/('Anchor Points'!$A$8-'Anchor Points'!$A$7)*('Anchor Points'!$F$8-'Anchor Points'!$F$7),'Anchor Points'!$F$8+(A49-'Anchor Points'!$A$8)/('Anchor Points'!$A$9-'Anchor Points'!$A$8)*('Anchor Points'!$F$9-'Anchor Points'!$F$8)))))))</x:f>
        <x:v>3.7333333333333334</x:v>
      </x:c>
      <x:c r="K49" s="36" t="n">
        <x:f>A25</x:f>
        <x:v>23</x:v>
      </x:c>
      <x:c r="L49" s="36" t="n">
        <x:f>E25</x:f>
        <x:v>0</x:v>
      </x:c>
      <x:c r="M49" s="36" t="n">
        <x:f>G25</x:f>
        <x:v>0</x:v>
      </x:c>
      <x:c r="N49" s="36" t="n">
        <x:f>I25</x:f>
        <x:v>0</x:v>
      </x:c>
    </x:row>
    <x:row r="50">
      <x:c r="A50" s="30" t="n">
        <x:v>48</x:v>
      </x:c>
      <x:c r="B50" s="11" t="str">
        <x:f>IF(A50&lt;=15,"Seedling",IF(A50&lt;=25,"Establishment",IF(A50&lt;=40,"Vegetative Growth",IF(A50&lt;=55,"Flowering &amp; Initial Fruit Set",IF(A50&lt;=80,"Fruit Enlargement",IF(A50&lt;=95,"Ripening","Harvesting"))))))</x:f>
        <x:v>Flowering &amp; Initial Fruit Set</x:v>
      </x:c>
      <x:c r="C50" s="28" t="n">
        <x:f>IF(A50&lt;=15,'Anchor Points'!$B$2+(A50-'Anchor Points'!$A$2)/('Anchor Points'!$A$3-'Anchor Points'!$A$2)*('Anchor Points'!$B$3-'Anchor Points'!$B$2),IF(A50&lt;=25,'Anchor Points'!$B$3+(A50-'Anchor Points'!$A$3)/('Anchor Points'!$A$4-'Anchor Points'!$A$3)*('Anchor Points'!$B$4-'Anchor Points'!$B$3),IF(A50&lt;=40,'Anchor Points'!$B$4+(A50-'Anchor Points'!$A$4)/('Anchor Points'!$A$5-'Anchor Points'!$A$4)*('Anchor Points'!$B$5-'Anchor Points'!$B$4),IF(A50&lt;=55,'Anchor Points'!$B$5+(A50-'Anchor Points'!$A$5)/('Anchor Points'!$A$6-'Anchor Points'!$A$5)*('Anchor Points'!$B$6-'Anchor Points'!$B$5),IF(A50&lt;=70,'Anchor Points'!$B$6+(A50-'Anchor Points'!$A$6)/('Anchor Points'!$A$7-'Anchor Points'!$A$6)*('Anchor Points'!$B$7-'Anchor Points'!$B$6),IF(A50&lt;=90,'Anchor Points'!$B$7+(A50-'Anchor Points'!$A$7)/('Anchor Points'!$A$8-'Anchor Points'!$A$7)*('Anchor Points'!$B$8-'Anchor Points'!$B$7),'Anchor Points'!$B$8+(A50-'Anchor Points'!$A$8)/('Anchor Points'!$A$9-'Anchor Points'!$A$8)*('Anchor Points'!$B$9-'Anchor Points'!$B$8)))))))</x:f>
        <x:v>48.666666666666664</x:v>
      </x:c>
      <x:c r="D50" s="28" t="n">
        <x:f>IF(A50&lt;=15,'Anchor Points'!$C$2+(A50-'Anchor Points'!$A$2)/('Anchor Points'!$A$3-'Anchor Points'!$A$2)*('Anchor Points'!$C$3-'Anchor Points'!$C$2),IF(A50&lt;=25,'Anchor Points'!$C$3+(A50-'Anchor Points'!$A$3)/('Anchor Points'!$A$4-'Anchor Points'!$A$3)*('Anchor Points'!$C$4-'Anchor Points'!$C$3),IF(A50&lt;=40,'Anchor Points'!$C$4+(A50-'Anchor Points'!$A$4)/('Anchor Points'!$A$5-'Anchor Points'!$A$4)*('Anchor Points'!$C$5-'Anchor Points'!$C$4),IF(A50&lt;=55,'Anchor Points'!$C$5+(A50-'Anchor Points'!$A$5)/('Anchor Points'!$A$6-'Anchor Points'!$A$5)*('Anchor Points'!$C$6-'Anchor Points'!$C$5),IF(A50&lt;=70,'Anchor Points'!$C$6+(A50-'Anchor Points'!$A$6)/('Anchor Points'!$A$7-'Anchor Points'!$A$6)*('Anchor Points'!$C$7-'Anchor Points'!$C$6),IF(A50&lt;=90,'Anchor Points'!$C$7+(A50-'Anchor Points'!$A$7)/('Anchor Points'!$A$8-'Anchor Points'!$A$7)*('Anchor Points'!$C$8-'Anchor Points'!$C$7),'Anchor Points'!$C$8+(A50-'Anchor Points'!$A$8)/('Anchor Points'!$A$9-'Anchor Points'!$A$8)*('Anchor Points'!$C$9-'Anchor Points'!$C$8)))))))</x:f>
        <x:v>35.666666666666664</x:v>
      </x:c>
      <x:c r="E50" s="28" t="n">
        <x:f>IF(A50&lt;=15,'Anchor Points'!$D$2+(A50-'Anchor Points'!$A$2)/('Anchor Points'!$A$3-'Anchor Points'!$A$2)*('Anchor Points'!$D$3-'Anchor Points'!$D$2),IF(A50&lt;=25,'Anchor Points'!$D$3+(A50-'Anchor Points'!$A$3)/('Anchor Points'!$A$4-'Anchor Points'!$A$3)*('Anchor Points'!$D$4-'Anchor Points'!$D$3),IF(A50&lt;=40,'Anchor Points'!$D$4+(A50-'Anchor Points'!$A$4)/('Anchor Points'!$A$5-'Anchor Points'!$A$4)*('Anchor Points'!$D$5-'Anchor Points'!$D$4),IF(A50&lt;=55,'Anchor Points'!$D$5+(A50-'Anchor Points'!$A$5)/('Anchor Points'!$A$6-'Anchor Points'!$A$5)*('Anchor Points'!$D$6-'Anchor Points'!$D$5),IF(A50&lt;=70,'Anchor Points'!$D$6+(A50-'Anchor Points'!$A$6)/('Anchor Points'!$A$7-'Anchor Points'!$A$6)*('Anchor Points'!$D$7-'Anchor Points'!$D$6),IF(A50&lt;=90,'Anchor Points'!$D$7+(A50-'Anchor Points'!$A$7)/('Anchor Points'!$A$8-'Anchor Points'!$A$7)*('Anchor Points'!$D$8-'Anchor Points'!$D$7),'Anchor Points'!$D$8+(A50-'Anchor Points'!$A$8)/('Anchor Points'!$A$9-'Anchor Points'!$A$8)*('Anchor Points'!$D$9-'Anchor Points'!$D$8)))))))</x:f>
        <x:v>4.666666666666666</x:v>
      </x:c>
      <x:c r="F50" s="30" t="n">
        <x:f>ROUND(E50,0)</x:f>
        <x:v>5</x:v>
      </x:c>
      <x:c r="G50" s="28" t="n">
        <x:f>IF(A50&lt;=15,'Anchor Points'!$E$2+(A50-'Anchor Points'!$A$2)/('Anchor Points'!$A$3-'Anchor Points'!$A$2)*('Anchor Points'!$E$3-'Anchor Points'!$E$2),IF(A50&lt;=25,'Anchor Points'!$E$3+(A50-'Anchor Points'!$A$3)/('Anchor Points'!$A$4-'Anchor Points'!$A$3)*('Anchor Points'!$E$4-'Anchor Points'!$E$3),IF(A50&lt;=40,'Anchor Points'!$E$4+(A50-'Anchor Points'!$A$4)/('Anchor Points'!$A$5-'Anchor Points'!$A$4)*('Anchor Points'!$E$5-'Anchor Points'!$E$4),IF(A50&lt;=55,'Anchor Points'!$E$5+(A50-'Anchor Points'!$A$5)/('Anchor Points'!$A$6-'Anchor Points'!$A$5)*('Anchor Points'!$E$6-'Anchor Points'!$E$5),IF(A50&lt;=70,'Anchor Points'!$E$6+(A50-'Anchor Points'!$A$6)/('Anchor Points'!$A$7-'Anchor Points'!$A$6)*('Anchor Points'!$E$7-'Anchor Points'!$E$6),IF(A50&lt;=90,'Anchor Points'!$E$7+(A50-'Anchor Points'!$A$7)/('Anchor Points'!$A$8-'Anchor Points'!$A$7)*('Anchor Points'!$E$8-'Anchor Points'!$E$7),'Anchor Points'!$E$8+(A50-'Anchor Points'!$A$8)/('Anchor Points'!$A$9-'Anchor Points'!$A$8)*('Anchor Points'!$E$9-'Anchor Points'!$E$8)))))))</x:f>
        <x:v>0.5333333333333333</x:v>
      </x:c>
      <x:c r="H50" s="30" t="n">
        <x:f>ROUND(G50,0)</x:f>
        <x:v>1</x:v>
      </x:c>
      <x:c r="I50" s="28" t="n">
        <x:f>IF(A50&lt;=15,'Anchor Points'!$F$2+(A50-'Anchor Points'!$A$2)/('Anchor Points'!$A$3-'Anchor Points'!$A$2)*('Anchor Points'!$F$3-'Anchor Points'!$F$2),IF(A50&lt;=25,'Anchor Points'!$F$3+(A50-'Anchor Points'!$A$3)/('Anchor Points'!$A$4-'Anchor Points'!$A$3)*('Anchor Points'!$F$4-'Anchor Points'!$F$3),IF(A50&lt;=40,'Anchor Points'!$F$4+(A50-'Anchor Points'!$A$4)/('Anchor Points'!$A$5-'Anchor Points'!$A$4)*('Anchor Points'!$F$5-'Anchor Points'!$F$4),IF(A50&lt;=55,'Anchor Points'!$F$5+(A50-'Anchor Points'!$A$5)/('Anchor Points'!$A$6-'Anchor Points'!$A$5)*('Anchor Points'!$F$6-'Anchor Points'!$F$5),IF(A50&lt;=70,'Anchor Points'!$F$6+(A50-'Anchor Points'!$A$6)/('Anchor Points'!$A$7-'Anchor Points'!$A$6)*('Anchor Points'!$F$7-'Anchor Points'!$F$6),IF(A50&lt;=90,'Anchor Points'!$F$7+(A50-'Anchor Points'!$A$7)/('Anchor Points'!$A$8-'Anchor Points'!$A$7)*('Anchor Points'!$F$8-'Anchor Points'!$F$7),'Anchor Points'!$F$8+(A50-'Anchor Points'!$A$8)/('Anchor Points'!$A$9-'Anchor Points'!$A$8)*('Anchor Points'!$F$9-'Anchor Points'!$F$8)))))))</x:f>
        <x:v>4.266666666666667</x:v>
      </x:c>
      <x:c r="K50" s="36" t="n">
        <x:f>A26</x:f>
        <x:v>24</x:v>
      </x:c>
      <x:c r="L50" s="36" t="n">
        <x:f>E26</x:f>
        <x:v>0</x:v>
      </x:c>
      <x:c r="M50" s="36" t="n">
        <x:f>G26</x:f>
        <x:v>0</x:v>
      </x:c>
      <x:c r="N50" s="36" t="n">
        <x:f>I26</x:f>
        <x:v>0</x:v>
      </x:c>
    </x:row>
    <x:row r="51">
      <x:c r="A51" s="30" t="n">
        <x:v>49</x:v>
      </x:c>
      <x:c r="B51" s="11" t="str">
        <x:f>IF(A51&lt;=15,"Seedling",IF(A51&lt;=25,"Establishment",IF(A51&lt;=40,"Vegetative Growth",IF(A51&lt;=55,"Flowering &amp; Initial Fruit Set",IF(A51&lt;=80,"Fruit Enlargement",IF(A51&lt;=95,"Ripening","Harvesting"))))))</x:f>
        <x:v>Flowering &amp; Initial Fruit Set</x:v>
      </x:c>
      <x:c r="C51" s="28" t="n">
        <x:f>IF(A51&lt;=15,'Anchor Points'!$B$2+(A51-'Anchor Points'!$A$2)/('Anchor Points'!$A$3-'Anchor Points'!$A$2)*('Anchor Points'!$B$3-'Anchor Points'!$B$2),IF(A51&lt;=25,'Anchor Points'!$B$3+(A51-'Anchor Points'!$A$3)/('Anchor Points'!$A$4-'Anchor Points'!$A$3)*('Anchor Points'!$B$4-'Anchor Points'!$B$3),IF(A51&lt;=40,'Anchor Points'!$B$4+(A51-'Anchor Points'!$A$4)/('Anchor Points'!$A$5-'Anchor Points'!$A$4)*('Anchor Points'!$B$5-'Anchor Points'!$B$4),IF(A51&lt;=55,'Anchor Points'!$B$5+(A51-'Anchor Points'!$A$5)/('Anchor Points'!$A$6-'Anchor Points'!$A$5)*('Anchor Points'!$B$6-'Anchor Points'!$B$5),IF(A51&lt;=70,'Anchor Points'!$B$6+(A51-'Anchor Points'!$A$6)/('Anchor Points'!$A$7-'Anchor Points'!$A$6)*('Anchor Points'!$B$7-'Anchor Points'!$B$6),IF(A51&lt;=90,'Anchor Points'!$B$7+(A51-'Anchor Points'!$A$7)/('Anchor Points'!$A$8-'Anchor Points'!$A$7)*('Anchor Points'!$B$8-'Anchor Points'!$B$7),'Anchor Points'!$B$8+(A51-'Anchor Points'!$A$8)/('Anchor Points'!$A$9-'Anchor Points'!$A$8)*('Anchor Points'!$B$9-'Anchor Points'!$B$8)))))))</x:f>
        <x:v>50</x:v>
      </x:c>
      <x:c r="D51" s="28" t="n">
        <x:f>IF(A51&lt;=15,'Anchor Points'!$C$2+(A51-'Anchor Points'!$A$2)/('Anchor Points'!$A$3-'Anchor Points'!$A$2)*('Anchor Points'!$C$3-'Anchor Points'!$C$2),IF(A51&lt;=25,'Anchor Points'!$C$3+(A51-'Anchor Points'!$A$3)/('Anchor Points'!$A$4-'Anchor Points'!$A$3)*('Anchor Points'!$C$4-'Anchor Points'!$C$3),IF(A51&lt;=40,'Anchor Points'!$C$4+(A51-'Anchor Points'!$A$4)/('Anchor Points'!$A$5-'Anchor Points'!$A$4)*('Anchor Points'!$C$5-'Anchor Points'!$C$4),IF(A51&lt;=55,'Anchor Points'!$C$5+(A51-'Anchor Points'!$A$5)/('Anchor Points'!$A$6-'Anchor Points'!$A$5)*('Anchor Points'!$C$6-'Anchor Points'!$C$5),IF(A51&lt;=70,'Anchor Points'!$C$6+(A51-'Anchor Points'!$A$6)/('Anchor Points'!$A$7-'Anchor Points'!$A$6)*('Anchor Points'!$C$7-'Anchor Points'!$C$6),IF(A51&lt;=90,'Anchor Points'!$C$7+(A51-'Anchor Points'!$A$7)/('Anchor Points'!$A$8-'Anchor Points'!$A$7)*('Anchor Points'!$C$8-'Anchor Points'!$C$7),'Anchor Points'!$C$8+(A51-'Anchor Points'!$A$8)/('Anchor Points'!$A$9-'Anchor Points'!$A$8)*('Anchor Points'!$C$9-'Anchor Points'!$C$8)))))))</x:f>
        <x:v>37</x:v>
      </x:c>
      <x:c r="E51" s="28" t="n">
        <x:f>IF(A51&lt;=15,'Anchor Points'!$D$2+(A51-'Anchor Points'!$A$2)/('Anchor Points'!$A$3-'Anchor Points'!$A$2)*('Anchor Points'!$D$3-'Anchor Points'!$D$2),IF(A51&lt;=25,'Anchor Points'!$D$3+(A51-'Anchor Points'!$A$3)/('Anchor Points'!$A$4-'Anchor Points'!$A$3)*('Anchor Points'!$D$4-'Anchor Points'!$D$3),IF(A51&lt;=40,'Anchor Points'!$D$4+(A51-'Anchor Points'!$A$4)/('Anchor Points'!$A$5-'Anchor Points'!$A$4)*('Anchor Points'!$D$5-'Anchor Points'!$D$4),IF(A51&lt;=55,'Anchor Points'!$D$5+(A51-'Anchor Points'!$A$5)/('Anchor Points'!$A$6-'Anchor Points'!$A$5)*('Anchor Points'!$D$6-'Anchor Points'!$D$5),IF(A51&lt;=70,'Anchor Points'!$D$6+(A51-'Anchor Points'!$A$6)/('Anchor Points'!$A$7-'Anchor Points'!$A$6)*('Anchor Points'!$D$7-'Anchor Points'!$D$6),IF(A51&lt;=90,'Anchor Points'!$D$7+(A51-'Anchor Points'!$A$7)/('Anchor Points'!$A$8-'Anchor Points'!$A$7)*('Anchor Points'!$D$8-'Anchor Points'!$D$7),'Anchor Points'!$D$8+(A51-'Anchor Points'!$A$8)/('Anchor Points'!$A$9-'Anchor Points'!$A$8)*('Anchor Points'!$D$9-'Anchor Points'!$D$8)))))))</x:f>
        <x:v>5</x:v>
      </x:c>
      <x:c r="F51" s="30" t="n">
        <x:f>ROUND(E51,0)</x:f>
        <x:v>5</x:v>
      </x:c>
      <x:c r="G51" s="28" t="n">
        <x:f>IF(A51&lt;=15,'Anchor Points'!$E$2+(A51-'Anchor Points'!$A$2)/('Anchor Points'!$A$3-'Anchor Points'!$A$2)*('Anchor Points'!$E$3-'Anchor Points'!$E$2),IF(A51&lt;=25,'Anchor Points'!$E$3+(A51-'Anchor Points'!$A$3)/('Anchor Points'!$A$4-'Anchor Points'!$A$3)*('Anchor Points'!$E$4-'Anchor Points'!$E$3),IF(A51&lt;=40,'Anchor Points'!$E$4+(A51-'Anchor Points'!$A$4)/('Anchor Points'!$A$5-'Anchor Points'!$A$4)*('Anchor Points'!$E$5-'Anchor Points'!$E$4),IF(A51&lt;=55,'Anchor Points'!$E$5+(A51-'Anchor Points'!$A$5)/('Anchor Points'!$A$6-'Anchor Points'!$A$5)*('Anchor Points'!$E$6-'Anchor Points'!$E$5),IF(A51&lt;=70,'Anchor Points'!$E$6+(A51-'Anchor Points'!$A$6)/('Anchor Points'!$A$7-'Anchor Points'!$A$6)*('Anchor Points'!$E$7-'Anchor Points'!$E$6),IF(A51&lt;=90,'Anchor Points'!$E$7+(A51-'Anchor Points'!$A$7)/('Anchor Points'!$A$8-'Anchor Points'!$A$7)*('Anchor Points'!$E$8-'Anchor Points'!$E$7),'Anchor Points'!$E$8+(A51-'Anchor Points'!$A$8)/('Anchor Points'!$A$9-'Anchor Points'!$A$8)*('Anchor Points'!$E$9-'Anchor Points'!$E$8)))))))</x:f>
        <x:v>0.6</x:v>
      </x:c>
      <x:c r="H51" s="30" t="n">
        <x:f>ROUND(G51,0)</x:f>
        <x:v>1</x:v>
      </x:c>
      <x:c r="I51" s="28" t="n">
        <x:f>IF(A51&lt;=15,'Anchor Points'!$F$2+(A51-'Anchor Points'!$A$2)/('Anchor Points'!$A$3-'Anchor Points'!$A$2)*('Anchor Points'!$F$3-'Anchor Points'!$F$2),IF(A51&lt;=25,'Anchor Points'!$F$3+(A51-'Anchor Points'!$A$3)/('Anchor Points'!$A$4-'Anchor Points'!$A$3)*('Anchor Points'!$F$4-'Anchor Points'!$F$3),IF(A51&lt;=40,'Anchor Points'!$F$4+(A51-'Anchor Points'!$A$4)/('Anchor Points'!$A$5-'Anchor Points'!$A$4)*('Anchor Points'!$F$5-'Anchor Points'!$F$4),IF(A51&lt;=55,'Anchor Points'!$F$5+(A51-'Anchor Points'!$A$5)/('Anchor Points'!$A$6-'Anchor Points'!$A$5)*('Anchor Points'!$F$6-'Anchor Points'!$F$5),IF(A51&lt;=70,'Anchor Points'!$F$6+(A51-'Anchor Points'!$A$6)/('Anchor Points'!$A$7-'Anchor Points'!$A$6)*('Anchor Points'!$F$7-'Anchor Points'!$F$6),IF(A51&lt;=90,'Anchor Points'!$F$7+(A51-'Anchor Points'!$A$7)/('Anchor Points'!$A$8-'Anchor Points'!$A$7)*('Anchor Points'!$F$8-'Anchor Points'!$F$7),'Anchor Points'!$F$8+(A51-'Anchor Points'!$A$8)/('Anchor Points'!$A$9-'Anchor Points'!$A$8)*('Anchor Points'!$F$9-'Anchor Points'!$F$8)))))))</x:f>
        <x:v>4.8</x:v>
      </x:c>
      <x:c r="K51" s="36" t="n">
        <x:f>A27</x:f>
        <x:v>25</x:v>
      </x:c>
      <x:c r="L51" s="36" t="n">
        <x:f>E27</x:f>
        <x:v>0</x:v>
      </x:c>
      <x:c r="M51" s="36" t="n">
        <x:f>G27</x:f>
        <x:v>0</x:v>
      </x:c>
      <x:c r="N51" s="36" t="n">
        <x:f>I27</x:f>
        <x:v>0</x:v>
      </x:c>
    </x:row>
    <x:row r="52">
      <x:c r="A52" s="30" t="n">
        <x:v>50</x:v>
      </x:c>
      <x:c r="B52" s="11" t="str">
        <x:f>IF(A52&lt;=15,"Seedling",IF(A52&lt;=25,"Establishment",IF(A52&lt;=40,"Vegetative Growth",IF(A52&lt;=55,"Flowering &amp; Initial Fruit Set",IF(A52&lt;=80,"Fruit Enlargement",IF(A52&lt;=95,"Ripening","Harvesting"))))))</x:f>
        <x:v>Flowering &amp; Initial Fruit Set</x:v>
      </x:c>
      <x:c r="C52" s="28" t="n">
        <x:f>IF(A52&lt;=15,'Anchor Points'!$B$2+(A52-'Anchor Points'!$A$2)/('Anchor Points'!$A$3-'Anchor Points'!$A$2)*('Anchor Points'!$B$3-'Anchor Points'!$B$2),IF(A52&lt;=25,'Anchor Points'!$B$3+(A52-'Anchor Points'!$A$3)/('Anchor Points'!$A$4-'Anchor Points'!$A$3)*('Anchor Points'!$B$4-'Anchor Points'!$B$3),IF(A52&lt;=40,'Anchor Points'!$B$4+(A52-'Anchor Points'!$A$4)/('Anchor Points'!$A$5-'Anchor Points'!$A$4)*('Anchor Points'!$B$5-'Anchor Points'!$B$4),IF(A52&lt;=55,'Anchor Points'!$B$5+(A52-'Anchor Points'!$A$5)/('Anchor Points'!$A$6-'Anchor Points'!$A$5)*('Anchor Points'!$B$6-'Anchor Points'!$B$5),IF(A52&lt;=70,'Anchor Points'!$B$6+(A52-'Anchor Points'!$A$6)/('Anchor Points'!$A$7-'Anchor Points'!$A$6)*('Anchor Points'!$B$7-'Anchor Points'!$B$6),IF(A52&lt;=90,'Anchor Points'!$B$7+(A52-'Anchor Points'!$A$7)/('Anchor Points'!$A$8-'Anchor Points'!$A$7)*('Anchor Points'!$B$8-'Anchor Points'!$B$7),'Anchor Points'!$B$8+(A52-'Anchor Points'!$A$8)/('Anchor Points'!$A$9-'Anchor Points'!$A$8)*('Anchor Points'!$B$9-'Anchor Points'!$B$8)))))))</x:f>
        <x:v>51.33333333333333</x:v>
      </x:c>
      <x:c r="D52" s="28" t="n">
        <x:f>IF(A52&lt;=15,'Anchor Points'!$C$2+(A52-'Anchor Points'!$A$2)/('Anchor Points'!$A$3-'Anchor Points'!$A$2)*('Anchor Points'!$C$3-'Anchor Points'!$C$2),IF(A52&lt;=25,'Anchor Points'!$C$3+(A52-'Anchor Points'!$A$3)/('Anchor Points'!$A$4-'Anchor Points'!$A$3)*('Anchor Points'!$C$4-'Anchor Points'!$C$3),IF(A52&lt;=40,'Anchor Points'!$C$4+(A52-'Anchor Points'!$A$4)/('Anchor Points'!$A$5-'Anchor Points'!$A$4)*('Anchor Points'!$C$5-'Anchor Points'!$C$4),IF(A52&lt;=55,'Anchor Points'!$C$5+(A52-'Anchor Points'!$A$5)/('Anchor Points'!$A$6-'Anchor Points'!$A$5)*('Anchor Points'!$C$6-'Anchor Points'!$C$5),IF(A52&lt;=70,'Anchor Points'!$C$6+(A52-'Anchor Points'!$A$6)/('Anchor Points'!$A$7-'Anchor Points'!$A$6)*('Anchor Points'!$C$7-'Anchor Points'!$C$6),IF(A52&lt;=90,'Anchor Points'!$C$7+(A52-'Anchor Points'!$A$7)/('Anchor Points'!$A$8-'Anchor Points'!$A$7)*('Anchor Points'!$C$8-'Anchor Points'!$C$7),'Anchor Points'!$C$8+(A52-'Anchor Points'!$A$8)/('Anchor Points'!$A$9-'Anchor Points'!$A$8)*('Anchor Points'!$C$9-'Anchor Points'!$C$8)))))))</x:f>
        <x:v>38.33333333333333</x:v>
      </x:c>
      <x:c r="E52" s="28" t="n">
        <x:f>IF(A52&lt;=15,'Anchor Points'!$D$2+(A52-'Anchor Points'!$A$2)/('Anchor Points'!$A$3-'Anchor Points'!$A$2)*('Anchor Points'!$D$3-'Anchor Points'!$D$2),IF(A52&lt;=25,'Anchor Points'!$D$3+(A52-'Anchor Points'!$A$3)/('Anchor Points'!$A$4-'Anchor Points'!$A$3)*('Anchor Points'!$D$4-'Anchor Points'!$D$3),IF(A52&lt;=40,'Anchor Points'!$D$4+(A52-'Anchor Points'!$A$4)/('Anchor Points'!$A$5-'Anchor Points'!$A$4)*('Anchor Points'!$D$5-'Anchor Points'!$D$4),IF(A52&lt;=55,'Anchor Points'!$D$5+(A52-'Anchor Points'!$A$5)/('Anchor Points'!$A$6-'Anchor Points'!$A$5)*('Anchor Points'!$D$6-'Anchor Points'!$D$5),IF(A52&lt;=70,'Anchor Points'!$D$6+(A52-'Anchor Points'!$A$6)/('Anchor Points'!$A$7-'Anchor Points'!$A$6)*('Anchor Points'!$D$7-'Anchor Points'!$D$6),IF(A52&lt;=90,'Anchor Points'!$D$7+(A52-'Anchor Points'!$A$7)/('Anchor Points'!$A$8-'Anchor Points'!$A$7)*('Anchor Points'!$D$8-'Anchor Points'!$D$7),'Anchor Points'!$D$8+(A52-'Anchor Points'!$A$8)/('Anchor Points'!$A$9-'Anchor Points'!$A$8)*('Anchor Points'!$D$9-'Anchor Points'!$D$8)))))))</x:f>
        <x:v>5.333333333333333</x:v>
      </x:c>
      <x:c r="F52" s="30" t="n">
        <x:f>ROUND(E52,0)</x:f>
        <x:v>5</x:v>
      </x:c>
      <x:c r="G52" s="28" t="n">
        <x:f>IF(A52&lt;=15,'Anchor Points'!$E$2+(A52-'Anchor Points'!$A$2)/('Anchor Points'!$A$3-'Anchor Points'!$A$2)*('Anchor Points'!$E$3-'Anchor Points'!$E$2),IF(A52&lt;=25,'Anchor Points'!$E$3+(A52-'Anchor Points'!$A$3)/('Anchor Points'!$A$4-'Anchor Points'!$A$3)*('Anchor Points'!$E$4-'Anchor Points'!$E$3),IF(A52&lt;=40,'Anchor Points'!$E$4+(A52-'Anchor Points'!$A$4)/('Anchor Points'!$A$5-'Anchor Points'!$A$4)*('Anchor Points'!$E$5-'Anchor Points'!$E$4),IF(A52&lt;=55,'Anchor Points'!$E$5+(A52-'Anchor Points'!$A$5)/('Anchor Points'!$A$6-'Anchor Points'!$A$5)*('Anchor Points'!$E$6-'Anchor Points'!$E$5),IF(A52&lt;=70,'Anchor Points'!$E$6+(A52-'Anchor Points'!$A$6)/('Anchor Points'!$A$7-'Anchor Points'!$A$6)*('Anchor Points'!$E$7-'Anchor Points'!$E$6),IF(A52&lt;=90,'Anchor Points'!$E$7+(A52-'Anchor Points'!$A$7)/('Anchor Points'!$A$8-'Anchor Points'!$A$7)*('Anchor Points'!$E$8-'Anchor Points'!$E$7),'Anchor Points'!$E$8+(A52-'Anchor Points'!$A$8)/('Anchor Points'!$A$9-'Anchor Points'!$A$8)*('Anchor Points'!$E$9-'Anchor Points'!$E$8)))))))</x:f>
        <x:v>0.6666666666666666</x:v>
      </x:c>
      <x:c r="H52" s="30" t="n">
        <x:f>ROUND(G52,0)</x:f>
        <x:v>1</x:v>
      </x:c>
      <x:c r="I52" s="28" t="n">
        <x:f>IF(A52&lt;=15,'Anchor Points'!$F$2+(A52-'Anchor Points'!$A$2)/('Anchor Points'!$A$3-'Anchor Points'!$A$2)*('Anchor Points'!$F$3-'Anchor Points'!$F$2),IF(A52&lt;=25,'Anchor Points'!$F$3+(A52-'Anchor Points'!$A$3)/('Anchor Points'!$A$4-'Anchor Points'!$A$3)*('Anchor Points'!$F$4-'Anchor Points'!$F$3),IF(A52&lt;=40,'Anchor Points'!$F$4+(A52-'Anchor Points'!$A$4)/('Anchor Points'!$A$5-'Anchor Points'!$A$4)*('Anchor Points'!$F$5-'Anchor Points'!$F$4),IF(A52&lt;=55,'Anchor Points'!$F$5+(A52-'Anchor Points'!$A$5)/('Anchor Points'!$A$6-'Anchor Points'!$A$5)*('Anchor Points'!$F$6-'Anchor Points'!$F$5),IF(A52&lt;=70,'Anchor Points'!$F$6+(A52-'Anchor Points'!$A$6)/('Anchor Points'!$A$7-'Anchor Points'!$A$6)*('Anchor Points'!$F$7-'Anchor Points'!$F$6),IF(A52&lt;=90,'Anchor Points'!$F$7+(A52-'Anchor Points'!$A$7)/('Anchor Points'!$A$8-'Anchor Points'!$A$7)*('Anchor Points'!$F$8-'Anchor Points'!$F$7),'Anchor Points'!$F$8+(A52-'Anchor Points'!$A$8)/('Anchor Points'!$A$9-'Anchor Points'!$A$8)*('Anchor Points'!$F$9-'Anchor Points'!$F$8)))))))</x:f>
        <x:v>5.333333333333333</x:v>
      </x:c>
      <x:c r="K52" s="36" t="n">
        <x:f>A28</x:f>
        <x:v>26</x:v>
      </x:c>
      <x:c r="L52" s="36" t="n">
        <x:f>E28</x:f>
        <x:v>0.13333333333333333</x:v>
      </x:c>
      <x:c r="M52" s="36" t="n">
        <x:f>G28</x:f>
        <x:v>0</x:v>
      </x:c>
      <x:c r="N52" s="36" t="n">
        <x:f>I28</x:f>
        <x:v>0</x:v>
      </x:c>
    </x:row>
    <x:row r="53">
      <x:c r="A53" s="30" t="n">
        <x:v>51</x:v>
      </x:c>
      <x:c r="B53" s="11" t="str">
        <x:f>IF(A53&lt;=15,"Seedling",IF(A53&lt;=25,"Establishment",IF(A53&lt;=40,"Vegetative Growth",IF(A53&lt;=55,"Flowering &amp; Initial Fruit Set",IF(A53&lt;=80,"Fruit Enlargement",IF(A53&lt;=95,"Ripening","Harvesting"))))))</x:f>
        <x:v>Flowering &amp; Initial Fruit Set</x:v>
      </x:c>
      <x:c r="C53" s="28" t="n">
        <x:f>IF(A53&lt;=15,'Anchor Points'!$B$2+(A53-'Anchor Points'!$A$2)/('Anchor Points'!$A$3-'Anchor Points'!$A$2)*('Anchor Points'!$B$3-'Anchor Points'!$B$2),IF(A53&lt;=25,'Anchor Points'!$B$3+(A53-'Anchor Points'!$A$3)/('Anchor Points'!$A$4-'Anchor Points'!$A$3)*('Anchor Points'!$B$4-'Anchor Points'!$B$3),IF(A53&lt;=40,'Anchor Points'!$B$4+(A53-'Anchor Points'!$A$4)/('Anchor Points'!$A$5-'Anchor Points'!$A$4)*('Anchor Points'!$B$5-'Anchor Points'!$B$4),IF(A53&lt;=55,'Anchor Points'!$B$5+(A53-'Anchor Points'!$A$5)/('Anchor Points'!$A$6-'Anchor Points'!$A$5)*('Anchor Points'!$B$6-'Anchor Points'!$B$5),IF(A53&lt;=70,'Anchor Points'!$B$6+(A53-'Anchor Points'!$A$6)/('Anchor Points'!$A$7-'Anchor Points'!$A$6)*('Anchor Points'!$B$7-'Anchor Points'!$B$6),IF(A53&lt;=90,'Anchor Points'!$B$7+(A53-'Anchor Points'!$A$7)/('Anchor Points'!$A$8-'Anchor Points'!$A$7)*('Anchor Points'!$B$8-'Anchor Points'!$B$7),'Anchor Points'!$B$8+(A53-'Anchor Points'!$A$8)/('Anchor Points'!$A$9-'Anchor Points'!$A$8)*('Anchor Points'!$B$9-'Anchor Points'!$B$8)))))))</x:f>
        <x:v>52.666666666666664</x:v>
      </x:c>
      <x:c r="D53" s="28" t="n">
        <x:f>IF(A53&lt;=15,'Anchor Points'!$C$2+(A53-'Anchor Points'!$A$2)/('Anchor Points'!$A$3-'Anchor Points'!$A$2)*('Anchor Points'!$C$3-'Anchor Points'!$C$2),IF(A53&lt;=25,'Anchor Points'!$C$3+(A53-'Anchor Points'!$A$3)/('Anchor Points'!$A$4-'Anchor Points'!$A$3)*('Anchor Points'!$C$4-'Anchor Points'!$C$3),IF(A53&lt;=40,'Anchor Points'!$C$4+(A53-'Anchor Points'!$A$4)/('Anchor Points'!$A$5-'Anchor Points'!$A$4)*('Anchor Points'!$C$5-'Anchor Points'!$C$4),IF(A53&lt;=55,'Anchor Points'!$C$5+(A53-'Anchor Points'!$A$5)/('Anchor Points'!$A$6-'Anchor Points'!$A$5)*('Anchor Points'!$C$6-'Anchor Points'!$C$5),IF(A53&lt;=70,'Anchor Points'!$C$6+(A53-'Anchor Points'!$A$6)/('Anchor Points'!$A$7-'Anchor Points'!$A$6)*('Anchor Points'!$C$7-'Anchor Points'!$C$6),IF(A53&lt;=90,'Anchor Points'!$C$7+(A53-'Anchor Points'!$A$7)/('Anchor Points'!$A$8-'Anchor Points'!$A$7)*('Anchor Points'!$C$8-'Anchor Points'!$C$7),'Anchor Points'!$C$8+(A53-'Anchor Points'!$A$8)/('Anchor Points'!$A$9-'Anchor Points'!$A$8)*('Anchor Points'!$C$9-'Anchor Points'!$C$8)))))))</x:f>
        <x:v>39.666666666666664</x:v>
      </x:c>
      <x:c r="E53" s="28" t="n">
        <x:f>IF(A53&lt;=15,'Anchor Points'!$D$2+(A53-'Anchor Points'!$A$2)/('Anchor Points'!$A$3-'Anchor Points'!$A$2)*('Anchor Points'!$D$3-'Anchor Points'!$D$2),IF(A53&lt;=25,'Anchor Points'!$D$3+(A53-'Anchor Points'!$A$3)/('Anchor Points'!$A$4-'Anchor Points'!$A$3)*('Anchor Points'!$D$4-'Anchor Points'!$D$3),IF(A53&lt;=40,'Anchor Points'!$D$4+(A53-'Anchor Points'!$A$4)/('Anchor Points'!$A$5-'Anchor Points'!$A$4)*('Anchor Points'!$D$5-'Anchor Points'!$D$4),IF(A53&lt;=55,'Anchor Points'!$D$5+(A53-'Anchor Points'!$A$5)/('Anchor Points'!$A$6-'Anchor Points'!$A$5)*('Anchor Points'!$D$6-'Anchor Points'!$D$5),IF(A53&lt;=70,'Anchor Points'!$D$6+(A53-'Anchor Points'!$A$6)/('Anchor Points'!$A$7-'Anchor Points'!$A$6)*('Anchor Points'!$D$7-'Anchor Points'!$D$6),IF(A53&lt;=90,'Anchor Points'!$D$7+(A53-'Anchor Points'!$A$7)/('Anchor Points'!$A$8-'Anchor Points'!$A$7)*('Anchor Points'!$D$8-'Anchor Points'!$D$7),'Anchor Points'!$D$8+(A53-'Anchor Points'!$A$8)/('Anchor Points'!$A$9-'Anchor Points'!$A$8)*('Anchor Points'!$D$9-'Anchor Points'!$D$8)))))))</x:f>
        <x:v>5.666666666666666</x:v>
      </x:c>
      <x:c r="F53" s="30" t="n">
        <x:f>ROUND(E53,0)</x:f>
        <x:v>6</x:v>
      </x:c>
      <x:c r="G53" s="28" t="n">
        <x:f>IF(A53&lt;=15,'Anchor Points'!$E$2+(A53-'Anchor Points'!$A$2)/('Anchor Points'!$A$3-'Anchor Points'!$A$2)*('Anchor Points'!$E$3-'Anchor Points'!$E$2),IF(A53&lt;=25,'Anchor Points'!$E$3+(A53-'Anchor Points'!$A$3)/('Anchor Points'!$A$4-'Anchor Points'!$A$3)*('Anchor Points'!$E$4-'Anchor Points'!$E$3),IF(A53&lt;=40,'Anchor Points'!$E$4+(A53-'Anchor Points'!$A$4)/('Anchor Points'!$A$5-'Anchor Points'!$A$4)*('Anchor Points'!$E$5-'Anchor Points'!$E$4),IF(A53&lt;=55,'Anchor Points'!$E$5+(A53-'Anchor Points'!$A$5)/('Anchor Points'!$A$6-'Anchor Points'!$A$5)*('Anchor Points'!$E$6-'Anchor Points'!$E$5),IF(A53&lt;=70,'Anchor Points'!$E$6+(A53-'Anchor Points'!$A$6)/('Anchor Points'!$A$7-'Anchor Points'!$A$6)*('Anchor Points'!$E$7-'Anchor Points'!$E$6),IF(A53&lt;=90,'Anchor Points'!$E$7+(A53-'Anchor Points'!$A$7)/('Anchor Points'!$A$8-'Anchor Points'!$A$7)*('Anchor Points'!$E$8-'Anchor Points'!$E$7),'Anchor Points'!$E$8+(A53-'Anchor Points'!$A$8)/('Anchor Points'!$A$9-'Anchor Points'!$A$8)*('Anchor Points'!$E$9-'Anchor Points'!$E$8)))))))</x:f>
        <x:v>0.7333333333333333</x:v>
      </x:c>
      <x:c r="H53" s="30" t="n">
        <x:f>ROUND(G53,0)</x:f>
        <x:v>1</x:v>
      </x:c>
      <x:c r="I53" s="28" t="n">
        <x:f>IF(A53&lt;=15,'Anchor Points'!$F$2+(A53-'Anchor Points'!$A$2)/('Anchor Points'!$A$3-'Anchor Points'!$A$2)*('Anchor Points'!$F$3-'Anchor Points'!$F$2),IF(A53&lt;=25,'Anchor Points'!$F$3+(A53-'Anchor Points'!$A$3)/('Anchor Points'!$A$4-'Anchor Points'!$A$3)*('Anchor Points'!$F$4-'Anchor Points'!$F$3),IF(A53&lt;=40,'Anchor Points'!$F$4+(A53-'Anchor Points'!$A$4)/('Anchor Points'!$A$5-'Anchor Points'!$A$4)*('Anchor Points'!$F$5-'Anchor Points'!$F$4),IF(A53&lt;=55,'Anchor Points'!$F$5+(A53-'Anchor Points'!$A$5)/('Anchor Points'!$A$6-'Anchor Points'!$A$5)*('Anchor Points'!$F$6-'Anchor Points'!$F$5),IF(A53&lt;=70,'Anchor Points'!$F$6+(A53-'Anchor Points'!$A$6)/('Anchor Points'!$A$7-'Anchor Points'!$A$6)*('Anchor Points'!$F$7-'Anchor Points'!$F$6),IF(A53&lt;=90,'Anchor Points'!$F$7+(A53-'Anchor Points'!$A$7)/('Anchor Points'!$A$8-'Anchor Points'!$A$7)*('Anchor Points'!$F$8-'Anchor Points'!$F$7),'Anchor Points'!$F$8+(A53-'Anchor Points'!$A$8)/('Anchor Points'!$A$9-'Anchor Points'!$A$8)*('Anchor Points'!$F$9-'Anchor Points'!$F$8)))))))</x:f>
        <x:v>5.866666666666666</x:v>
      </x:c>
      <x:c r="K53" s="36" t="n">
        <x:f>A29</x:f>
        <x:v>27</x:v>
      </x:c>
      <x:c r="L53" s="36" t="n">
        <x:f>E29</x:f>
        <x:v>0.26666666666666666</x:v>
      </x:c>
      <x:c r="M53" s="36" t="n">
        <x:f>G29</x:f>
        <x:v>0</x:v>
      </x:c>
      <x:c r="N53" s="36" t="n">
        <x:f>I29</x:f>
        <x:v>0</x:v>
      </x:c>
    </x:row>
    <x:row r="54">
      <x:c r="A54" s="30" t="n">
        <x:v>52</x:v>
      </x:c>
      <x:c r="B54" s="11" t="str">
        <x:f>IF(A54&lt;=15,"Seedling",IF(A54&lt;=25,"Establishment",IF(A54&lt;=40,"Vegetative Growth",IF(A54&lt;=55,"Flowering &amp; Initial Fruit Set",IF(A54&lt;=80,"Fruit Enlargement",IF(A54&lt;=95,"Ripening","Harvesting"))))))</x:f>
        <x:v>Flowering &amp; Initial Fruit Set</x:v>
      </x:c>
      <x:c r="C54" s="28" t="n">
        <x:f>IF(A54&lt;=15,'Anchor Points'!$B$2+(A54-'Anchor Points'!$A$2)/('Anchor Points'!$A$3-'Anchor Points'!$A$2)*('Anchor Points'!$B$3-'Anchor Points'!$B$2),IF(A54&lt;=25,'Anchor Points'!$B$3+(A54-'Anchor Points'!$A$3)/('Anchor Points'!$A$4-'Anchor Points'!$A$3)*('Anchor Points'!$B$4-'Anchor Points'!$B$3),IF(A54&lt;=40,'Anchor Points'!$B$4+(A54-'Anchor Points'!$A$4)/('Anchor Points'!$A$5-'Anchor Points'!$A$4)*('Anchor Points'!$B$5-'Anchor Points'!$B$4),IF(A54&lt;=55,'Anchor Points'!$B$5+(A54-'Anchor Points'!$A$5)/('Anchor Points'!$A$6-'Anchor Points'!$A$5)*('Anchor Points'!$B$6-'Anchor Points'!$B$5),IF(A54&lt;=70,'Anchor Points'!$B$6+(A54-'Anchor Points'!$A$6)/('Anchor Points'!$A$7-'Anchor Points'!$A$6)*('Anchor Points'!$B$7-'Anchor Points'!$B$6),IF(A54&lt;=90,'Anchor Points'!$B$7+(A54-'Anchor Points'!$A$7)/('Anchor Points'!$A$8-'Anchor Points'!$A$7)*('Anchor Points'!$B$8-'Anchor Points'!$B$7),'Anchor Points'!$B$8+(A54-'Anchor Points'!$A$8)/('Anchor Points'!$A$9-'Anchor Points'!$A$8)*('Anchor Points'!$B$9-'Anchor Points'!$B$8)))))))</x:f>
        <x:v>54</x:v>
      </x:c>
      <x:c r="D54" s="28" t="n">
        <x:f>IF(A54&lt;=15,'Anchor Points'!$C$2+(A54-'Anchor Points'!$A$2)/('Anchor Points'!$A$3-'Anchor Points'!$A$2)*('Anchor Points'!$C$3-'Anchor Points'!$C$2),IF(A54&lt;=25,'Anchor Points'!$C$3+(A54-'Anchor Points'!$A$3)/('Anchor Points'!$A$4-'Anchor Points'!$A$3)*('Anchor Points'!$C$4-'Anchor Points'!$C$3),IF(A54&lt;=40,'Anchor Points'!$C$4+(A54-'Anchor Points'!$A$4)/('Anchor Points'!$A$5-'Anchor Points'!$A$4)*('Anchor Points'!$C$5-'Anchor Points'!$C$4),IF(A54&lt;=55,'Anchor Points'!$C$5+(A54-'Anchor Points'!$A$5)/('Anchor Points'!$A$6-'Anchor Points'!$A$5)*('Anchor Points'!$C$6-'Anchor Points'!$C$5),IF(A54&lt;=70,'Anchor Points'!$C$6+(A54-'Anchor Points'!$A$6)/('Anchor Points'!$A$7-'Anchor Points'!$A$6)*('Anchor Points'!$C$7-'Anchor Points'!$C$6),IF(A54&lt;=90,'Anchor Points'!$C$7+(A54-'Anchor Points'!$A$7)/('Anchor Points'!$A$8-'Anchor Points'!$A$7)*('Anchor Points'!$C$8-'Anchor Points'!$C$7),'Anchor Points'!$C$8+(A54-'Anchor Points'!$A$8)/('Anchor Points'!$A$9-'Anchor Points'!$A$8)*('Anchor Points'!$C$9-'Anchor Points'!$C$8)))))))</x:f>
        <x:v>41</x:v>
      </x:c>
      <x:c r="E54" s="28" t="n">
        <x:f>IF(A54&lt;=15,'Anchor Points'!$D$2+(A54-'Anchor Points'!$A$2)/('Anchor Points'!$A$3-'Anchor Points'!$A$2)*('Anchor Points'!$D$3-'Anchor Points'!$D$2),IF(A54&lt;=25,'Anchor Points'!$D$3+(A54-'Anchor Points'!$A$3)/('Anchor Points'!$A$4-'Anchor Points'!$A$3)*('Anchor Points'!$D$4-'Anchor Points'!$D$3),IF(A54&lt;=40,'Anchor Points'!$D$4+(A54-'Anchor Points'!$A$4)/('Anchor Points'!$A$5-'Anchor Points'!$A$4)*('Anchor Points'!$D$5-'Anchor Points'!$D$4),IF(A54&lt;=55,'Anchor Points'!$D$5+(A54-'Anchor Points'!$A$5)/('Anchor Points'!$A$6-'Anchor Points'!$A$5)*('Anchor Points'!$D$6-'Anchor Points'!$D$5),IF(A54&lt;=70,'Anchor Points'!$D$6+(A54-'Anchor Points'!$A$6)/('Anchor Points'!$A$7-'Anchor Points'!$A$6)*('Anchor Points'!$D$7-'Anchor Points'!$D$6),IF(A54&lt;=90,'Anchor Points'!$D$7+(A54-'Anchor Points'!$A$7)/('Anchor Points'!$A$8-'Anchor Points'!$A$7)*('Anchor Points'!$D$8-'Anchor Points'!$D$7),'Anchor Points'!$D$8+(A54-'Anchor Points'!$A$8)/('Anchor Points'!$A$9-'Anchor Points'!$A$8)*('Anchor Points'!$D$9-'Anchor Points'!$D$8)))))))</x:f>
        <x:v>6</x:v>
      </x:c>
      <x:c r="F54" s="30" t="n">
        <x:f>ROUND(E54,0)</x:f>
        <x:v>6</x:v>
      </x:c>
      <x:c r="G54" s="28" t="n">
        <x:f>IF(A54&lt;=15,'Anchor Points'!$E$2+(A54-'Anchor Points'!$A$2)/('Anchor Points'!$A$3-'Anchor Points'!$A$2)*('Anchor Points'!$E$3-'Anchor Points'!$E$2),IF(A54&lt;=25,'Anchor Points'!$E$3+(A54-'Anchor Points'!$A$3)/('Anchor Points'!$A$4-'Anchor Points'!$A$3)*('Anchor Points'!$E$4-'Anchor Points'!$E$3),IF(A54&lt;=40,'Anchor Points'!$E$4+(A54-'Anchor Points'!$A$4)/('Anchor Points'!$A$5-'Anchor Points'!$A$4)*('Anchor Points'!$E$5-'Anchor Points'!$E$4),IF(A54&lt;=55,'Anchor Points'!$E$5+(A54-'Anchor Points'!$A$5)/('Anchor Points'!$A$6-'Anchor Points'!$A$5)*('Anchor Points'!$E$6-'Anchor Points'!$E$5),IF(A54&lt;=70,'Anchor Points'!$E$6+(A54-'Anchor Points'!$A$6)/('Anchor Points'!$A$7-'Anchor Points'!$A$6)*('Anchor Points'!$E$7-'Anchor Points'!$E$6),IF(A54&lt;=90,'Anchor Points'!$E$7+(A54-'Anchor Points'!$A$7)/('Anchor Points'!$A$8-'Anchor Points'!$A$7)*('Anchor Points'!$E$8-'Anchor Points'!$E$7),'Anchor Points'!$E$8+(A54-'Anchor Points'!$A$8)/('Anchor Points'!$A$9-'Anchor Points'!$A$8)*('Anchor Points'!$E$9-'Anchor Points'!$E$8)))))))</x:f>
        <x:v>0.8</x:v>
      </x:c>
      <x:c r="H54" s="30" t="n">
        <x:f>ROUND(G54,0)</x:f>
        <x:v>1</x:v>
      </x:c>
      <x:c r="I54" s="28" t="n">
        <x:f>IF(A54&lt;=15,'Anchor Points'!$F$2+(A54-'Anchor Points'!$A$2)/('Anchor Points'!$A$3-'Anchor Points'!$A$2)*('Anchor Points'!$F$3-'Anchor Points'!$F$2),IF(A54&lt;=25,'Anchor Points'!$F$3+(A54-'Anchor Points'!$A$3)/('Anchor Points'!$A$4-'Anchor Points'!$A$3)*('Anchor Points'!$F$4-'Anchor Points'!$F$3),IF(A54&lt;=40,'Anchor Points'!$F$4+(A54-'Anchor Points'!$A$4)/('Anchor Points'!$A$5-'Anchor Points'!$A$4)*('Anchor Points'!$F$5-'Anchor Points'!$F$4),IF(A54&lt;=55,'Anchor Points'!$F$5+(A54-'Anchor Points'!$A$5)/('Anchor Points'!$A$6-'Anchor Points'!$A$5)*('Anchor Points'!$F$6-'Anchor Points'!$F$5),IF(A54&lt;=70,'Anchor Points'!$F$6+(A54-'Anchor Points'!$A$6)/('Anchor Points'!$A$7-'Anchor Points'!$A$6)*('Anchor Points'!$F$7-'Anchor Points'!$F$6),IF(A54&lt;=90,'Anchor Points'!$F$7+(A54-'Anchor Points'!$A$7)/('Anchor Points'!$A$8-'Anchor Points'!$A$7)*('Anchor Points'!$F$8-'Anchor Points'!$F$7),'Anchor Points'!$F$8+(A54-'Anchor Points'!$A$8)/('Anchor Points'!$A$9-'Anchor Points'!$A$8)*('Anchor Points'!$F$9-'Anchor Points'!$F$8)))))))</x:f>
        <x:v>6.4</x:v>
      </x:c>
      <x:c r="K54" s="36" t="n">
        <x:f>A30</x:f>
        <x:v>28</x:v>
      </x:c>
      <x:c r="L54" s="36" t="n">
        <x:f>E30</x:f>
        <x:v>0.4</x:v>
      </x:c>
      <x:c r="M54" s="36" t="n">
        <x:f>G30</x:f>
        <x:v>0</x:v>
      </x:c>
      <x:c r="N54" s="36" t="n">
        <x:f>I30</x:f>
        <x:v>0</x:v>
      </x:c>
    </x:row>
    <x:row r="55">
      <x:c r="A55" s="30" t="n">
        <x:v>53</x:v>
      </x:c>
      <x:c r="B55" s="11" t="str">
        <x:f>IF(A55&lt;=15,"Seedling",IF(A55&lt;=25,"Establishment",IF(A55&lt;=40,"Vegetative Growth",IF(A55&lt;=55,"Flowering &amp; Initial Fruit Set",IF(A55&lt;=80,"Fruit Enlargement",IF(A55&lt;=95,"Ripening","Harvesting"))))))</x:f>
        <x:v>Flowering &amp; Initial Fruit Set</x:v>
      </x:c>
      <x:c r="C55" s="28" t="n">
        <x:f>IF(A55&lt;=15,'Anchor Points'!$B$2+(A55-'Anchor Points'!$A$2)/('Anchor Points'!$A$3-'Anchor Points'!$A$2)*('Anchor Points'!$B$3-'Anchor Points'!$B$2),IF(A55&lt;=25,'Anchor Points'!$B$3+(A55-'Anchor Points'!$A$3)/('Anchor Points'!$A$4-'Anchor Points'!$A$3)*('Anchor Points'!$B$4-'Anchor Points'!$B$3),IF(A55&lt;=40,'Anchor Points'!$B$4+(A55-'Anchor Points'!$A$4)/('Anchor Points'!$A$5-'Anchor Points'!$A$4)*('Anchor Points'!$B$5-'Anchor Points'!$B$4),IF(A55&lt;=55,'Anchor Points'!$B$5+(A55-'Anchor Points'!$A$5)/('Anchor Points'!$A$6-'Anchor Points'!$A$5)*('Anchor Points'!$B$6-'Anchor Points'!$B$5),IF(A55&lt;=70,'Anchor Points'!$B$6+(A55-'Anchor Points'!$A$6)/('Anchor Points'!$A$7-'Anchor Points'!$A$6)*('Anchor Points'!$B$7-'Anchor Points'!$B$6),IF(A55&lt;=90,'Anchor Points'!$B$7+(A55-'Anchor Points'!$A$7)/('Anchor Points'!$A$8-'Anchor Points'!$A$7)*('Anchor Points'!$B$8-'Anchor Points'!$B$7),'Anchor Points'!$B$8+(A55-'Anchor Points'!$A$8)/('Anchor Points'!$A$9-'Anchor Points'!$A$8)*('Anchor Points'!$B$9-'Anchor Points'!$B$8)))))))</x:f>
        <x:v>55.333333333333336</x:v>
      </x:c>
      <x:c r="D55" s="28" t="n">
        <x:f>IF(A55&lt;=15,'Anchor Points'!$C$2+(A55-'Anchor Points'!$A$2)/('Anchor Points'!$A$3-'Anchor Points'!$A$2)*('Anchor Points'!$C$3-'Anchor Points'!$C$2),IF(A55&lt;=25,'Anchor Points'!$C$3+(A55-'Anchor Points'!$A$3)/('Anchor Points'!$A$4-'Anchor Points'!$A$3)*('Anchor Points'!$C$4-'Anchor Points'!$C$3),IF(A55&lt;=40,'Anchor Points'!$C$4+(A55-'Anchor Points'!$A$4)/('Anchor Points'!$A$5-'Anchor Points'!$A$4)*('Anchor Points'!$C$5-'Anchor Points'!$C$4),IF(A55&lt;=55,'Anchor Points'!$C$5+(A55-'Anchor Points'!$A$5)/('Anchor Points'!$A$6-'Anchor Points'!$A$5)*('Anchor Points'!$C$6-'Anchor Points'!$C$5),IF(A55&lt;=70,'Anchor Points'!$C$6+(A55-'Anchor Points'!$A$6)/('Anchor Points'!$A$7-'Anchor Points'!$A$6)*('Anchor Points'!$C$7-'Anchor Points'!$C$6),IF(A55&lt;=90,'Anchor Points'!$C$7+(A55-'Anchor Points'!$A$7)/('Anchor Points'!$A$8-'Anchor Points'!$A$7)*('Anchor Points'!$C$8-'Anchor Points'!$C$7),'Anchor Points'!$C$8+(A55-'Anchor Points'!$A$8)/('Anchor Points'!$A$9-'Anchor Points'!$A$8)*('Anchor Points'!$C$9-'Anchor Points'!$C$8)))))))</x:f>
        <x:v>42.333333333333336</x:v>
      </x:c>
      <x:c r="E55" s="28" t="n">
        <x:f>IF(A55&lt;=15,'Anchor Points'!$D$2+(A55-'Anchor Points'!$A$2)/('Anchor Points'!$A$3-'Anchor Points'!$A$2)*('Anchor Points'!$D$3-'Anchor Points'!$D$2),IF(A55&lt;=25,'Anchor Points'!$D$3+(A55-'Anchor Points'!$A$3)/('Anchor Points'!$A$4-'Anchor Points'!$A$3)*('Anchor Points'!$D$4-'Anchor Points'!$D$3),IF(A55&lt;=40,'Anchor Points'!$D$4+(A55-'Anchor Points'!$A$4)/('Anchor Points'!$A$5-'Anchor Points'!$A$4)*('Anchor Points'!$D$5-'Anchor Points'!$D$4),IF(A55&lt;=55,'Anchor Points'!$D$5+(A55-'Anchor Points'!$A$5)/('Anchor Points'!$A$6-'Anchor Points'!$A$5)*('Anchor Points'!$D$6-'Anchor Points'!$D$5),IF(A55&lt;=70,'Anchor Points'!$D$6+(A55-'Anchor Points'!$A$6)/('Anchor Points'!$A$7-'Anchor Points'!$A$6)*('Anchor Points'!$D$7-'Anchor Points'!$D$6),IF(A55&lt;=90,'Anchor Points'!$D$7+(A55-'Anchor Points'!$A$7)/('Anchor Points'!$A$8-'Anchor Points'!$A$7)*('Anchor Points'!$D$8-'Anchor Points'!$D$7),'Anchor Points'!$D$8+(A55-'Anchor Points'!$A$8)/('Anchor Points'!$A$9-'Anchor Points'!$A$8)*('Anchor Points'!$D$9-'Anchor Points'!$D$8)))))))</x:f>
        <x:v>6.333333333333334</x:v>
      </x:c>
      <x:c r="F55" s="30" t="n">
        <x:f>ROUND(E55,0)</x:f>
        <x:v>6</x:v>
      </x:c>
      <x:c r="G55" s="28" t="n">
        <x:f>IF(A55&lt;=15,'Anchor Points'!$E$2+(A55-'Anchor Points'!$A$2)/('Anchor Points'!$A$3-'Anchor Points'!$A$2)*('Anchor Points'!$E$3-'Anchor Points'!$E$2),IF(A55&lt;=25,'Anchor Points'!$E$3+(A55-'Anchor Points'!$A$3)/('Anchor Points'!$A$4-'Anchor Points'!$A$3)*('Anchor Points'!$E$4-'Anchor Points'!$E$3),IF(A55&lt;=40,'Anchor Points'!$E$4+(A55-'Anchor Points'!$A$4)/('Anchor Points'!$A$5-'Anchor Points'!$A$4)*('Anchor Points'!$E$5-'Anchor Points'!$E$4),IF(A55&lt;=55,'Anchor Points'!$E$5+(A55-'Anchor Points'!$A$5)/('Anchor Points'!$A$6-'Anchor Points'!$A$5)*('Anchor Points'!$E$6-'Anchor Points'!$E$5),IF(A55&lt;=70,'Anchor Points'!$E$6+(A55-'Anchor Points'!$A$6)/('Anchor Points'!$A$7-'Anchor Points'!$A$6)*('Anchor Points'!$E$7-'Anchor Points'!$E$6),IF(A55&lt;=90,'Anchor Points'!$E$7+(A55-'Anchor Points'!$A$7)/('Anchor Points'!$A$8-'Anchor Points'!$A$7)*('Anchor Points'!$E$8-'Anchor Points'!$E$7),'Anchor Points'!$E$8+(A55-'Anchor Points'!$A$8)/('Anchor Points'!$A$9-'Anchor Points'!$A$8)*('Anchor Points'!$E$9-'Anchor Points'!$E$8)))))))</x:f>
        <x:v>0.8666666666666667</x:v>
      </x:c>
      <x:c r="H55" s="30" t="n">
        <x:f>ROUND(G55,0)</x:f>
        <x:v>1</x:v>
      </x:c>
      <x:c r="I55" s="28" t="n">
        <x:f>IF(A55&lt;=15,'Anchor Points'!$F$2+(A55-'Anchor Points'!$A$2)/('Anchor Points'!$A$3-'Anchor Points'!$A$2)*('Anchor Points'!$F$3-'Anchor Points'!$F$2),IF(A55&lt;=25,'Anchor Points'!$F$3+(A55-'Anchor Points'!$A$3)/('Anchor Points'!$A$4-'Anchor Points'!$A$3)*('Anchor Points'!$F$4-'Anchor Points'!$F$3),IF(A55&lt;=40,'Anchor Points'!$F$4+(A55-'Anchor Points'!$A$4)/('Anchor Points'!$A$5-'Anchor Points'!$A$4)*('Anchor Points'!$F$5-'Anchor Points'!$F$4),IF(A55&lt;=55,'Anchor Points'!$F$5+(A55-'Anchor Points'!$A$5)/('Anchor Points'!$A$6-'Anchor Points'!$A$5)*('Anchor Points'!$F$6-'Anchor Points'!$F$5),IF(A55&lt;=70,'Anchor Points'!$F$6+(A55-'Anchor Points'!$A$6)/('Anchor Points'!$A$7-'Anchor Points'!$A$6)*('Anchor Points'!$F$7-'Anchor Points'!$F$6),IF(A55&lt;=90,'Anchor Points'!$F$7+(A55-'Anchor Points'!$A$7)/('Anchor Points'!$A$8-'Anchor Points'!$A$7)*('Anchor Points'!$F$8-'Anchor Points'!$F$7),'Anchor Points'!$F$8+(A55-'Anchor Points'!$A$8)/('Anchor Points'!$A$9-'Anchor Points'!$A$8)*('Anchor Points'!$F$9-'Anchor Points'!$F$8)))))))</x:f>
        <x:v>6.933333333333334</x:v>
      </x:c>
      <x:c r="K55" s="36" t="n">
        <x:f>A31</x:f>
        <x:v>29</x:v>
      </x:c>
      <x:c r="L55" s="36" t="n">
        <x:f>E31</x:f>
        <x:v>0.5333333333333333</x:v>
      </x:c>
      <x:c r="M55" s="36" t="n">
        <x:f>G31</x:f>
        <x:v>0</x:v>
      </x:c>
      <x:c r="N55" s="36" t="n">
        <x:f>I31</x:f>
        <x:v>0</x:v>
      </x:c>
    </x:row>
    <x:row r="56">
      <x:c r="A56" s="30" t="n">
        <x:v>54</x:v>
      </x:c>
      <x:c r="B56" s="11" t="str">
        <x:f>IF(A56&lt;=15,"Seedling",IF(A56&lt;=25,"Establishment",IF(A56&lt;=40,"Vegetative Growth",IF(A56&lt;=55,"Flowering &amp; Initial Fruit Set",IF(A56&lt;=80,"Fruit Enlargement",IF(A56&lt;=95,"Ripening","Harvesting"))))))</x:f>
        <x:v>Flowering &amp; Initial Fruit Set</x:v>
      </x:c>
      <x:c r="C56" s="28" t="n">
        <x:f>IF(A56&lt;=15,'Anchor Points'!$B$2+(A56-'Anchor Points'!$A$2)/('Anchor Points'!$A$3-'Anchor Points'!$A$2)*('Anchor Points'!$B$3-'Anchor Points'!$B$2),IF(A56&lt;=25,'Anchor Points'!$B$3+(A56-'Anchor Points'!$A$3)/('Anchor Points'!$A$4-'Anchor Points'!$A$3)*('Anchor Points'!$B$4-'Anchor Points'!$B$3),IF(A56&lt;=40,'Anchor Points'!$B$4+(A56-'Anchor Points'!$A$4)/('Anchor Points'!$A$5-'Anchor Points'!$A$4)*('Anchor Points'!$B$5-'Anchor Points'!$B$4),IF(A56&lt;=55,'Anchor Points'!$B$5+(A56-'Anchor Points'!$A$5)/('Anchor Points'!$A$6-'Anchor Points'!$A$5)*('Anchor Points'!$B$6-'Anchor Points'!$B$5),IF(A56&lt;=70,'Anchor Points'!$B$6+(A56-'Anchor Points'!$A$6)/('Anchor Points'!$A$7-'Anchor Points'!$A$6)*('Anchor Points'!$B$7-'Anchor Points'!$B$6),IF(A56&lt;=90,'Anchor Points'!$B$7+(A56-'Anchor Points'!$A$7)/('Anchor Points'!$A$8-'Anchor Points'!$A$7)*('Anchor Points'!$B$8-'Anchor Points'!$B$7),'Anchor Points'!$B$8+(A56-'Anchor Points'!$A$8)/('Anchor Points'!$A$9-'Anchor Points'!$A$8)*('Anchor Points'!$B$9-'Anchor Points'!$B$8)))))))</x:f>
        <x:v>56.66666666666667</x:v>
      </x:c>
      <x:c r="D56" s="28" t="n">
        <x:f>IF(A56&lt;=15,'Anchor Points'!$C$2+(A56-'Anchor Points'!$A$2)/('Anchor Points'!$A$3-'Anchor Points'!$A$2)*('Anchor Points'!$C$3-'Anchor Points'!$C$2),IF(A56&lt;=25,'Anchor Points'!$C$3+(A56-'Anchor Points'!$A$3)/('Anchor Points'!$A$4-'Anchor Points'!$A$3)*('Anchor Points'!$C$4-'Anchor Points'!$C$3),IF(A56&lt;=40,'Anchor Points'!$C$4+(A56-'Anchor Points'!$A$4)/('Anchor Points'!$A$5-'Anchor Points'!$A$4)*('Anchor Points'!$C$5-'Anchor Points'!$C$4),IF(A56&lt;=55,'Anchor Points'!$C$5+(A56-'Anchor Points'!$A$5)/('Anchor Points'!$A$6-'Anchor Points'!$A$5)*('Anchor Points'!$C$6-'Anchor Points'!$C$5),IF(A56&lt;=70,'Anchor Points'!$C$6+(A56-'Anchor Points'!$A$6)/('Anchor Points'!$A$7-'Anchor Points'!$A$6)*('Anchor Points'!$C$7-'Anchor Points'!$C$6),IF(A56&lt;=90,'Anchor Points'!$C$7+(A56-'Anchor Points'!$A$7)/('Anchor Points'!$A$8-'Anchor Points'!$A$7)*('Anchor Points'!$C$8-'Anchor Points'!$C$7),'Anchor Points'!$C$8+(A56-'Anchor Points'!$A$8)/('Anchor Points'!$A$9-'Anchor Points'!$A$8)*('Anchor Points'!$C$9-'Anchor Points'!$C$8)))))))</x:f>
        <x:v>43.66666666666667</x:v>
      </x:c>
      <x:c r="E56" s="28" t="n">
        <x:f>IF(A56&lt;=15,'Anchor Points'!$D$2+(A56-'Anchor Points'!$A$2)/('Anchor Points'!$A$3-'Anchor Points'!$A$2)*('Anchor Points'!$D$3-'Anchor Points'!$D$2),IF(A56&lt;=25,'Anchor Points'!$D$3+(A56-'Anchor Points'!$A$3)/('Anchor Points'!$A$4-'Anchor Points'!$A$3)*('Anchor Points'!$D$4-'Anchor Points'!$D$3),IF(A56&lt;=40,'Anchor Points'!$D$4+(A56-'Anchor Points'!$A$4)/('Anchor Points'!$A$5-'Anchor Points'!$A$4)*('Anchor Points'!$D$5-'Anchor Points'!$D$4),IF(A56&lt;=55,'Anchor Points'!$D$5+(A56-'Anchor Points'!$A$5)/('Anchor Points'!$A$6-'Anchor Points'!$A$5)*('Anchor Points'!$D$6-'Anchor Points'!$D$5),IF(A56&lt;=70,'Anchor Points'!$D$6+(A56-'Anchor Points'!$A$6)/('Anchor Points'!$A$7-'Anchor Points'!$A$6)*('Anchor Points'!$D$7-'Anchor Points'!$D$6),IF(A56&lt;=90,'Anchor Points'!$D$7+(A56-'Anchor Points'!$A$7)/('Anchor Points'!$A$8-'Anchor Points'!$A$7)*('Anchor Points'!$D$8-'Anchor Points'!$D$7),'Anchor Points'!$D$8+(A56-'Anchor Points'!$A$8)/('Anchor Points'!$A$9-'Anchor Points'!$A$8)*('Anchor Points'!$D$9-'Anchor Points'!$D$8)))))))</x:f>
        <x:v>6.666666666666667</x:v>
      </x:c>
      <x:c r="F56" s="30" t="n">
        <x:f>ROUND(E56,0)</x:f>
        <x:v>7</x:v>
      </x:c>
      <x:c r="G56" s="28" t="n">
        <x:f>IF(A56&lt;=15,'Anchor Points'!$E$2+(A56-'Anchor Points'!$A$2)/('Anchor Points'!$A$3-'Anchor Points'!$A$2)*('Anchor Points'!$E$3-'Anchor Points'!$E$2),IF(A56&lt;=25,'Anchor Points'!$E$3+(A56-'Anchor Points'!$A$3)/('Anchor Points'!$A$4-'Anchor Points'!$A$3)*('Anchor Points'!$E$4-'Anchor Points'!$E$3),IF(A56&lt;=40,'Anchor Points'!$E$4+(A56-'Anchor Points'!$A$4)/('Anchor Points'!$A$5-'Anchor Points'!$A$4)*('Anchor Points'!$E$5-'Anchor Points'!$E$4),IF(A56&lt;=55,'Anchor Points'!$E$5+(A56-'Anchor Points'!$A$5)/('Anchor Points'!$A$6-'Anchor Points'!$A$5)*('Anchor Points'!$E$6-'Anchor Points'!$E$5),IF(A56&lt;=70,'Anchor Points'!$E$6+(A56-'Anchor Points'!$A$6)/('Anchor Points'!$A$7-'Anchor Points'!$A$6)*('Anchor Points'!$E$7-'Anchor Points'!$E$6),IF(A56&lt;=90,'Anchor Points'!$E$7+(A56-'Anchor Points'!$A$7)/('Anchor Points'!$A$8-'Anchor Points'!$A$7)*('Anchor Points'!$E$8-'Anchor Points'!$E$7),'Anchor Points'!$E$8+(A56-'Anchor Points'!$A$8)/('Anchor Points'!$A$9-'Anchor Points'!$A$8)*('Anchor Points'!$E$9-'Anchor Points'!$E$8)))))))</x:f>
        <x:v>0.9333333333333333</x:v>
      </x:c>
      <x:c r="H56" s="30" t="n">
        <x:f>ROUND(G56,0)</x:f>
        <x:v>1</x:v>
      </x:c>
      <x:c r="I56" s="28" t="n">
        <x:f>IF(A56&lt;=15,'Anchor Points'!$F$2+(A56-'Anchor Points'!$A$2)/('Anchor Points'!$A$3-'Anchor Points'!$A$2)*('Anchor Points'!$F$3-'Anchor Points'!$F$2),IF(A56&lt;=25,'Anchor Points'!$F$3+(A56-'Anchor Points'!$A$3)/('Anchor Points'!$A$4-'Anchor Points'!$A$3)*('Anchor Points'!$F$4-'Anchor Points'!$F$3),IF(A56&lt;=40,'Anchor Points'!$F$4+(A56-'Anchor Points'!$A$4)/('Anchor Points'!$A$5-'Anchor Points'!$A$4)*('Anchor Points'!$F$5-'Anchor Points'!$F$4),IF(A56&lt;=55,'Anchor Points'!$F$5+(A56-'Anchor Points'!$A$5)/('Anchor Points'!$A$6-'Anchor Points'!$A$5)*('Anchor Points'!$F$6-'Anchor Points'!$F$5),IF(A56&lt;=70,'Anchor Points'!$F$6+(A56-'Anchor Points'!$A$6)/('Anchor Points'!$A$7-'Anchor Points'!$A$6)*('Anchor Points'!$F$7-'Anchor Points'!$F$6),IF(A56&lt;=90,'Anchor Points'!$F$7+(A56-'Anchor Points'!$A$7)/('Anchor Points'!$A$8-'Anchor Points'!$A$7)*('Anchor Points'!$F$8-'Anchor Points'!$F$7),'Anchor Points'!$F$8+(A56-'Anchor Points'!$A$8)/('Anchor Points'!$A$9-'Anchor Points'!$A$8)*('Anchor Points'!$F$9-'Anchor Points'!$F$8)))))))</x:f>
        <x:v>7.466666666666667</x:v>
      </x:c>
      <x:c r="K56" s="36" t="n">
        <x:f>A32</x:f>
        <x:v>30</x:v>
      </x:c>
      <x:c r="L56" s="36" t="n">
        <x:f>E32</x:f>
        <x:v>0.6666666666666666</x:v>
      </x:c>
      <x:c r="M56" s="36" t="n">
        <x:f>G32</x:f>
        <x:v>0</x:v>
      </x:c>
      <x:c r="N56" s="36" t="n">
        <x:f>I32</x:f>
        <x:v>0</x:v>
      </x:c>
    </x:row>
    <x:row r="57">
      <x:c r="A57" s="30" t="n">
        <x:v>55</x:v>
      </x:c>
      <x:c r="B57" s="11" t="str">
        <x:f>IF(A57&lt;=15,"Seedling",IF(A57&lt;=25,"Establishment",IF(A57&lt;=40,"Vegetative Growth",IF(A57&lt;=55,"Flowering &amp; Initial Fruit Set",IF(A57&lt;=80,"Fruit Enlargement",IF(A57&lt;=95,"Ripening","Harvesting"))))))</x:f>
        <x:v>Flowering &amp; Initial Fruit Set</x:v>
      </x:c>
      <x:c r="C57" s="28" t="n">
        <x:f>IF(A57&lt;=15,'Anchor Points'!$B$2+(A57-'Anchor Points'!$A$2)/('Anchor Points'!$A$3-'Anchor Points'!$A$2)*('Anchor Points'!$B$3-'Anchor Points'!$B$2),IF(A57&lt;=25,'Anchor Points'!$B$3+(A57-'Anchor Points'!$A$3)/('Anchor Points'!$A$4-'Anchor Points'!$A$3)*('Anchor Points'!$B$4-'Anchor Points'!$B$3),IF(A57&lt;=40,'Anchor Points'!$B$4+(A57-'Anchor Points'!$A$4)/('Anchor Points'!$A$5-'Anchor Points'!$A$4)*('Anchor Points'!$B$5-'Anchor Points'!$B$4),IF(A57&lt;=55,'Anchor Points'!$B$5+(A57-'Anchor Points'!$A$5)/('Anchor Points'!$A$6-'Anchor Points'!$A$5)*('Anchor Points'!$B$6-'Anchor Points'!$B$5),IF(A57&lt;=70,'Anchor Points'!$B$6+(A57-'Anchor Points'!$A$6)/('Anchor Points'!$A$7-'Anchor Points'!$A$6)*('Anchor Points'!$B$7-'Anchor Points'!$B$6),IF(A57&lt;=90,'Anchor Points'!$B$7+(A57-'Anchor Points'!$A$7)/('Anchor Points'!$A$8-'Anchor Points'!$A$7)*('Anchor Points'!$B$8-'Anchor Points'!$B$7),'Anchor Points'!$B$8+(A57-'Anchor Points'!$A$8)/('Anchor Points'!$A$9-'Anchor Points'!$A$8)*('Anchor Points'!$B$9-'Anchor Points'!$B$8)))))))</x:f>
        <x:v>58</x:v>
      </x:c>
      <x:c r="D57" s="28" t="n">
        <x:f>IF(A57&lt;=15,'Anchor Points'!$C$2+(A57-'Anchor Points'!$A$2)/('Anchor Points'!$A$3-'Anchor Points'!$A$2)*('Anchor Points'!$C$3-'Anchor Points'!$C$2),IF(A57&lt;=25,'Anchor Points'!$C$3+(A57-'Anchor Points'!$A$3)/('Anchor Points'!$A$4-'Anchor Points'!$A$3)*('Anchor Points'!$C$4-'Anchor Points'!$C$3),IF(A57&lt;=40,'Anchor Points'!$C$4+(A57-'Anchor Points'!$A$4)/('Anchor Points'!$A$5-'Anchor Points'!$A$4)*('Anchor Points'!$C$5-'Anchor Points'!$C$4),IF(A57&lt;=55,'Anchor Points'!$C$5+(A57-'Anchor Points'!$A$5)/('Anchor Points'!$A$6-'Anchor Points'!$A$5)*('Anchor Points'!$C$6-'Anchor Points'!$C$5),IF(A57&lt;=70,'Anchor Points'!$C$6+(A57-'Anchor Points'!$A$6)/('Anchor Points'!$A$7-'Anchor Points'!$A$6)*('Anchor Points'!$C$7-'Anchor Points'!$C$6),IF(A57&lt;=90,'Anchor Points'!$C$7+(A57-'Anchor Points'!$A$7)/('Anchor Points'!$A$8-'Anchor Points'!$A$7)*('Anchor Points'!$C$8-'Anchor Points'!$C$7),'Anchor Points'!$C$8+(A57-'Anchor Points'!$A$8)/('Anchor Points'!$A$9-'Anchor Points'!$A$8)*('Anchor Points'!$C$9-'Anchor Points'!$C$8)))))))</x:f>
        <x:v>45</x:v>
      </x:c>
      <x:c r="E57" s="28" t="n">
        <x:f>IF(A57&lt;=15,'Anchor Points'!$D$2+(A57-'Anchor Points'!$A$2)/('Anchor Points'!$A$3-'Anchor Points'!$A$2)*('Anchor Points'!$D$3-'Anchor Points'!$D$2),IF(A57&lt;=25,'Anchor Points'!$D$3+(A57-'Anchor Points'!$A$3)/('Anchor Points'!$A$4-'Anchor Points'!$A$3)*('Anchor Points'!$D$4-'Anchor Points'!$D$3),IF(A57&lt;=40,'Anchor Points'!$D$4+(A57-'Anchor Points'!$A$4)/('Anchor Points'!$A$5-'Anchor Points'!$A$4)*('Anchor Points'!$D$5-'Anchor Points'!$D$4),IF(A57&lt;=55,'Anchor Points'!$D$5+(A57-'Anchor Points'!$A$5)/('Anchor Points'!$A$6-'Anchor Points'!$A$5)*('Anchor Points'!$D$6-'Anchor Points'!$D$5),IF(A57&lt;=70,'Anchor Points'!$D$6+(A57-'Anchor Points'!$A$6)/('Anchor Points'!$A$7-'Anchor Points'!$A$6)*('Anchor Points'!$D$7-'Anchor Points'!$D$6),IF(A57&lt;=90,'Anchor Points'!$D$7+(A57-'Anchor Points'!$A$7)/('Anchor Points'!$A$8-'Anchor Points'!$A$7)*('Anchor Points'!$D$8-'Anchor Points'!$D$7),'Anchor Points'!$D$8+(A57-'Anchor Points'!$A$8)/('Anchor Points'!$A$9-'Anchor Points'!$A$8)*('Anchor Points'!$D$9-'Anchor Points'!$D$8)))))))</x:f>
        <x:v>7</x:v>
      </x:c>
      <x:c r="F57" s="30" t="n">
        <x:f>ROUND(E57,0)</x:f>
        <x:v>7</x:v>
      </x:c>
      <x:c r="G57" s="28" t="n">
        <x:f>IF(A57&lt;=15,'Anchor Points'!$E$2+(A57-'Anchor Points'!$A$2)/('Anchor Points'!$A$3-'Anchor Points'!$A$2)*('Anchor Points'!$E$3-'Anchor Points'!$E$2),IF(A57&lt;=25,'Anchor Points'!$E$3+(A57-'Anchor Points'!$A$3)/('Anchor Points'!$A$4-'Anchor Points'!$A$3)*('Anchor Points'!$E$4-'Anchor Points'!$E$3),IF(A57&lt;=40,'Anchor Points'!$E$4+(A57-'Anchor Points'!$A$4)/('Anchor Points'!$A$5-'Anchor Points'!$A$4)*('Anchor Points'!$E$5-'Anchor Points'!$E$4),IF(A57&lt;=55,'Anchor Points'!$E$5+(A57-'Anchor Points'!$A$5)/('Anchor Points'!$A$6-'Anchor Points'!$A$5)*('Anchor Points'!$E$6-'Anchor Points'!$E$5),IF(A57&lt;=70,'Anchor Points'!$E$6+(A57-'Anchor Points'!$A$6)/('Anchor Points'!$A$7-'Anchor Points'!$A$6)*('Anchor Points'!$E$7-'Anchor Points'!$E$6),IF(A57&lt;=90,'Anchor Points'!$E$7+(A57-'Anchor Points'!$A$7)/('Anchor Points'!$A$8-'Anchor Points'!$A$7)*('Anchor Points'!$E$8-'Anchor Points'!$E$7),'Anchor Points'!$E$8+(A57-'Anchor Points'!$A$8)/('Anchor Points'!$A$9-'Anchor Points'!$A$8)*('Anchor Points'!$E$9-'Anchor Points'!$E$8)))))))</x:f>
        <x:v>1</x:v>
      </x:c>
      <x:c r="H57" s="30" t="n">
        <x:f>ROUND(G57,0)</x:f>
        <x:v>1</x:v>
      </x:c>
      <x:c r="I57" s="28" t="n">
        <x:f>IF(A57&lt;=15,'Anchor Points'!$F$2+(A57-'Anchor Points'!$A$2)/('Anchor Points'!$A$3-'Anchor Points'!$A$2)*('Anchor Points'!$F$3-'Anchor Points'!$F$2),IF(A57&lt;=25,'Anchor Points'!$F$3+(A57-'Anchor Points'!$A$3)/('Anchor Points'!$A$4-'Anchor Points'!$A$3)*('Anchor Points'!$F$4-'Anchor Points'!$F$3),IF(A57&lt;=40,'Anchor Points'!$F$4+(A57-'Anchor Points'!$A$4)/('Anchor Points'!$A$5-'Anchor Points'!$A$4)*('Anchor Points'!$F$5-'Anchor Points'!$F$4),IF(A57&lt;=55,'Anchor Points'!$F$5+(A57-'Anchor Points'!$A$5)/('Anchor Points'!$A$6-'Anchor Points'!$A$5)*('Anchor Points'!$F$6-'Anchor Points'!$F$5),IF(A57&lt;=70,'Anchor Points'!$F$6+(A57-'Anchor Points'!$A$6)/('Anchor Points'!$A$7-'Anchor Points'!$A$6)*('Anchor Points'!$F$7-'Anchor Points'!$F$6),IF(A57&lt;=90,'Anchor Points'!$F$7+(A57-'Anchor Points'!$A$7)/('Anchor Points'!$A$8-'Anchor Points'!$A$7)*('Anchor Points'!$F$8-'Anchor Points'!$F$7),'Anchor Points'!$F$8+(A57-'Anchor Points'!$A$8)/('Anchor Points'!$A$9-'Anchor Points'!$A$8)*('Anchor Points'!$F$9-'Anchor Points'!$F$8)))))))</x:f>
        <x:v>8</x:v>
      </x:c>
      <x:c r="K57" s="36" t="n">
        <x:f>A33</x:f>
        <x:v>31</x:v>
      </x:c>
      <x:c r="L57" s="36" t="n">
        <x:f>E33</x:f>
        <x:v>0.8</x:v>
      </x:c>
      <x:c r="M57" s="36" t="n">
        <x:f>G33</x:f>
        <x:v>0</x:v>
      </x:c>
      <x:c r="N57" s="36" t="n">
        <x:f>I33</x:f>
        <x:v>0</x:v>
      </x:c>
    </x:row>
    <x:row r="58">
      <x:c r="A58" s="30" t="n">
        <x:v>56</x:v>
      </x:c>
      <x:c r="B58" s="11" t="str">
        <x:f>IF(A58&lt;=15,"Seedling",IF(A58&lt;=25,"Establishment",IF(A58&lt;=40,"Vegetative Growth",IF(A58&lt;=55,"Flowering &amp; Initial Fruit Set",IF(A58&lt;=80,"Fruit Enlargement",IF(A58&lt;=95,"Ripening","Harvesting"))))))</x:f>
        <x:v>Fruit Enlargement</x:v>
      </x:c>
      <x:c r="C58" s="28" t="n">
        <x:f>IF(A58&lt;=15,'Anchor Points'!$B$2+(A58-'Anchor Points'!$A$2)/('Anchor Points'!$A$3-'Anchor Points'!$A$2)*('Anchor Points'!$B$3-'Anchor Points'!$B$2),IF(A58&lt;=25,'Anchor Points'!$B$3+(A58-'Anchor Points'!$A$3)/('Anchor Points'!$A$4-'Anchor Points'!$A$3)*('Anchor Points'!$B$4-'Anchor Points'!$B$3),IF(A58&lt;=40,'Anchor Points'!$B$4+(A58-'Anchor Points'!$A$4)/('Anchor Points'!$A$5-'Anchor Points'!$A$4)*('Anchor Points'!$B$5-'Anchor Points'!$B$4),IF(A58&lt;=55,'Anchor Points'!$B$5+(A58-'Anchor Points'!$A$5)/('Anchor Points'!$A$6-'Anchor Points'!$A$5)*('Anchor Points'!$B$6-'Anchor Points'!$B$5),IF(A58&lt;=70,'Anchor Points'!$B$6+(A58-'Anchor Points'!$A$6)/('Anchor Points'!$A$7-'Anchor Points'!$A$6)*('Anchor Points'!$B$7-'Anchor Points'!$B$6),IF(A58&lt;=90,'Anchor Points'!$B$7+(A58-'Anchor Points'!$A$7)/('Anchor Points'!$A$8-'Anchor Points'!$A$7)*('Anchor Points'!$B$8-'Anchor Points'!$B$7),'Anchor Points'!$B$8+(A58-'Anchor Points'!$A$8)/('Anchor Points'!$A$9-'Anchor Points'!$A$8)*('Anchor Points'!$B$9-'Anchor Points'!$B$8)))))))</x:f>
        <x:v>58.93333333333333</x:v>
      </x:c>
      <x:c r="D58" s="28" t="n">
        <x:f>IF(A58&lt;=15,'Anchor Points'!$C$2+(A58-'Anchor Points'!$A$2)/('Anchor Points'!$A$3-'Anchor Points'!$A$2)*('Anchor Points'!$C$3-'Anchor Points'!$C$2),IF(A58&lt;=25,'Anchor Points'!$C$3+(A58-'Anchor Points'!$A$3)/('Anchor Points'!$A$4-'Anchor Points'!$A$3)*('Anchor Points'!$C$4-'Anchor Points'!$C$3),IF(A58&lt;=40,'Anchor Points'!$C$4+(A58-'Anchor Points'!$A$4)/('Anchor Points'!$A$5-'Anchor Points'!$A$4)*('Anchor Points'!$C$5-'Anchor Points'!$C$4),IF(A58&lt;=55,'Anchor Points'!$C$5+(A58-'Anchor Points'!$A$5)/('Anchor Points'!$A$6-'Anchor Points'!$A$5)*('Anchor Points'!$C$6-'Anchor Points'!$C$5),IF(A58&lt;=70,'Anchor Points'!$C$6+(A58-'Anchor Points'!$A$6)/('Anchor Points'!$A$7-'Anchor Points'!$A$6)*('Anchor Points'!$C$7-'Anchor Points'!$C$6),IF(A58&lt;=90,'Anchor Points'!$C$7+(A58-'Anchor Points'!$A$7)/('Anchor Points'!$A$8-'Anchor Points'!$A$7)*('Anchor Points'!$C$8-'Anchor Points'!$C$7),'Anchor Points'!$C$8+(A58-'Anchor Points'!$A$8)/('Anchor Points'!$A$9-'Anchor Points'!$A$8)*('Anchor Points'!$C$9-'Anchor Points'!$C$8)))))))</x:f>
        <x:v>46.333333333333336</x:v>
      </x:c>
      <x:c r="E58" s="28" t="n">
        <x:f>IF(A58&lt;=15,'Anchor Points'!$D$2+(A58-'Anchor Points'!$A$2)/('Anchor Points'!$A$3-'Anchor Points'!$A$2)*('Anchor Points'!$D$3-'Anchor Points'!$D$2),IF(A58&lt;=25,'Anchor Points'!$D$3+(A58-'Anchor Points'!$A$3)/('Anchor Points'!$A$4-'Anchor Points'!$A$3)*('Anchor Points'!$D$4-'Anchor Points'!$D$3),IF(A58&lt;=40,'Anchor Points'!$D$4+(A58-'Anchor Points'!$A$4)/('Anchor Points'!$A$5-'Anchor Points'!$A$4)*('Anchor Points'!$D$5-'Anchor Points'!$D$4),IF(A58&lt;=55,'Anchor Points'!$D$5+(A58-'Anchor Points'!$A$5)/('Anchor Points'!$A$6-'Anchor Points'!$A$5)*('Anchor Points'!$D$6-'Anchor Points'!$D$5),IF(A58&lt;=70,'Anchor Points'!$D$6+(A58-'Anchor Points'!$A$6)/('Anchor Points'!$A$7-'Anchor Points'!$A$6)*('Anchor Points'!$D$7-'Anchor Points'!$D$6),IF(A58&lt;=90,'Anchor Points'!$D$7+(A58-'Anchor Points'!$A$7)/('Anchor Points'!$A$8-'Anchor Points'!$A$7)*('Anchor Points'!$D$8-'Anchor Points'!$D$7),'Anchor Points'!$D$8+(A58-'Anchor Points'!$A$8)/('Anchor Points'!$A$9-'Anchor Points'!$A$8)*('Anchor Points'!$D$9-'Anchor Points'!$D$8)))))))</x:f>
        <x:v>7.333333333333333</x:v>
      </x:c>
      <x:c r="F58" s="30" t="n">
        <x:f>ROUND(E58,0)</x:f>
        <x:v>7</x:v>
      </x:c>
      <x:c r="G58" s="28" t="n">
        <x:f>IF(A58&lt;=15,'Anchor Points'!$E$2+(A58-'Anchor Points'!$A$2)/('Anchor Points'!$A$3-'Anchor Points'!$A$2)*('Anchor Points'!$E$3-'Anchor Points'!$E$2),IF(A58&lt;=25,'Anchor Points'!$E$3+(A58-'Anchor Points'!$A$3)/('Anchor Points'!$A$4-'Anchor Points'!$A$3)*('Anchor Points'!$E$4-'Anchor Points'!$E$3),IF(A58&lt;=40,'Anchor Points'!$E$4+(A58-'Anchor Points'!$A$4)/('Anchor Points'!$A$5-'Anchor Points'!$A$4)*('Anchor Points'!$E$5-'Anchor Points'!$E$4),IF(A58&lt;=55,'Anchor Points'!$E$5+(A58-'Anchor Points'!$A$5)/('Anchor Points'!$A$6-'Anchor Points'!$A$5)*('Anchor Points'!$E$6-'Anchor Points'!$E$5),IF(A58&lt;=70,'Anchor Points'!$E$6+(A58-'Anchor Points'!$A$6)/('Anchor Points'!$A$7-'Anchor Points'!$A$6)*('Anchor Points'!$E$7-'Anchor Points'!$E$6),IF(A58&lt;=90,'Anchor Points'!$E$7+(A58-'Anchor Points'!$A$7)/('Anchor Points'!$A$8-'Anchor Points'!$A$7)*('Anchor Points'!$E$8-'Anchor Points'!$E$7),'Anchor Points'!$E$8+(A58-'Anchor Points'!$A$8)/('Anchor Points'!$A$9-'Anchor Points'!$A$8)*('Anchor Points'!$E$9-'Anchor Points'!$E$8)))))))</x:f>
        <x:v>1.2666666666666666</x:v>
      </x:c>
      <x:c r="H58" s="30" t="n">
        <x:f>ROUND(G58,0)</x:f>
        <x:v>1</x:v>
      </x:c>
      <x:c r="I58" s="28" t="n">
        <x:f>IF(A58&lt;=15,'Anchor Points'!$F$2+(A58-'Anchor Points'!$A$2)/('Anchor Points'!$A$3-'Anchor Points'!$A$2)*('Anchor Points'!$F$3-'Anchor Points'!$F$2),IF(A58&lt;=25,'Anchor Points'!$F$3+(A58-'Anchor Points'!$A$3)/('Anchor Points'!$A$4-'Anchor Points'!$A$3)*('Anchor Points'!$F$4-'Anchor Points'!$F$3),IF(A58&lt;=40,'Anchor Points'!$F$4+(A58-'Anchor Points'!$A$4)/('Anchor Points'!$A$5-'Anchor Points'!$A$4)*('Anchor Points'!$F$5-'Anchor Points'!$F$4),IF(A58&lt;=55,'Anchor Points'!$F$5+(A58-'Anchor Points'!$A$5)/('Anchor Points'!$A$6-'Anchor Points'!$A$5)*('Anchor Points'!$F$6-'Anchor Points'!$F$5),IF(A58&lt;=70,'Anchor Points'!$F$6+(A58-'Anchor Points'!$A$6)/('Anchor Points'!$A$7-'Anchor Points'!$A$6)*('Anchor Points'!$F$7-'Anchor Points'!$F$6),IF(A58&lt;=90,'Anchor Points'!$F$7+(A58-'Anchor Points'!$A$7)/('Anchor Points'!$A$8-'Anchor Points'!$A$7)*('Anchor Points'!$F$8-'Anchor Points'!$F$7),'Anchor Points'!$F$8+(A58-'Anchor Points'!$A$8)/('Anchor Points'!$A$9-'Anchor Points'!$A$8)*('Anchor Points'!$F$9-'Anchor Points'!$F$8)))))))</x:f>
        <x:v>9.133333333333333</x:v>
      </x:c>
      <x:c r="K58" s="36" t="n">
        <x:f>A34</x:f>
        <x:v>32</x:v>
      </x:c>
      <x:c r="L58" s="36" t="n">
        <x:f>E34</x:f>
        <x:v>0.9333333333333333</x:v>
      </x:c>
      <x:c r="M58" s="36" t="n">
        <x:f>G34</x:f>
        <x:v>0</x:v>
      </x:c>
      <x:c r="N58" s="36" t="n">
        <x:f>I34</x:f>
        <x:v>0</x:v>
      </x:c>
    </x:row>
    <x:row r="59">
      <x:c r="A59" s="30" t="n">
        <x:v>57</x:v>
      </x:c>
      <x:c r="B59" s="11" t="str">
        <x:f>IF(A59&lt;=15,"Seedling",IF(A59&lt;=25,"Establishment",IF(A59&lt;=40,"Vegetative Growth",IF(A59&lt;=55,"Flowering &amp; Initial Fruit Set",IF(A59&lt;=80,"Fruit Enlargement",IF(A59&lt;=95,"Ripening","Harvesting"))))))</x:f>
        <x:v>Fruit Enlargement</x:v>
      </x:c>
      <x:c r="C59" s="28" t="n">
        <x:f>IF(A59&lt;=15,'Anchor Points'!$B$2+(A59-'Anchor Points'!$A$2)/('Anchor Points'!$A$3-'Anchor Points'!$A$2)*('Anchor Points'!$B$3-'Anchor Points'!$B$2),IF(A59&lt;=25,'Anchor Points'!$B$3+(A59-'Anchor Points'!$A$3)/('Anchor Points'!$A$4-'Anchor Points'!$A$3)*('Anchor Points'!$B$4-'Anchor Points'!$B$3),IF(A59&lt;=40,'Anchor Points'!$B$4+(A59-'Anchor Points'!$A$4)/('Anchor Points'!$A$5-'Anchor Points'!$A$4)*('Anchor Points'!$B$5-'Anchor Points'!$B$4),IF(A59&lt;=55,'Anchor Points'!$B$5+(A59-'Anchor Points'!$A$5)/('Anchor Points'!$A$6-'Anchor Points'!$A$5)*('Anchor Points'!$B$6-'Anchor Points'!$B$5),IF(A59&lt;=70,'Anchor Points'!$B$6+(A59-'Anchor Points'!$A$6)/('Anchor Points'!$A$7-'Anchor Points'!$A$6)*('Anchor Points'!$B$7-'Anchor Points'!$B$6),IF(A59&lt;=90,'Anchor Points'!$B$7+(A59-'Anchor Points'!$A$7)/('Anchor Points'!$A$8-'Anchor Points'!$A$7)*('Anchor Points'!$B$8-'Anchor Points'!$B$7),'Anchor Points'!$B$8+(A59-'Anchor Points'!$A$8)/('Anchor Points'!$A$9-'Anchor Points'!$A$8)*('Anchor Points'!$B$9-'Anchor Points'!$B$8)))))))</x:f>
        <x:v>59.86666666666667</x:v>
      </x:c>
      <x:c r="D59" s="28" t="n">
        <x:f>IF(A59&lt;=15,'Anchor Points'!$C$2+(A59-'Anchor Points'!$A$2)/('Anchor Points'!$A$3-'Anchor Points'!$A$2)*('Anchor Points'!$C$3-'Anchor Points'!$C$2),IF(A59&lt;=25,'Anchor Points'!$C$3+(A59-'Anchor Points'!$A$3)/('Anchor Points'!$A$4-'Anchor Points'!$A$3)*('Anchor Points'!$C$4-'Anchor Points'!$C$3),IF(A59&lt;=40,'Anchor Points'!$C$4+(A59-'Anchor Points'!$A$4)/('Anchor Points'!$A$5-'Anchor Points'!$A$4)*('Anchor Points'!$C$5-'Anchor Points'!$C$4),IF(A59&lt;=55,'Anchor Points'!$C$5+(A59-'Anchor Points'!$A$5)/('Anchor Points'!$A$6-'Anchor Points'!$A$5)*('Anchor Points'!$C$6-'Anchor Points'!$C$5),IF(A59&lt;=70,'Anchor Points'!$C$6+(A59-'Anchor Points'!$A$6)/('Anchor Points'!$A$7-'Anchor Points'!$A$6)*('Anchor Points'!$C$7-'Anchor Points'!$C$6),IF(A59&lt;=90,'Anchor Points'!$C$7+(A59-'Anchor Points'!$A$7)/('Anchor Points'!$A$8-'Anchor Points'!$A$7)*('Anchor Points'!$C$8-'Anchor Points'!$C$7),'Anchor Points'!$C$8+(A59-'Anchor Points'!$A$8)/('Anchor Points'!$A$9-'Anchor Points'!$A$8)*('Anchor Points'!$C$9-'Anchor Points'!$C$8)))))))</x:f>
        <x:v>47.666666666666664</x:v>
      </x:c>
      <x:c r="E59" s="28" t="n">
        <x:f>IF(A59&lt;=15,'Anchor Points'!$D$2+(A59-'Anchor Points'!$A$2)/('Anchor Points'!$A$3-'Anchor Points'!$A$2)*('Anchor Points'!$D$3-'Anchor Points'!$D$2),IF(A59&lt;=25,'Anchor Points'!$D$3+(A59-'Anchor Points'!$A$3)/('Anchor Points'!$A$4-'Anchor Points'!$A$3)*('Anchor Points'!$D$4-'Anchor Points'!$D$3),IF(A59&lt;=40,'Anchor Points'!$D$4+(A59-'Anchor Points'!$A$4)/('Anchor Points'!$A$5-'Anchor Points'!$A$4)*('Anchor Points'!$D$5-'Anchor Points'!$D$4),IF(A59&lt;=55,'Anchor Points'!$D$5+(A59-'Anchor Points'!$A$5)/('Anchor Points'!$A$6-'Anchor Points'!$A$5)*('Anchor Points'!$D$6-'Anchor Points'!$D$5),IF(A59&lt;=70,'Anchor Points'!$D$6+(A59-'Anchor Points'!$A$6)/('Anchor Points'!$A$7-'Anchor Points'!$A$6)*('Anchor Points'!$D$7-'Anchor Points'!$D$6),IF(A59&lt;=90,'Anchor Points'!$D$7+(A59-'Anchor Points'!$A$7)/('Anchor Points'!$A$8-'Anchor Points'!$A$7)*('Anchor Points'!$D$8-'Anchor Points'!$D$7),'Anchor Points'!$D$8+(A59-'Anchor Points'!$A$8)/('Anchor Points'!$A$9-'Anchor Points'!$A$8)*('Anchor Points'!$D$9-'Anchor Points'!$D$8)))))))</x:f>
        <x:v>7.666666666666667</x:v>
      </x:c>
      <x:c r="F59" s="30" t="n">
        <x:f>ROUND(E59,0)</x:f>
        <x:v>8</x:v>
      </x:c>
      <x:c r="G59" s="28" t="n">
        <x:f>IF(A59&lt;=15,'Anchor Points'!$E$2+(A59-'Anchor Points'!$A$2)/('Anchor Points'!$A$3-'Anchor Points'!$A$2)*('Anchor Points'!$E$3-'Anchor Points'!$E$2),IF(A59&lt;=25,'Anchor Points'!$E$3+(A59-'Anchor Points'!$A$3)/('Anchor Points'!$A$4-'Anchor Points'!$A$3)*('Anchor Points'!$E$4-'Anchor Points'!$E$3),IF(A59&lt;=40,'Anchor Points'!$E$4+(A59-'Anchor Points'!$A$4)/('Anchor Points'!$A$5-'Anchor Points'!$A$4)*('Anchor Points'!$E$5-'Anchor Points'!$E$4),IF(A59&lt;=55,'Anchor Points'!$E$5+(A59-'Anchor Points'!$A$5)/('Anchor Points'!$A$6-'Anchor Points'!$A$5)*('Anchor Points'!$E$6-'Anchor Points'!$E$5),IF(A59&lt;=70,'Anchor Points'!$E$6+(A59-'Anchor Points'!$A$6)/('Anchor Points'!$A$7-'Anchor Points'!$A$6)*('Anchor Points'!$E$7-'Anchor Points'!$E$6),IF(A59&lt;=90,'Anchor Points'!$E$7+(A59-'Anchor Points'!$A$7)/('Anchor Points'!$A$8-'Anchor Points'!$A$7)*('Anchor Points'!$E$8-'Anchor Points'!$E$7),'Anchor Points'!$E$8+(A59-'Anchor Points'!$A$8)/('Anchor Points'!$A$9-'Anchor Points'!$A$8)*('Anchor Points'!$E$9-'Anchor Points'!$E$8)))))))</x:f>
        <x:v>1.5333333333333332</x:v>
      </x:c>
      <x:c r="H59" s="30" t="n">
        <x:f>ROUND(G59,0)</x:f>
        <x:v>2</x:v>
      </x:c>
      <x:c r="I59" s="28" t="n">
        <x:f>IF(A59&lt;=15,'Anchor Points'!$F$2+(A59-'Anchor Points'!$A$2)/('Anchor Points'!$A$3-'Anchor Points'!$A$2)*('Anchor Points'!$F$3-'Anchor Points'!$F$2),IF(A59&lt;=25,'Anchor Points'!$F$3+(A59-'Anchor Points'!$A$3)/('Anchor Points'!$A$4-'Anchor Points'!$A$3)*('Anchor Points'!$F$4-'Anchor Points'!$F$3),IF(A59&lt;=40,'Anchor Points'!$F$4+(A59-'Anchor Points'!$A$4)/('Anchor Points'!$A$5-'Anchor Points'!$A$4)*('Anchor Points'!$F$5-'Anchor Points'!$F$4),IF(A59&lt;=55,'Anchor Points'!$F$5+(A59-'Anchor Points'!$A$5)/('Anchor Points'!$A$6-'Anchor Points'!$A$5)*('Anchor Points'!$F$6-'Anchor Points'!$F$5),IF(A59&lt;=70,'Anchor Points'!$F$6+(A59-'Anchor Points'!$A$6)/('Anchor Points'!$A$7-'Anchor Points'!$A$6)*('Anchor Points'!$F$7-'Anchor Points'!$F$6),IF(A59&lt;=90,'Anchor Points'!$F$7+(A59-'Anchor Points'!$A$7)/('Anchor Points'!$A$8-'Anchor Points'!$A$7)*('Anchor Points'!$F$8-'Anchor Points'!$F$7),'Anchor Points'!$F$8+(A59-'Anchor Points'!$A$8)/('Anchor Points'!$A$9-'Anchor Points'!$A$8)*('Anchor Points'!$F$9-'Anchor Points'!$F$8)))))))</x:f>
        <x:v>10.266666666666666</x:v>
      </x:c>
      <x:c r="K59" s="36" t="n">
        <x:f>A35</x:f>
        <x:v>33</x:v>
      </x:c>
      <x:c r="L59" s="36" t="n">
        <x:f>E35</x:f>
        <x:v>1.0666666666666667</x:v>
      </x:c>
      <x:c r="M59" s="36" t="n">
        <x:f>G35</x:f>
        <x:v>0</x:v>
      </x:c>
      <x:c r="N59" s="36" t="n">
        <x:f>I35</x:f>
        <x:v>0</x:v>
      </x:c>
    </x:row>
    <x:row r="60">
      <x:c r="A60" s="30" t="n">
        <x:v>58</x:v>
      </x:c>
      <x:c r="B60" s="11" t="str">
        <x:f>IF(A60&lt;=15,"Seedling",IF(A60&lt;=25,"Establishment",IF(A60&lt;=40,"Vegetative Growth",IF(A60&lt;=55,"Flowering &amp; Initial Fruit Set",IF(A60&lt;=80,"Fruit Enlargement",IF(A60&lt;=95,"Ripening","Harvesting"))))))</x:f>
        <x:v>Fruit Enlargement</x:v>
      </x:c>
      <x:c r="C60" s="28" t="n">
        <x:f>IF(A60&lt;=15,'Anchor Points'!$B$2+(A60-'Anchor Points'!$A$2)/('Anchor Points'!$A$3-'Anchor Points'!$A$2)*('Anchor Points'!$B$3-'Anchor Points'!$B$2),IF(A60&lt;=25,'Anchor Points'!$B$3+(A60-'Anchor Points'!$A$3)/('Anchor Points'!$A$4-'Anchor Points'!$A$3)*('Anchor Points'!$B$4-'Anchor Points'!$B$3),IF(A60&lt;=40,'Anchor Points'!$B$4+(A60-'Anchor Points'!$A$4)/('Anchor Points'!$A$5-'Anchor Points'!$A$4)*('Anchor Points'!$B$5-'Anchor Points'!$B$4),IF(A60&lt;=55,'Anchor Points'!$B$5+(A60-'Anchor Points'!$A$5)/('Anchor Points'!$A$6-'Anchor Points'!$A$5)*('Anchor Points'!$B$6-'Anchor Points'!$B$5),IF(A60&lt;=70,'Anchor Points'!$B$6+(A60-'Anchor Points'!$A$6)/('Anchor Points'!$A$7-'Anchor Points'!$A$6)*('Anchor Points'!$B$7-'Anchor Points'!$B$6),IF(A60&lt;=90,'Anchor Points'!$B$7+(A60-'Anchor Points'!$A$7)/('Anchor Points'!$A$8-'Anchor Points'!$A$7)*('Anchor Points'!$B$8-'Anchor Points'!$B$7),'Anchor Points'!$B$8+(A60-'Anchor Points'!$A$8)/('Anchor Points'!$A$9-'Anchor Points'!$A$8)*('Anchor Points'!$B$9-'Anchor Points'!$B$8)))))))</x:f>
        <x:v>60.8</x:v>
      </x:c>
      <x:c r="D60" s="28" t="n">
        <x:f>IF(A60&lt;=15,'Anchor Points'!$C$2+(A60-'Anchor Points'!$A$2)/('Anchor Points'!$A$3-'Anchor Points'!$A$2)*('Anchor Points'!$C$3-'Anchor Points'!$C$2),IF(A60&lt;=25,'Anchor Points'!$C$3+(A60-'Anchor Points'!$A$3)/('Anchor Points'!$A$4-'Anchor Points'!$A$3)*('Anchor Points'!$C$4-'Anchor Points'!$C$3),IF(A60&lt;=40,'Anchor Points'!$C$4+(A60-'Anchor Points'!$A$4)/('Anchor Points'!$A$5-'Anchor Points'!$A$4)*('Anchor Points'!$C$5-'Anchor Points'!$C$4),IF(A60&lt;=55,'Anchor Points'!$C$5+(A60-'Anchor Points'!$A$5)/('Anchor Points'!$A$6-'Anchor Points'!$A$5)*('Anchor Points'!$C$6-'Anchor Points'!$C$5),IF(A60&lt;=70,'Anchor Points'!$C$6+(A60-'Anchor Points'!$A$6)/('Anchor Points'!$A$7-'Anchor Points'!$A$6)*('Anchor Points'!$C$7-'Anchor Points'!$C$6),IF(A60&lt;=90,'Anchor Points'!$C$7+(A60-'Anchor Points'!$A$7)/('Anchor Points'!$A$8-'Anchor Points'!$A$7)*('Anchor Points'!$C$8-'Anchor Points'!$C$7),'Anchor Points'!$C$8+(A60-'Anchor Points'!$A$8)/('Anchor Points'!$A$9-'Anchor Points'!$A$8)*('Anchor Points'!$C$9-'Anchor Points'!$C$8)))))))</x:f>
        <x:v>49</x:v>
      </x:c>
      <x:c r="E60" s="28" t="n">
        <x:f>IF(A60&lt;=15,'Anchor Points'!$D$2+(A60-'Anchor Points'!$A$2)/('Anchor Points'!$A$3-'Anchor Points'!$A$2)*('Anchor Points'!$D$3-'Anchor Points'!$D$2),IF(A60&lt;=25,'Anchor Points'!$D$3+(A60-'Anchor Points'!$A$3)/('Anchor Points'!$A$4-'Anchor Points'!$A$3)*('Anchor Points'!$D$4-'Anchor Points'!$D$3),IF(A60&lt;=40,'Anchor Points'!$D$4+(A60-'Anchor Points'!$A$4)/('Anchor Points'!$A$5-'Anchor Points'!$A$4)*('Anchor Points'!$D$5-'Anchor Points'!$D$4),IF(A60&lt;=55,'Anchor Points'!$D$5+(A60-'Anchor Points'!$A$5)/('Anchor Points'!$A$6-'Anchor Points'!$A$5)*('Anchor Points'!$D$6-'Anchor Points'!$D$5),IF(A60&lt;=70,'Anchor Points'!$D$6+(A60-'Anchor Points'!$A$6)/('Anchor Points'!$A$7-'Anchor Points'!$A$6)*('Anchor Points'!$D$7-'Anchor Points'!$D$6),IF(A60&lt;=90,'Anchor Points'!$D$7+(A60-'Anchor Points'!$A$7)/('Anchor Points'!$A$8-'Anchor Points'!$A$7)*('Anchor Points'!$D$8-'Anchor Points'!$D$7),'Anchor Points'!$D$8+(A60-'Anchor Points'!$A$8)/('Anchor Points'!$A$9-'Anchor Points'!$A$8)*('Anchor Points'!$D$9-'Anchor Points'!$D$8)))))))</x:f>
        <x:v>8</x:v>
      </x:c>
      <x:c r="F60" s="30" t="n">
        <x:f>ROUND(E60,0)</x:f>
        <x:v>8</x:v>
      </x:c>
      <x:c r="G60" s="28" t="n">
        <x:f>IF(A60&lt;=15,'Anchor Points'!$E$2+(A60-'Anchor Points'!$A$2)/('Anchor Points'!$A$3-'Anchor Points'!$A$2)*('Anchor Points'!$E$3-'Anchor Points'!$E$2),IF(A60&lt;=25,'Anchor Points'!$E$3+(A60-'Anchor Points'!$A$3)/('Anchor Points'!$A$4-'Anchor Points'!$A$3)*('Anchor Points'!$E$4-'Anchor Points'!$E$3),IF(A60&lt;=40,'Anchor Points'!$E$4+(A60-'Anchor Points'!$A$4)/('Anchor Points'!$A$5-'Anchor Points'!$A$4)*('Anchor Points'!$E$5-'Anchor Points'!$E$4),IF(A60&lt;=55,'Anchor Points'!$E$5+(A60-'Anchor Points'!$A$5)/('Anchor Points'!$A$6-'Anchor Points'!$A$5)*('Anchor Points'!$E$6-'Anchor Points'!$E$5),IF(A60&lt;=70,'Anchor Points'!$E$6+(A60-'Anchor Points'!$A$6)/('Anchor Points'!$A$7-'Anchor Points'!$A$6)*('Anchor Points'!$E$7-'Anchor Points'!$E$6),IF(A60&lt;=90,'Anchor Points'!$E$7+(A60-'Anchor Points'!$A$7)/('Anchor Points'!$A$8-'Anchor Points'!$A$7)*('Anchor Points'!$E$8-'Anchor Points'!$E$7),'Anchor Points'!$E$8+(A60-'Anchor Points'!$A$8)/('Anchor Points'!$A$9-'Anchor Points'!$A$8)*('Anchor Points'!$E$9-'Anchor Points'!$E$8)))))))</x:f>
        <x:v>1.8</x:v>
      </x:c>
      <x:c r="H60" s="30" t="n">
        <x:f>ROUND(G60,0)</x:f>
        <x:v>2</x:v>
      </x:c>
      <x:c r="I60" s="28" t="n">
        <x:f>IF(A60&lt;=15,'Anchor Points'!$F$2+(A60-'Anchor Points'!$A$2)/('Anchor Points'!$A$3-'Anchor Points'!$A$2)*('Anchor Points'!$F$3-'Anchor Points'!$F$2),IF(A60&lt;=25,'Anchor Points'!$F$3+(A60-'Anchor Points'!$A$3)/('Anchor Points'!$A$4-'Anchor Points'!$A$3)*('Anchor Points'!$F$4-'Anchor Points'!$F$3),IF(A60&lt;=40,'Anchor Points'!$F$4+(A60-'Anchor Points'!$A$4)/('Anchor Points'!$A$5-'Anchor Points'!$A$4)*('Anchor Points'!$F$5-'Anchor Points'!$F$4),IF(A60&lt;=55,'Anchor Points'!$F$5+(A60-'Anchor Points'!$A$5)/('Anchor Points'!$A$6-'Anchor Points'!$A$5)*('Anchor Points'!$F$6-'Anchor Points'!$F$5),IF(A60&lt;=70,'Anchor Points'!$F$6+(A60-'Anchor Points'!$A$6)/('Anchor Points'!$A$7-'Anchor Points'!$A$6)*('Anchor Points'!$F$7-'Anchor Points'!$F$6),IF(A60&lt;=90,'Anchor Points'!$F$7+(A60-'Anchor Points'!$A$7)/('Anchor Points'!$A$8-'Anchor Points'!$A$7)*('Anchor Points'!$F$8-'Anchor Points'!$F$7),'Anchor Points'!$F$8+(A60-'Anchor Points'!$A$8)/('Anchor Points'!$A$9-'Anchor Points'!$A$8)*('Anchor Points'!$F$9-'Anchor Points'!$F$8)))))))</x:f>
        <x:v>11.4</x:v>
      </x:c>
      <x:c r="K60" s="36" t="n">
        <x:f>A36</x:f>
        <x:v>34</x:v>
      </x:c>
      <x:c r="L60" s="36" t="n">
        <x:f>E36</x:f>
        <x:v>1.2</x:v>
      </x:c>
      <x:c r="M60" s="36" t="n">
        <x:f>G36</x:f>
        <x:v>0</x:v>
      </x:c>
      <x:c r="N60" s="36" t="n">
        <x:f>I36</x:f>
        <x:v>0</x:v>
      </x:c>
    </x:row>
    <x:row r="61">
      <x:c r="A61" s="30" t="n">
        <x:v>59</x:v>
      </x:c>
      <x:c r="B61" s="11" t="str">
        <x:f>IF(A61&lt;=15,"Seedling",IF(A61&lt;=25,"Establishment",IF(A61&lt;=40,"Vegetative Growth",IF(A61&lt;=55,"Flowering &amp; Initial Fruit Set",IF(A61&lt;=80,"Fruit Enlargement",IF(A61&lt;=95,"Ripening","Harvesting"))))))</x:f>
        <x:v>Fruit Enlargement</x:v>
      </x:c>
      <x:c r="C61" s="28" t="n">
        <x:f>IF(A61&lt;=15,'Anchor Points'!$B$2+(A61-'Anchor Points'!$A$2)/('Anchor Points'!$A$3-'Anchor Points'!$A$2)*('Anchor Points'!$B$3-'Anchor Points'!$B$2),IF(A61&lt;=25,'Anchor Points'!$B$3+(A61-'Anchor Points'!$A$3)/('Anchor Points'!$A$4-'Anchor Points'!$A$3)*('Anchor Points'!$B$4-'Anchor Points'!$B$3),IF(A61&lt;=40,'Anchor Points'!$B$4+(A61-'Anchor Points'!$A$4)/('Anchor Points'!$A$5-'Anchor Points'!$A$4)*('Anchor Points'!$B$5-'Anchor Points'!$B$4),IF(A61&lt;=55,'Anchor Points'!$B$5+(A61-'Anchor Points'!$A$5)/('Anchor Points'!$A$6-'Anchor Points'!$A$5)*('Anchor Points'!$B$6-'Anchor Points'!$B$5),IF(A61&lt;=70,'Anchor Points'!$B$6+(A61-'Anchor Points'!$A$6)/('Anchor Points'!$A$7-'Anchor Points'!$A$6)*('Anchor Points'!$B$7-'Anchor Points'!$B$6),IF(A61&lt;=90,'Anchor Points'!$B$7+(A61-'Anchor Points'!$A$7)/('Anchor Points'!$A$8-'Anchor Points'!$A$7)*('Anchor Points'!$B$8-'Anchor Points'!$B$7),'Anchor Points'!$B$8+(A61-'Anchor Points'!$A$8)/('Anchor Points'!$A$9-'Anchor Points'!$A$8)*('Anchor Points'!$B$9-'Anchor Points'!$B$8)))))))</x:f>
        <x:v>61.733333333333334</x:v>
      </x:c>
      <x:c r="D61" s="28" t="n">
        <x:f>IF(A61&lt;=15,'Anchor Points'!$C$2+(A61-'Anchor Points'!$A$2)/('Anchor Points'!$A$3-'Anchor Points'!$A$2)*('Anchor Points'!$C$3-'Anchor Points'!$C$2),IF(A61&lt;=25,'Anchor Points'!$C$3+(A61-'Anchor Points'!$A$3)/('Anchor Points'!$A$4-'Anchor Points'!$A$3)*('Anchor Points'!$C$4-'Anchor Points'!$C$3),IF(A61&lt;=40,'Anchor Points'!$C$4+(A61-'Anchor Points'!$A$4)/('Anchor Points'!$A$5-'Anchor Points'!$A$4)*('Anchor Points'!$C$5-'Anchor Points'!$C$4),IF(A61&lt;=55,'Anchor Points'!$C$5+(A61-'Anchor Points'!$A$5)/('Anchor Points'!$A$6-'Anchor Points'!$A$5)*('Anchor Points'!$C$6-'Anchor Points'!$C$5),IF(A61&lt;=70,'Anchor Points'!$C$6+(A61-'Anchor Points'!$A$6)/('Anchor Points'!$A$7-'Anchor Points'!$A$6)*('Anchor Points'!$C$7-'Anchor Points'!$C$6),IF(A61&lt;=90,'Anchor Points'!$C$7+(A61-'Anchor Points'!$A$7)/('Anchor Points'!$A$8-'Anchor Points'!$A$7)*('Anchor Points'!$C$8-'Anchor Points'!$C$7),'Anchor Points'!$C$8+(A61-'Anchor Points'!$A$8)/('Anchor Points'!$A$9-'Anchor Points'!$A$8)*('Anchor Points'!$C$9-'Anchor Points'!$C$8)))))))</x:f>
        <x:v>50.333333333333336</x:v>
      </x:c>
      <x:c r="E61" s="28" t="n">
        <x:f>IF(A61&lt;=15,'Anchor Points'!$D$2+(A61-'Anchor Points'!$A$2)/('Anchor Points'!$A$3-'Anchor Points'!$A$2)*('Anchor Points'!$D$3-'Anchor Points'!$D$2),IF(A61&lt;=25,'Anchor Points'!$D$3+(A61-'Anchor Points'!$A$3)/('Anchor Points'!$A$4-'Anchor Points'!$A$3)*('Anchor Points'!$D$4-'Anchor Points'!$D$3),IF(A61&lt;=40,'Anchor Points'!$D$4+(A61-'Anchor Points'!$A$4)/('Anchor Points'!$A$5-'Anchor Points'!$A$4)*('Anchor Points'!$D$5-'Anchor Points'!$D$4),IF(A61&lt;=55,'Anchor Points'!$D$5+(A61-'Anchor Points'!$A$5)/('Anchor Points'!$A$6-'Anchor Points'!$A$5)*('Anchor Points'!$D$6-'Anchor Points'!$D$5),IF(A61&lt;=70,'Anchor Points'!$D$6+(A61-'Anchor Points'!$A$6)/('Anchor Points'!$A$7-'Anchor Points'!$A$6)*('Anchor Points'!$D$7-'Anchor Points'!$D$6),IF(A61&lt;=90,'Anchor Points'!$D$7+(A61-'Anchor Points'!$A$7)/('Anchor Points'!$A$8-'Anchor Points'!$A$7)*('Anchor Points'!$D$8-'Anchor Points'!$D$7),'Anchor Points'!$D$8+(A61-'Anchor Points'!$A$8)/('Anchor Points'!$A$9-'Anchor Points'!$A$8)*('Anchor Points'!$D$9-'Anchor Points'!$D$8)))))))</x:f>
        <x:v>8.333333333333334</x:v>
      </x:c>
      <x:c r="F61" s="30" t="n">
        <x:f>ROUND(E61,0)</x:f>
        <x:v>8</x:v>
      </x:c>
      <x:c r="G61" s="28" t="n">
        <x:f>IF(A61&lt;=15,'Anchor Points'!$E$2+(A61-'Anchor Points'!$A$2)/('Anchor Points'!$A$3-'Anchor Points'!$A$2)*('Anchor Points'!$E$3-'Anchor Points'!$E$2),IF(A61&lt;=25,'Anchor Points'!$E$3+(A61-'Anchor Points'!$A$3)/('Anchor Points'!$A$4-'Anchor Points'!$A$3)*('Anchor Points'!$E$4-'Anchor Points'!$E$3),IF(A61&lt;=40,'Anchor Points'!$E$4+(A61-'Anchor Points'!$A$4)/('Anchor Points'!$A$5-'Anchor Points'!$A$4)*('Anchor Points'!$E$5-'Anchor Points'!$E$4),IF(A61&lt;=55,'Anchor Points'!$E$5+(A61-'Anchor Points'!$A$5)/('Anchor Points'!$A$6-'Anchor Points'!$A$5)*('Anchor Points'!$E$6-'Anchor Points'!$E$5),IF(A61&lt;=70,'Anchor Points'!$E$6+(A61-'Anchor Points'!$A$6)/('Anchor Points'!$A$7-'Anchor Points'!$A$6)*('Anchor Points'!$E$7-'Anchor Points'!$E$6),IF(A61&lt;=90,'Anchor Points'!$E$7+(A61-'Anchor Points'!$A$7)/('Anchor Points'!$A$8-'Anchor Points'!$A$7)*('Anchor Points'!$E$8-'Anchor Points'!$E$7),'Anchor Points'!$E$8+(A61-'Anchor Points'!$A$8)/('Anchor Points'!$A$9-'Anchor Points'!$A$8)*('Anchor Points'!$E$9-'Anchor Points'!$E$8)))))))</x:f>
        <x:v>2.0666666666666664</x:v>
      </x:c>
      <x:c r="H61" s="30" t="n">
        <x:f>ROUND(G61,0)</x:f>
        <x:v>2</x:v>
      </x:c>
      <x:c r="I61" s="28" t="n">
        <x:f>IF(A61&lt;=15,'Anchor Points'!$F$2+(A61-'Anchor Points'!$A$2)/('Anchor Points'!$A$3-'Anchor Points'!$A$2)*('Anchor Points'!$F$3-'Anchor Points'!$F$2),IF(A61&lt;=25,'Anchor Points'!$F$3+(A61-'Anchor Points'!$A$3)/('Anchor Points'!$A$4-'Anchor Points'!$A$3)*('Anchor Points'!$F$4-'Anchor Points'!$F$3),IF(A61&lt;=40,'Anchor Points'!$F$4+(A61-'Anchor Points'!$A$4)/('Anchor Points'!$A$5-'Anchor Points'!$A$4)*('Anchor Points'!$F$5-'Anchor Points'!$F$4),IF(A61&lt;=55,'Anchor Points'!$F$5+(A61-'Anchor Points'!$A$5)/('Anchor Points'!$A$6-'Anchor Points'!$A$5)*('Anchor Points'!$F$6-'Anchor Points'!$F$5),IF(A61&lt;=70,'Anchor Points'!$F$6+(A61-'Anchor Points'!$A$6)/('Anchor Points'!$A$7-'Anchor Points'!$A$6)*('Anchor Points'!$F$7-'Anchor Points'!$F$6),IF(A61&lt;=90,'Anchor Points'!$F$7+(A61-'Anchor Points'!$A$7)/('Anchor Points'!$A$8-'Anchor Points'!$A$7)*('Anchor Points'!$F$8-'Anchor Points'!$F$7),'Anchor Points'!$F$8+(A61-'Anchor Points'!$A$8)/('Anchor Points'!$A$9-'Anchor Points'!$A$8)*('Anchor Points'!$F$9-'Anchor Points'!$F$8)))))))</x:f>
        <x:v>12.533333333333333</x:v>
      </x:c>
      <x:c r="K61" s="36" t="n">
        <x:f>A37</x:f>
        <x:v>35</x:v>
      </x:c>
      <x:c r="L61" s="36" t="n">
        <x:f>E37</x:f>
        <x:v>1.3333333333333333</x:v>
      </x:c>
      <x:c r="M61" s="36" t="n">
        <x:f>G37</x:f>
        <x:v>0</x:v>
      </x:c>
      <x:c r="N61" s="36" t="n">
        <x:f>I37</x:f>
        <x:v>0</x:v>
      </x:c>
    </x:row>
    <x:row r="62">
      <x:c r="A62" s="30" t="n">
        <x:v>60</x:v>
      </x:c>
      <x:c r="B62" s="11" t="str">
        <x:f>IF(A62&lt;=15,"Seedling",IF(A62&lt;=25,"Establishment",IF(A62&lt;=40,"Vegetative Growth",IF(A62&lt;=55,"Flowering &amp; Initial Fruit Set",IF(A62&lt;=80,"Fruit Enlargement",IF(A62&lt;=95,"Ripening","Harvesting"))))))</x:f>
        <x:v>Fruit Enlargement</x:v>
      </x:c>
      <x:c r="C62" s="28" t="n">
        <x:f>IF(A62&lt;=15,'Anchor Points'!$B$2+(A62-'Anchor Points'!$A$2)/('Anchor Points'!$A$3-'Anchor Points'!$A$2)*('Anchor Points'!$B$3-'Anchor Points'!$B$2),IF(A62&lt;=25,'Anchor Points'!$B$3+(A62-'Anchor Points'!$A$3)/('Anchor Points'!$A$4-'Anchor Points'!$A$3)*('Anchor Points'!$B$4-'Anchor Points'!$B$3),IF(A62&lt;=40,'Anchor Points'!$B$4+(A62-'Anchor Points'!$A$4)/('Anchor Points'!$A$5-'Anchor Points'!$A$4)*('Anchor Points'!$B$5-'Anchor Points'!$B$4),IF(A62&lt;=55,'Anchor Points'!$B$5+(A62-'Anchor Points'!$A$5)/('Anchor Points'!$A$6-'Anchor Points'!$A$5)*('Anchor Points'!$B$6-'Anchor Points'!$B$5),IF(A62&lt;=70,'Anchor Points'!$B$6+(A62-'Anchor Points'!$A$6)/('Anchor Points'!$A$7-'Anchor Points'!$A$6)*('Anchor Points'!$B$7-'Anchor Points'!$B$6),IF(A62&lt;=90,'Anchor Points'!$B$7+(A62-'Anchor Points'!$A$7)/('Anchor Points'!$A$8-'Anchor Points'!$A$7)*('Anchor Points'!$B$8-'Anchor Points'!$B$7),'Anchor Points'!$B$8+(A62-'Anchor Points'!$A$8)/('Anchor Points'!$A$9-'Anchor Points'!$A$8)*('Anchor Points'!$B$9-'Anchor Points'!$B$8)))))))</x:f>
        <x:v>62.666666666666664</x:v>
      </x:c>
      <x:c r="D62" s="28" t="n">
        <x:f>IF(A62&lt;=15,'Anchor Points'!$C$2+(A62-'Anchor Points'!$A$2)/('Anchor Points'!$A$3-'Anchor Points'!$A$2)*('Anchor Points'!$C$3-'Anchor Points'!$C$2),IF(A62&lt;=25,'Anchor Points'!$C$3+(A62-'Anchor Points'!$A$3)/('Anchor Points'!$A$4-'Anchor Points'!$A$3)*('Anchor Points'!$C$4-'Anchor Points'!$C$3),IF(A62&lt;=40,'Anchor Points'!$C$4+(A62-'Anchor Points'!$A$4)/('Anchor Points'!$A$5-'Anchor Points'!$A$4)*('Anchor Points'!$C$5-'Anchor Points'!$C$4),IF(A62&lt;=55,'Anchor Points'!$C$5+(A62-'Anchor Points'!$A$5)/('Anchor Points'!$A$6-'Anchor Points'!$A$5)*('Anchor Points'!$C$6-'Anchor Points'!$C$5),IF(A62&lt;=70,'Anchor Points'!$C$6+(A62-'Anchor Points'!$A$6)/('Anchor Points'!$A$7-'Anchor Points'!$A$6)*('Anchor Points'!$C$7-'Anchor Points'!$C$6),IF(A62&lt;=90,'Anchor Points'!$C$7+(A62-'Anchor Points'!$A$7)/('Anchor Points'!$A$8-'Anchor Points'!$A$7)*('Anchor Points'!$C$8-'Anchor Points'!$C$7),'Anchor Points'!$C$8+(A62-'Anchor Points'!$A$8)/('Anchor Points'!$A$9-'Anchor Points'!$A$8)*('Anchor Points'!$C$9-'Anchor Points'!$C$8)))))))</x:f>
        <x:v>51.666666666666664</x:v>
      </x:c>
      <x:c r="E62" s="28" t="n">
        <x:f>IF(A62&lt;=15,'Anchor Points'!$D$2+(A62-'Anchor Points'!$A$2)/('Anchor Points'!$A$3-'Anchor Points'!$A$2)*('Anchor Points'!$D$3-'Anchor Points'!$D$2),IF(A62&lt;=25,'Anchor Points'!$D$3+(A62-'Anchor Points'!$A$3)/('Anchor Points'!$A$4-'Anchor Points'!$A$3)*('Anchor Points'!$D$4-'Anchor Points'!$D$3),IF(A62&lt;=40,'Anchor Points'!$D$4+(A62-'Anchor Points'!$A$4)/('Anchor Points'!$A$5-'Anchor Points'!$A$4)*('Anchor Points'!$D$5-'Anchor Points'!$D$4),IF(A62&lt;=55,'Anchor Points'!$D$5+(A62-'Anchor Points'!$A$5)/('Anchor Points'!$A$6-'Anchor Points'!$A$5)*('Anchor Points'!$D$6-'Anchor Points'!$D$5),IF(A62&lt;=70,'Anchor Points'!$D$6+(A62-'Anchor Points'!$A$6)/('Anchor Points'!$A$7-'Anchor Points'!$A$6)*('Anchor Points'!$D$7-'Anchor Points'!$D$6),IF(A62&lt;=90,'Anchor Points'!$D$7+(A62-'Anchor Points'!$A$7)/('Anchor Points'!$A$8-'Anchor Points'!$A$7)*('Anchor Points'!$D$8-'Anchor Points'!$D$7),'Anchor Points'!$D$8+(A62-'Anchor Points'!$A$8)/('Anchor Points'!$A$9-'Anchor Points'!$A$8)*('Anchor Points'!$D$9-'Anchor Points'!$D$8)))))))</x:f>
        <x:v>8.666666666666666</x:v>
      </x:c>
      <x:c r="F62" s="30" t="n">
        <x:f>ROUND(E62,0)</x:f>
        <x:v>9</x:v>
      </x:c>
      <x:c r="G62" s="28" t="n">
        <x:f>IF(A62&lt;=15,'Anchor Points'!$E$2+(A62-'Anchor Points'!$A$2)/('Anchor Points'!$A$3-'Anchor Points'!$A$2)*('Anchor Points'!$E$3-'Anchor Points'!$E$2),IF(A62&lt;=25,'Anchor Points'!$E$3+(A62-'Anchor Points'!$A$3)/('Anchor Points'!$A$4-'Anchor Points'!$A$3)*('Anchor Points'!$E$4-'Anchor Points'!$E$3),IF(A62&lt;=40,'Anchor Points'!$E$4+(A62-'Anchor Points'!$A$4)/('Anchor Points'!$A$5-'Anchor Points'!$A$4)*('Anchor Points'!$E$5-'Anchor Points'!$E$4),IF(A62&lt;=55,'Anchor Points'!$E$5+(A62-'Anchor Points'!$A$5)/('Anchor Points'!$A$6-'Anchor Points'!$A$5)*('Anchor Points'!$E$6-'Anchor Points'!$E$5),IF(A62&lt;=70,'Anchor Points'!$E$6+(A62-'Anchor Points'!$A$6)/('Anchor Points'!$A$7-'Anchor Points'!$A$6)*('Anchor Points'!$E$7-'Anchor Points'!$E$6),IF(A62&lt;=90,'Anchor Points'!$E$7+(A62-'Anchor Points'!$A$7)/('Anchor Points'!$A$8-'Anchor Points'!$A$7)*('Anchor Points'!$E$8-'Anchor Points'!$E$7),'Anchor Points'!$E$8+(A62-'Anchor Points'!$A$8)/('Anchor Points'!$A$9-'Anchor Points'!$A$8)*('Anchor Points'!$E$9-'Anchor Points'!$E$8)))))))</x:f>
        <x:v>2.333333333333333</x:v>
      </x:c>
      <x:c r="H62" s="30" t="n">
        <x:f>ROUND(G62,0)</x:f>
        <x:v>2</x:v>
      </x:c>
      <x:c r="I62" s="28" t="n">
        <x:f>IF(A62&lt;=15,'Anchor Points'!$F$2+(A62-'Anchor Points'!$A$2)/('Anchor Points'!$A$3-'Anchor Points'!$A$2)*('Anchor Points'!$F$3-'Anchor Points'!$F$2),IF(A62&lt;=25,'Anchor Points'!$F$3+(A62-'Anchor Points'!$A$3)/('Anchor Points'!$A$4-'Anchor Points'!$A$3)*('Anchor Points'!$F$4-'Anchor Points'!$F$3),IF(A62&lt;=40,'Anchor Points'!$F$4+(A62-'Anchor Points'!$A$4)/('Anchor Points'!$A$5-'Anchor Points'!$A$4)*('Anchor Points'!$F$5-'Anchor Points'!$F$4),IF(A62&lt;=55,'Anchor Points'!$F$5+(A62-'Anchor Points'!$A$5)/('Anchor Points'!$A$6-'Anchor Points'!$A$5)*('Anchor Points'!$F$6-'Anchor Points'!$F$5),IF(A62&lt;=70,'Anchor Points'!$F$6+(A62-'Anchor Points'!$A$6)/('Anchor Points'!$A$7-'Anchor Points'!$A$6)*('Anchor Points'!$F$7-'Anchor Points'!$F$6),IF(A62&lt;=90,'Anchor Points'!$F$7+(A62-'Anchor Points'!$A$7)/('Anchor Points'!$A$8-'Anchor Points'!$A$7)*('Anchor Points'!$F$8-'Anchor Points'!$F$7),'Anchor Points'!$F$8+(A62-'Anchor Points'!$A$8)/('Anchor Points'!$A$9-'Anchor Points'!$A$8)*('Anchor Points'!$F$9-'Anchor Points'!$F$8)))))))</x:f>
        <x:v>13.666666666666666</x:v>
      </x:c>
      <x:c r="K62" s="36" t="n">
        <x:f>A38</x:f>
        <x:v>36</x:v>
      </x:c>
      <x:c r="L62" s="36" t="n">
        <x:f>E38</x:f>
        <x:v>1.4666666666666666</x:v>
      </x:c>
      <x:c r="M62" s="36" t="n">
        <x:f>G38</x:f>
        <x:v>0</x:v>
      </x:c>
      <x:c r="N62" s="36" t="n">
        <x:f>I38</x:f>
        <x:v>0</x:v>
      </x:c>
    </x:row>
    <x:row r="63">
      <x:c r="A63" s="30" t="n">
        <x:v>61</x:v>
      </x:c>
      <x:c r="B63" s="11" t="str">
        <x:f>IF(A63&lt;=15,"Seedling",IF(A63&lt;=25,"Establishment",IF(A63&lt;=40,"Vegetative Growth",IF(A63&lt;=55,"Flowering &amp; Initial Fruit Set",IF(A63&lt;=80,"Fruit Enlargement",IF(A63&lt;=95,"Ripening","Harvesting"))))))</x:f>
        <x:v>Fruit Enlargement</x:v>
      </x:c>
      <x:c r="C63" s="28" t="n">
        <x:f>IF(A63&lt;=15,'Anchor Points'!$B$2+(A63-'Anchor Points'!$A$2)/('Anchor Points'!$A$3-'Anchor Points'!$A$2)*('Anchor Points'!$B$3-'Anchor Points'!$B$2),IF(A63&lt;=25,'Anchor Points'!$B$3+(A63-'Anchor Points'!$A$3)/('Anchor Points'!$A$4-'Anchor Points'!$A$3)*('Anchor Points'!$B$4-'Anchor Points'!$B$3),IF(A63&lt;=40,'Anchor Points'!$B$4+(A63-'Anchor Points'!$A$4)/('Anchor Points'!$A$5-'Anchor Points'!$A$4)*('Anchor Points'!$B$5-'Anchor Points'!$B$4),IF(A63&lt;=55,'Anchor Points'!$B$5+(A63-'Anchor Points'!$A$5)/('Anchor Points'!$A$6-'Anchor Points'!$A$5)*('Anchor Points'!$B$6-'Anchor Points'!$B$5),IF(A63&lt;=70,'Anchor Points'!$B$6+(A63-'Anchor Points'!$A$6)/('Anchor Points'!$A$7-'Anchor Points'!$A$6)*('Anchor Points'!$B$7-'Anchor Points'!$B$6),IF(A63&lt;=90,'Anchor Points'!$B$7+(A63-'Anchor Points'!$A$7)/('Anchor Points'!$A$8-'Anchor Points'!$A$7)*('Anchor Points'!$B$8-'Anchor Points'!$B$7),'Anchor Points'!$B$8+(A63-'Anchor Points'!$A$8)/('Anchor Points'!$A$9-'Anchor Points'!$A$8)*('Anchor Points'!$B$9-'Anchor Points'!$B$8)))))))</x:f>
        <x:v>63.6</x:v>
      </x:c>
      <x:c r="D63" s="28" t="n">
        <x:f>IF(A63&lt;=15,'Anchor Points'!$C$2+(A63-'Anchor Points'!$A$2)/('Anchor Points'!$A$3-'Anchor Points'!$A$2)*('Anchor Points'!$C$3-'Anchor Points'!$C$2),IF(A63&lt;=25,'Anchor Points'!$C$3+(A63-'Anchor Points'!$A$3)/('Anchor Points'!$A$4-'Anchor Points'!$A$3)*('Anchor Points'!$C$4-'Anchor Points'!$C$3),IF(A63&lt;=40,'Anchor Points'!$C$4+(A63-'Anchor Points'!$A$4)/('Anchor Points'!$A$5-'Anchor Points'!$A$4)*('Anchor Points'!$C$5-'Anchor Points'!$C$4),IF(A63&lt;=55,'Anchor Points'!$C$5+(A63-'Anchor Points'!$A$5)/('Anchor Points'!$A$6-'Anchor Points'!$A$5)*('Anchor Points'!$C$6-'Anchor Points'!$C$5),IF(A63&lt;=70,'Anchor Points'!$C$6+(A63-'Anchor Points'!$A$6)/('Anchor Points'!$A$7-'Anchor Points'!$A$6)*('Anchor Points'!$C$7-'Anchor Points'!$C$6),IF(A63&lt;=90,'Anchor Points'!$C$7+(A63-'Anchor Points'!$A$7)/('Anchor Points'!$A$8-'Anchor Points'!$A$7)*('Anchor Points'!$C$8-'Anchor Points'!$C$7),'Anchor Points'!$C$8+(A63-'Anchor Points'!$A$8)/('Anchor Points'!$A$9-'Anchor Points'!$A$8)*('Anchor Points'!$C$9-'Anchor Points'!$C$8)))))))</x:f>
        <x:v>53</x:v>
      </x:c>
      <x:c r="E63" s="28" t="n">
        <x:f>IF(A63&lt;=15,'Anchor Points'!$D$2+(A63-'Anchor Points'!$A$2)/('Anchor Points'!$A$3-'Anchor Points'!$A$2)*('Anchor Points'!$D$3-'Anchor Points'!$D$2),IF(A63&lt;=25,'Anchor Points'!$D$3+(A63-'Anchor Points'!$A$3)/('Anchor Points'!$A$4-'Anchor Points'!$A$3)*('Anchor Points'!$D$4-'Anchor Points'!$D$3),IF(A63&lt;=40,'Anchor Points'!$D$4+(A63-'Anchor Points'!$A$4)/('Anchor Points'!$A$5-'Anchor Points'!$A$4)*('Anchor Points'!$D$5-'Anchor Points'!$D$4),IF(A63&lt;=55,'Anchor Points'!$D$5+(A63-'Anchor Points'!$A$5)/('Anchor Points'!$A$6-'Anchor Points'!$A$5)*('Anchor Points'!$D$6-'Anchor Points'!$D$5),IF(A63&lt;=70,'Anchor Points'!$D$6+(A63-'Anchor Points'!$A$6)/('Anchor Points'!$A$7-'Anchor Points'!$A$6)*('Anchor Points'!$D$7-'Anchor Points'!$D$6),IF(A63&lt;=90,'Anchor Points'!$D$7+(A63-'Anchor Points'!$A$7)/('Anchor Points'!$A$8-'Anchor Points'!$A$7)*('Anchor Points'!$D$8-'Anchor Points'!$D$7),'Anchor Points'!$D$8+(A63-'Anchor Points'!$A$8)/('Anchor Points'!$A$9-'Anchor Points'!$A$8)*('Anchor Points'!$D$9-'Anchor Points'!$D$8)))))))</x:f>
        <x:v>9</x:v>
      </x:c>
      <x:c r="F63" s="30" t="n">
        <x:f>ROUND(E63,0)</x:f>
        <x:v>9</x:v>
      </x:c>
      <x:c r="G63" s="28" t="n">
        <x:f>IF(A63&lt;=15,'Anchor Points'!$E$2+(A63-'Anchor Points'!$A$2)/('Anchor Points'!$A$3-'Anchor Points'!$A$2)*('Anchor Points'!$E$3-'Anchor Points'!$E$2),IF(A63&lt;=25,'Anchor Points'!$E$3+(A63-'Anchor Points'!$A$3)/('Anchor Points'!$A$4-'Anchor Points'!$A$3)*('Anchor Points'!$E$4-'Anchor Points'!$E$3),IF(A63&lt;=40,'Anchor Points'!$E$4+(A63-'Anchor Points'!$A$4)/('Anchor Points'!$A$5-'Anchor Points'!$A$4)*('Anchor Points'!$E$5-'Anchor Points'!$E$4),IF(A63&lt;=55,'Anchor Points'!$E$5+(A63-'Anchor Points'!$A$5)/('Anchor Points'!$A$6-'Anchor Points'!$A$5)*('Anchor Points'!$E$6-'Anchor Points'!$E$5),IF(A63&lt;=70,'Anchor Points'!$E$6+(A63-'Anchor Points'!$A$6)/('Anchor Points'!$A$7-'Anchor Points'!$A$6)*('Anchor Points'!$E$7-'Anchor Points'!$E$6),IF(A63&lt;=90,'Anchor Points'!$E$7+(A63-'Anchor Points'!$A$7)/('Anchor Points'!$A$8-'Anchor Points'!$A$7)*('Anchor Points'!$E$8-'Anchor Points'!$E$7),'Anchor Points'!$E$8+(A63-'Anchor Points'!$A$8)/('Anchor Points'!$A$9-'Anchor Points'!$A$8)*('Anchor Points'!$E$9-'Anchor Points'!$E$8)))))))</x:f>
        <x:v>2.6</x:v>
      </x:c>
      <x:c r="H63" s="30" t="n">
        <x:f>ROUND(G63,0)</x:f>
        <x:v>3</x:v>
      </x:c>
      <x:c r="I63" s="28" t="n">
        <x:f>IF(A63&lt;=15,'Anchor Points'!$F$2+(A63-'Anchor Points'!$A$2)/('Anchor Points'!$A$3-'Anchor Points'!$A$2)*('Anchor Points'!$F$3-'Anchor Points'!$F$2),IF(A63&lt;=25,'Anchor Points'!$F$3+(A63-'Anchor Points'!$A$3)/('Anchor Points'!$A$4-'Anchor Points'!$A$3)*('Anchor Points'!$F$4-'Anchor Points'!$F$3),IF(A63&lt;=40,'Anchor Points'!$F$4+(A63-'Anchor Points'!$A$4)/('Anchor Points'!$A$5-'Anchor Points'!$A$4)*('Anchor Points'!$F$5-'Anchor Points'!$F$4),IF(A63&lt;=55,'Anchor Points'!$F$5+(A63-'Anchor Points'!$A$5)/('Anchor Points'!$A$6-'Anchor Points'!$A$5)*('Anchor Points'!$F$6-'Anchor Points'!$F$5),IF(A63&lt;=70,'Anchor Points'!$F$6+(A63-'Anchor Points'!$A$6)/('Anchor Points'!$A$7-'Anchor Points'!$A$6)*('Anchor Points'!$F$7-'Anchor Points'!$F$6),IF(A63&lt;=90,'Anchor Points'!$F$7+(A63-'Anchor Points'!$A$7)/('Anchor Points'!$A$8-'Anchor Points'!$A$7)*('Anchor Points'!$F$8-'Anchor Points'!$F$7),'Anchor Points'!$F$8+(A63-'Anchor Points'!$A$8)/('Anchor Points'!$A$9-'Anchor Points'!$A$8)*('Anchor Points'!$F$9-'Anchor Points'!$F$8)))))))</x:f>
        <x:v>14.8</x:v>
      </x:c>
      <x:c r="K63" s="36" t="n">
        <x:f>A39</x:f>
        <x:v>37</x:v>
      </x:c>
      <x:c r="L63" s="36" t="n">
        <x:f>E39</x:f>
        <x:v>1.6</x:v>
      </x:c>
      <x:c r="M63" s="36" t="n">
        <x:f>G39</x:f>
        <x:v>0</x:v>
      </x:c>
      <x:c r="N63" s="36" t="n">
        <x:f>I39</x:f>
        <x:v>0</x:v>
      </x:c>
    </x:row>
    <x:row r="64">
      <x:c r="A64" s="30" t="n">
        <x:v>62</x:v>
      </x:c>
      <x:c r="B64" s="11" t="str">
        <x:f>IF(A64&lt;=15,"Seedling",IF(A64&lt;=25,"Establishment",IF(A64&lt;=40,"Vegetative Growth",IF(A64&lt;=55,"Flowering &amp; Initial Fruit Set",IF(A64&lt;=80,"Fruit Enlargement",IF(A64&lt;=95,"Ripening","Harvesting"))))))</x:f>
        <x:v>Fruit Enlargement</x:v>
      </x:c>
      <x:c r="C64" s="28" t="n">
        <x:f>IF(A64&lt;=15,'Anchor Points'!$B$2+(A64-'Anchor Points'!$A$2)/('Anchor Points'!$A$3-'Anchor Points'!$A$2)*('Anchor Points'!$B$3-'Anchor Points'!$B$2),IF(A64&lt;=25,'Anchor Points'!$B$3+(A64-'Anchor Points'!$A$3)/('Anchor Points'!$A$4-'Anchor Points'!$A$3)*('Anchor Points'!$B$4-'Anchor Points'!$B$3),IF(A64&lt;=40,'Anchor Points'!$B$4+(A64-'Anchor Points'!$A$4)/('Anchor Points'!$A$5-'Anchor Points'!$A$4)*('Anchor Points'!$B$5-'Anchor Points'!$B$4),IF(A64&lt;=55,'Anchor Points'!$B$5+(A64-'Anchor Points'!$A$5)/('Anchor Points'!$A$6-'Anchor Points'!$A$5)*('Anchor Points'!$B$6-'Anchor Points'!$B$5),IF(A64&lt;=70,'Anchor Points'!$B$6+(A64-'Anchor Points'!$A$6)/('Anchor Points'!$A$7-'Anchor Points'!$A$6)*('Anchor Points'!$B$7-'Anchor Points'!$B$6),IF(A64&lt;=90,'Anchor Points'!$B$7+(A64-'Anchor Points'!$A$7)/('Anchor Points'!$A$8-'Anchor Points'!$A$7)*('Anchor Points'!$B$8-'Anchor Points'!$B$7),'Anchor Points'!$B$8+(A64-'Anchor Points'!$A$8)/('Anchor Points'!$A$9-'Anchor Points'!$A$8)*('Anchor Points'!$B$9-'Anchor Points'!$B$8)))))))</x:f>
        <x:v>64.53333333333333</x:v>
      </x:c>
      <x:c r="D64" s="28" t="n">
        <x:f>IF(A64&lt;=15,'Anchor Points'!$C$2+(A64-'Anchor Points'!$A$2)/('Anchor Points'!$A$3-'Anchor Points'!$A$2)*('Anchor Points'!$C$3-'Anchor Points'!$C$2),IF(A64&lt;=25,'Anchor Points'!$C$3+(A64-'Anchor Points'!$A$3)/('Anchor Points'!$A$4-'Anchor Points'!$A$3)*('Anchor Points'!$C$4-'Anchor Points'!$C$3),IF(A64&lt;=40,'Anchor Points'!$C$4+(A64-'Anchor Points'!$A$4)/('Anchor Points'!$A$5-'Anchor Points'!$A$4)*('Anchor Points'!$C$5-'Anchor Points'!$C$4),IF(A64&lt;=55,'Anchor Points'!$C$5+(A64-'Anchor Points'!$A$5)/('Anchor Points'!$A$6-'Anchor Points'!$A$5)*('Anchor Points'!$C$6-'Anchor Points'!$C$5),IF(A64&lt;=70,'Anchor Points'!$C$6+(A64-'Anchor Points'!$A$6)/('Anchor Points'!$A$7-'Anchor Points'!$A$6)*('Anchor Points'!$C$7-'Anchor Points'!$C$6),IF(A64&lt;=90,'Anchor Points'!$C$7+(A64-'Anchor Points'!$A$7)/('Anchor Points'!$A$8-'Anchor Points'!$A$7)*('Anchor Points'!$C$8-'Anchor Points'!$C$7),'Anchor Points'!$C$8+(A64-'Anchor Points'!$A$8)/('Anchor Points'!$A$9-'Anchor Points'!$A$8)*('Anchor Points'!$C$9-'Anchor Points'!$C$8)))))))</x:f>
        <x:v>54.333333333333336</x:v>
      </x:c>
      <x:c r="E64" s="28" t="n">
        <x:f>IF(A64&lt;=15,'Anchor Points'!$D$2+(A64-'Anchor Points'!$A$2)/('Anchor Points'!$A$3-'Anchor Points'!$A$2)*('Anchor Points'!$D$3-'Anchor Points'!$D$2),IF(A64&lt;=25,'Anchor Points'!$D$3+(A64-'Anchor Points'!$A$3)/('Anchor Points'!$A$4-'Anchor Points'!$A$3)*('Anchor Points'!$D$4-'Anchor Points'!$D$3),IF(A64&lt;=40,'Anchor Points'!$D$4+(A64-'Anchor Points'!$A$4)/('Anchor Points'!$A$5-'Anchor Points'!$A$4)*('Anchor Points'!$D$5-'Anchor Points'!$D$4),IF(A64&lt;=55,'Anchor Points'!$D$5+(A64-'Anchor Points'!$A$5)/('Anchor Points'!$A$6-'Anchor Points'!$A$5)*('Anchor Points'!$D$6-'Anchor Points'!$D$5),IF(A64&lt;=70,'Anchor Points'!$D$6+(A64-'Anchor Points'!$A$6)/('Anchor Points'!$A$7-'Anchor Points'!$A$6)*('Anchor Points'!$D$7-'Anchor Points'!$D$6),IF(A64&lt;=90,'Anchor Points'!$D$7+(A64-'Anchor Points'!$A$7)/('Anchor Points'!$A$8-'Anchor Points'!$A$7)*('Anchor Points'!$D$8-'Anchor Points'!$D$7),'Anchor Points'!$D$8+(A64-'Anchor Points'!$A$8)/('Anchor Points'!$A$9-'Anchor Points'!$A$8)*('Anchor Points'!$D$9-'Anchor Points'!$D$8)))))))</x:f>
        <x:v>9.333333333333334</x:v>
      </x:c>
      <x:c r="F64" s="30" t="n">
        <x:f>ROUND(E64,0)</x:f>
        <x:v>9</x:v>
      </x:c>
      <x:c r="G64" s="28" t="n">
        <x:f>IF(A64&lt;=15,'Anchor Points'!$E$2+(A64-'Anchor Points'!$A$2)/('Anchor Points'!$A$3-'Anchor Points'!$A$2)*('Anchor Points'!$E$3-'Anchor Points'!$E$2),IF(A64&lt;=25,'Anchor Points'!$E$3+(A64-'Anchor Points'!$A$3)/('Anchor Points'!$A$4-'Anchor Points'!$A$3)*('Anchor Points'!$E$4-'Anchor Points'!$E$3),IF(A64&lt;=40,'Anchor Points'!$E$4+(A64-'Anchor Points'!$A$4)/('Anchor Points'!$A$5-'Anchor Points'!$A$4)*('Anchor Points'!$E$5-'Anchor Points'!$E$4),IF(A64&lt;=55,'Anchor Points'!$E$5+(A64-'Anchor Points'!$A$5)/('Anchor Points'!$A$6-'Anchor Points'!$A$5)*('Anchor Points'!$E$6-'Anchor Points'!$E$5),IF(A64&lt;=70,'Anchor Points'!$E$6+(A64-'Anchor Points'!$A$6)/('Anchor Points'!$A$7-'Anchor Points'!$A$6)*('Anchor Points'!$E$7-'Anchor Points'!$E$6),IF(A64&lt;=90,'Anchor Points'!$E$7+(A64-'Anchor Points'!$A$7)/('Anchor Points'!$A$8-'Anchor Points'!$A$7)*('Anchor Points'!$E$8-'Anchor Points'!$E$7),'Anchor Points'!$E$8+(A64-'Anchor Points'!$A$8)/('Anchor Points'!$A$9-'Anchor Points'!$A$8)*('Anchor Points'!$E$9-'Anchor Points'!$E$8)))))))</x:f>
        <x:v>2.8666666666666667</x:v>
      </x:c>
      <x:c r="H64" s="30" t="n">
        <x:f>ROUND(G64,0)</x:f>
        <x:v>3</x:v>
      </x:c>
      <x:c r="I64" s="28" t="n">
        <x:f>IF(A64&lt;=15,'Anchor Points'!$F$2+(A64-'Anchor Points'!$A$2)/('Anchor Points'!$A$3-'Anchor Points'!$A$2)*('Anchor Points'!$F$3-'Anchor Points'!$F$2),IF(A64&lt;=25,'Anchor Points'!$F$3+(A64-'Anchor Points'!$A$3)/('Anchor Points'!$A$4-'Anchor Points'!$A$3)*('Anchor Points'!$F$4-'Anchor Points'!$F$3),IF(A64&lt;=40,'Anchor Points'!$F$4+(A64-'Anchor Points'!$A$4)/('Anchor Points'!$A$5-'Anchor Points'!$A$4)*('Anchor Points'!$F$5-'Anchor Points'!$F$4),IF(A64&lt;=55,'Anchor Points'!$F$5+(A64-'Anchor Points'!$A$5)/('Anchor Points'!$A$6-'Anchor Points'!$A$5)*('Anchor Points'!$F$6-'Anchor Points'!$F$5),IF(A64&lt;=70,'Anchor Points'!$F$6+(A64-'Anchor Points'!$A$6)/('Anchor Points'!$A$7-'Anchor Points'!$A$6)*('Anchor Points'!$F$7-'Anchor Points'!$F$6),IF(A64&lt;=90,'Anchor Points'!$F$7+(A64-'Anchor Points'!$A$7)/('Anchor Points'!$A$8-'Anchor Points'!$A$7)*('Anchor Points'!$F$8-'Anchor Points'!$F$7),'Anchor Points'!$F$8+(A64-'Anchor Points'!$A$8)/('Anchor Points'!$A$9-'Anchor Points'!$A$8)*('Anchor Points'!$F$9-'Anchor Points'!$F$8)))))))</x:f>
        <x:v>15.933333333333334</x:v>
      </x:c>
      <x:c r="K64" s="36" t="n">
        <x:f>A40</x:f>
        <x:v>38</x:v>
      </x:c>
      <x:c r="L64" s="36" t="n">
        <x:f>E40</x:f>
        <x:v>1.7333333333333334</x:v>
      </x:c>
      <x:c r="M64" s="36" t="n">
        <x:f>G40</x:f>
        <x:v>0</x:v>
      </x:c>
      <x:c r="N64" s="36" t="n">
        <x:f>I40</x:f>
        <x:v>0</x:v>
      </x:c>
    </x:row>
    <x:row r="65">
      <x:c r="A65" s="30" t="n">
        <x:v>63</x:v>
      </x:c>
      <x:c r="B65" s="11" t="str">
        <x:f>IF(A65&lt;=15,"Seedling",IF(A65&lt;=25,"Establishment",IF(A65&lt;=40,"Vegetative Growth",IF(A65&lt;=55,"Flowering &amp; Initial Fruit Set",IF(A65&lt;=80,"Fruit Enlargement",IF(A65&lt;=95,"Ripening","Harvesting"))))))</x:f>
        <x:v>Fruit Enlargement</x:v>
      </x:c>
      <x:c r="C65" s="28" t="n">
        <x:f>IF(A65&lt;=15,'Anchor Points'!$B$2+(A65-'Anchor Points'!$A$2)/('Anchor Points'!$A$3-'Anchor Points'!$A$2)*('Anchor Points'!$B$3-'Anchor Points'!$B$2),IF(A65&lt;=25,'Anchor Points'!$B$3+(A65-'Anchor Points'!$A$3)/('Anchor Points'!$A$4-'Anchor Points'!$A$3)*('Anchor Points'!$B$4-'Anchor Points'!$B$3),IF(A65&lt;=40,'Anchor Points'!$B$4+(A65-'Anchor Points'!$A$4)/('Anchor Points'!$A$5-'Anchor Points'!$A$4)*('Anchor Points'!$B$5-'Anchor Points'!$B$4),IF(A65&lt;=55,'Anchor Points'!$B$5+(A65-'Anchor Points'!$A$5)/('Anchor Points'!$A$6-'Anchor Points'!$A$5)*('Anchor Points'!$B$6-'Anchor Points'!$B$5),IF(A65&lt;=70,'Anchor Points'!$B$6+(A65-'Anchor Points'!$A$6)/('Anchor Points'!$A$7-'Anchor Points'!$A$6)*('Anchor Points'!$B$7-'Anchor Points'!$B$6),IF(A65&lt;=90,'Anchor Points'!$B$7+(A65-'Anchor Points'!$A$7)/('Anchor Points'!$A$8-'Anchor Points'!$A$7)*('Anchor Points'!$B$8-'Anchor Points'!$B$7),'Anchor Points'!$B$8+(A65-'Anchor Points'!$A$8)/('Anchor Points'!$A$9-'Anchor Points'!$A$8)*('Anchor Points'!$B$9-'Anchor Points'!$B$8)))))))</x:f>
        <x:v>65.46666666666667</x:v>
      </x:c>
      <x:c r="D65" s="28" t="n">
        <x:f>IF(A65&lt;=15,'Anchor Points'!$C$2+(A65-'Anchor Points'!$A$2)/('Anchor Points'!$A$3-'Anchor Points'!$A$2)*('Anchor Points'!$C$3-'Anchor Points'!$C$2),IF(A65&lt;=25,'Anchor Points'!$C$3+(A65-'Anchor Points'!$A$3)/('Anchor Points'!$A$4-'Anchor Points'!$A$3)*('Anchor Points'!$C$4-'Anchor Points'!$C$3),IF(A65&lt;=40,'Anchor Points'!$C$4+(A65-'Anchor Points'!$A$4)/('Anchor Points'!$A$5-'Anchor Points'!$A$4)*('Anchor Points'!$C$5-'Anchor Points'!$C$4),IF(A65&lt;=55,'Anchor Points'!$C$5+(A65-'Anchor Points'!$A$5)/('Anchor Points'!$A$6-'Anchor Points'!$A$5)*('Anchor Points'!$C$6-'Anchor Points'!$C$5),IF(A65&lt;=70,'Anchor Points'!$C$6+(A65-'Anchor Points'!$A$6)/('Anchor Points'!$A$7-'Anchor Points'!$A$6)*('Anchor Points'!$C$7-'Anchor Points'!$C$6),IF(A65&lt;=90,'Anchor Points'!$C$7+(A65-'Anchor Points'!$A$7)/('Anchor Points'!$A$8-'Anchor Points'!$A$7)*('Anchor Points'!$C$8-'Anchor Points'!$C$7),'Anchor Points'!$C$8+(A65-'Anchor Points'!$A$8)/('Anchor Points'!$A$9-'Anchor Points'!$A$8)*('Anchor Points'!$C$9-'Anchor Points'!$C$8)))))))</x:f>
        <x:v>55.666666666666664</x:v>
      </x:c>
      <x:c r="E65" s="28" t="n">
        <x:f>IF(A65&lt;=15,'Anchor Points'!$D$2+(A65-'Anchor Points'!$A$2)/('Anchor Points'!$A$3-'Anchor Points'!$A$2)*('Anchor Points'!$D$3-'Anchor Points'!$D$2),IF(A65&lt;=25,'Anchor Points'!$D$3+(A65-'Anchor Points'!$A$3)/('Anchor Points'!$A$4-'Anchor Points'!$A$3)*('Anchor Points'!$D$4-'Anchor Points'!$D$3),IF(A65&lt;=40,'Anchor Points'!$D$4+(A65-'Anchor Points'!$A$4)/('Anchor Points'!$A$5-'Anchor Points'!$A$4)*('Anchor Points'!$D$5-'Anchor Points'!$D$4),IF(A65&lt;=55,'Anchor Points'!$D$5+(A65-'Anchor Points'!$A$5)/('Anchor Points'!$A$6-'Anchor Points'!$A$5)*('Anchor Points'!$D$6-'Anchor Points'!$D$5),IF(A65&lt;=70,'Anchor Points'!$D$6+(A65-'Anchor Points'!$A$6)/('Anchor Points'!$A$7-'Anchor Points'!$A$6)*('Anchor Points'!$D$7-'Anchor Points'!$D$6),IF(A65&lt;=90,'Anchor Points'!$D$7+(A65-'Anchor Points'!$A$7)/('Anchor Points'!$A$8-'Anchor Points'!$A$7)*('Anchor Points'!$D$8-'Anchor Points'!$D$7),'Anchor Points'!$D$8+(A65-'Anchor Points'!$A$8)/('Anchor Points'!$A$9-'Anchor Points'!$A$8)*('Anchor Points'!$D$9-'Anchor Points'!$D$8)))))))</x:f>
        <x:v>9.666666666666666</x:v>
      </x:c>
      <x:c r="F65" s="30" t="n">
        <x:f>ROUND(E65,0)</x:f>
        <x:v>10</x:v>
      </x:c>
      <x:c r="G65" s="28" t="n">
        <x:f>IF(A65&lt;=15,'Anchor Points'!$E$2+(A65-'Anchor Points'!$A$2)/('Anchor Points'!$A$3-'Anchor Points'!$A$2)*('Anchor Points'!$E$3-'Anchor Points'!$E$2),IF(A65&lt;=25,'Anchor Points'!$E$3+(A65-'Anchor Points'!$A$3)/('Anchor Points'!$A$4-'Anchor Points'!$A$3)*('Anchor Points'!$E$4-'Anchor Points'!$E$3),IF(A65&lt;=40,'Anchor Points'!$E$4+(A65-'Anchor Points'!$A$4)/('Anchor Points'!$A$5-'Anchor Points'!$A$4)*('Anchor Points'!$E$5-'Anchor Points'!$E$4),IF(A65&lt;=55,'Anchor Points'!$E$5+(A65-'Anchor Points'!$A$5)/('Anchor Points'!$A$6-'Anchor Points'!$A$5)*('Anchor Points'!$E$6-'Anchor Points'!$E$5),IF(A65&lt;=70,'Anchor Points'!$E$6+(A65-'Anchor Points'!$A$6)/('Anchor Points'!$A$7-'Anchor Points'!$A$6)*('Anchor Points'!$E$7-'Anchor Points'!$E$6),IF(A65&lt;=90,'Anchor Points'!$E$7+(A65-'Anchor Points'!$A$7)/('Anchor Points'!$A$8-'Anchor Points'!$A$7)*('Anchor Points'!$E$8-'Anchor Points'!$E$7),'Anchor Points'!$E$8+(A65-'Anchor Points'!$A$8)/('Anchor Points'!$A$9-'Anchor Points'!$A$8)*('Anchor Points'!$E$9-'Anchor Points'!$E$8)))))))</x:f>
        <x:v>3.1333333333333333</x:v>
      </x:c>
      <x:c r="H65" s="30" t="n">
        <x:f>ROUND(G65,0)</x:f>
        <x:v>3</x:v>
      </x:c>
      <x:c r="I65" s="28" t="n">
        <x:f>IF(A65&lt;=15,'Anchor Points'!$F$2+(A65-'Anchor Points'!$A$2)/('Anchor Points'!$A$3-'Anchor Points'!$A$2)*('Anchor Points'!$F$3-'Anchor Points'!$F$2),IF(A65&lt;=25,'Anchor Points'!$F$3+(A65-'Anchor Points'!$A$3)/('Anchor Points'!$A$4-'Anchor Points'!$A$3)*('Anchor Points'!$F$4-'Anchor Points'!$F$3),IF(A65&lt;=40,'Anchor Points'!$F$4+(A65-'Anchor Points'!$A$4)/('Anchor Points'!$A$5-'Anchor Points'!$A$4)*('Anchor Points'!$F$5-'Anchor Points'!$F$4),IF(A65&lt;=55,'Anchor Points'!$F$5+(A65-'Anchor Points'!$A$5)/('Anchor Points'!$A$6-'Anchor Points'!$A$5)*('Anchor Points'!$F$6-'Anchor Points'!$F$5),IF(A65&lt;=70,'Anchor Points'!$F$6+(A65-'Anchor Points'!$A$6)/('Anchor Points'!$A$7-'Anchor Points'!$A$6)*('Anchor Points'!$F$7-'Anchor Points'!$F$6),IF(A65&lt;=90,'Anchor Points'!$F$7+(A65-'Anchor Points'!$A$7)/('Anchor Points'!$A$8-'Anchor Points'!$A$7)*('Anchor Points'!$F$8-'Anchor Points'!$F$7),'Anchor Points'!$F$8+(A65-'Anchor Points'!$A$8)/('Anchor Points'!$A$9-'Anchor Points'!$A$8)*('Anchor Points'!$F$9-'Anchor Points'!$F$8)))))))</x:f>
        <x:v>17.066666666666666</x:v>
      </x:c>
      <x:c r="K65" s="36" t="n">
        <x:f>A41</x:f>
        <x:v>39</x:v>
      </x:c>
      <x:c r="L65" s="36" t="n">
        <x:f>E41</x:f>
        <x:v>1.8666666666666667</x:v>
      </x:c>
      <x:c r="M65" s="36" t="n">
        <x:f>G41</x:f>
        <x:v>0</x:v>
      </x:c>
      <x:c r="N65" s="36" t="n">
        <x:f>I41</x:f>
        <x:v>0</x:v>
      </x:c>
    </x:row>
    <x:row r="66">
      <x:c r="A66" s="30" t="n">
        <x:v>64</x:v>
      </x:c>
      <x:c r="B66" s="11" t="str">
        <x:f>IF(A66&lt;=15,"Seedling",IF(A66&lt;=25,"Establishment",IF(A66&lt;=40,"Vegetative Growth",IF(A66&lt;=55,"Flowering &amp; Initial Fruit Set",IF(A66&lt;=80,"Fruit Enlargement",IF(A66&lt;=95,"Ripening","Harvesting"))))))</x:f>
        <x:v>Fruit Enlargement</x:v>
      </x:c>
      <x:c r="C66" s="28" t="n">
        <x:f>IF(A66&lt;=15,'Anchor Points'!$B$2+(A66-'Anchor Points'!$A$2)/('Anchor Points'!$A$3-'Anchor Points'!$A$2)*('Anchor Points'!$B$3-'Anchor Points'!$B$2),IF(A66&lt;=25,'Anchor Points'!$B$3+(A66-'Anchor Points'!$A$3)/('Anchor Points'!$A$4-'Anchor Points'!$A$3)*('Anchor Points'!$B$4-'Anchor Points'!$B$3),IF(A66&lt;=40,'Anchor Points'!$B$4+(A66-'Anchor Points'!$A$4)/('Anchor Points'!$A$5-'Anchor Points'!$A$4)*('Anchor Points'!$B$5-'Anchor Points'!$B$4),IF(A66&lt;=55,'Anchor Points'!$B$5+(A66-'Anchor Points'!$A$5)/('Anchor Points'!$A$6-'Anchor Points'!$A$5)*('Anchor Points'!$B$6-'Anchor Points'!$B$5),IF(A66&lt;=70,'Anchor Points'!$B$6+(A66-'Anchor Points'!$A$6)/('Anchor Points'!$A$7-'Anchor Points'!$A$6)*('Anchor Points'!$B$7-'Anchor Points'!$B$6),IF(A66&lt;=90,'Anchor Points'!$B$7+(A66-'Anchor Points'!$A$7)/('Anchor Points'!$A$8-'Anchor Points'!$A$7)*('Anchor Points'!$B$8-'Anchor Points'!$B$7),'Anchor Points'!$B$8+(A66-'Anchor Points'!$A$8)/('Anchor Points'!$A$9-'Anchor Points'!$A$8)*('Anchor Points'!$B$9-'Anchor Points'!$B$8)))))))</x:f>
        <x:v>66.4</x:v>
      </x:c>
      <x:c r="D66" s="28" t="n">
        <x:f>IF(A66&lt;=15,'Anchor Points'!$C$2+(A66-'Anchor Points'!$A$2)/('Anchor Points'!$A$3-'Anchor Points'!$A$2)*('Anchor Points'!$C$3-'Anchor Points'!$C$2),IF(A66&lt;=25,'Anchor Points'!$C$3+(A66-'Anchor Points'!$A$3)/('Anchor Points'!$A$4-'Anchor Points'!$A$3)*('Anchor Points'!$C$4-'Anchor Points'!$C$3),IF(A66&lt;=40,'Anchor Points'!$C$4+(A66-'Anchor Points'!$A$4)/('Anchor Points'!$A$5-'Anchor Points'!$A$4)*('Anchor Points'!$C$5-'Anchor Points'!$C$4),IF(A66&lt;=55,'Anchor Points'!$C$5+(A66-'Anchor Points'!$A$5)/('Anchor Points'!$A$6-'Anchor Points'!$A$5)*('Anchor Points'!$C$6-'Anchor Points'!$C$5),IF(A66&lt;=70,'Anchor Points'!$C$6+(A66-'Anchor Points'!$A$6)/('Anchor Points'!$A$7-'Anchor Points'!$A$6)*('Anchor Points'!$C$7-'Anchor Points'!$C$6),IF(A66&lt;=90,'Anchor Points'!$C$7+(A66-'Anchor Points'!$A$7)/('Anchor Points'!$A$8-'Anchor Points'!$A$7)*('Anchor Points'!$C$8-'Anchor Points'!$C$7),'Anchor Points'!$C$8+(A66-'Anchor Points'!$A$8)/('Anchor Points'!$A$9-'Anchor Points'!$A$8)*('Anchor Points'!$C$9-'Anchor Points'!$C$8)))))))</x:f>
        <x:v>57</x:v>
      </x:c>
      <x:c r="E66" s="28" t="n">
        <x:f>IF(A66&lt;=15,'Anchor Points'!$D$2+(A66-'Anchor Points'!$A$2)/('Anchor Points'!$A$3-'Anchor Points'!$A$2)*('Anchor Points'!$D$3-'Anchor Points'!$D$2),IF(A66&lt;=25,'Anchor Points'!$D$3+(A66-'Anchor Points'!$A$3)/('Anchor Points'!$A$4-'Anchor Points'!$A$3)*('Anchor Points'!$D$4-'Anchor Points'!$D$3),IF(A66&lt;=40,'Anchor Points'!$D$4+(A66-'Anchor Points'!$A$4)/('Anchor Points'!$A$5-'Anchor Points'!$A$4)*('Anchor Points'!$D$5-'Anchor Points'!$D$4),IF(A66&lt;=55,'Anchor Points'!$D$5+(A66-'Anchor Points'!$A$5)/('Anchor Points'!$A$6-'Anchor Points'!$A$5)*('Anchor Points'!$D$6-'Anchor Points'!$D$5),IF(A66&lt;=70,'Anchor Points'!$D$6+(A66-'Anchor Points'!$A$6)/('Anchor Points'!$A$7-'Anchor Points'!$A$6)*('Anchor Points'!$D$7-'Anchor Points'!$D$6),IF(A66&lt;=90,'Anchor Points'!$D$7+(A66-'Anchor Points'!$A$7)/('Anchor Points'!$A$8-'Anchor Points'!$A$7)*('Anchor Points'!$D$8-'Anchor Points'!$D$7),'Anchor Points'!$D$8+(A66-'Anchor Points'!$A$8)/('Anchor Points'!$A$9-'Anchor Points'!$A$8)*('Anchor Points'!$D$9-'Anchor Points'!$D$8)))))))</x:f>
        <x:v>10</x:v>
      </x:c>
      <x:c r="F66" s="30" t="n">
        <x:f>ROUND(E66,0)</x:f>
        <x:v>10</x:v>
      </x:c>
      <x:c r="G66" s="28" t="n">
        <x:f>IF(A66&lt;=15,'Anchor Points'!$E$2+(A66-'Anchor Points'!$A$2)/('Anchor Points'!$A$3-'Anchor Points'!$A$2)*('Anchor Points'!$E$3-'Anchor Points'!$E$2),IF(A66&lt;=25,'Anchor Points'!$E$3+(A66-'Anchor Points'!$A$3)/('Anchor Points'!$A$4-'Anchor Points'!$A$3)*('Anchor Points'!$E$4-'Anchor Points'!$E$3),IF(A66&lt;=40,'Anchor Points'!$E$4+(A66-'Anchor Points'!$A$4)/('Anchor Points'!$A$5-'Anchor Points'!$A$4)*('Anchor Points'!$E$5-'Anchor Points'!$E$4),IF(A66&lt;=55,'Anchor Points'!$E$5+(A66-'Anchor Points'!$A$5)/('Anchor Points'!$A$6-'Anchor Points'!$A$5)*('Anchor Points'!$E$6-'Anchor Points'!$E$5),IF(A66&lt;=70,'Anchor Points'!$E$6+(A66-'Anchor Points'!$A$6)/('Anchor Points'!$A$7-'Anchor Points'!$A$6)*('Anchor Points'!$E$7-'Anchor Points'!$E$6),IF(A66&lt;=90,'Anchor Points'!$E$7+(A66-'Anchor Points'!$A$7)/('Anchor Points'!$A$8-'Anchor Points'!$A$7)*('Anchor Points'!$E$8-'Anchor Points'!$E$7),'Anchor Points'!$E$8+(A66-'Anchor Points'!$A$8)/('Anchor Points'!$A$9-'Anchor Points'!$A$8)*('Anchor Points'!$E$9-'Anchor Points'!$E$8)))))))</x:f>
        <x:v>3.4</x:v>
      </x:c>
      <x:c r="H66" s="30" t="n">
        <x:f>ROUND(G66,0)</x:f>
        <x:v>3</x:v>
      </x:c>
      <x:c r="I66" s="28" t="n">
        <x:f>IF(A66&lt;=15,'Anchor Points'!$F$2+(A66-'Anchor Points'!$A$2)/('Anchor Points'!$A$3-'Anchor Points'!$A$2)*('Anchor Points'!$F$3-'Anchor Points'!$F$2),IF(A66&lt;=25,'Anchor Points'!$F$3+(A66-'Anchor Points'!$A$3)/('Anchor Points'!$A$4-'Anchor Points'!$A$3)*('Anchor Points'!$F$4-'Anchor Points'!$F$3),IF(A66&lt;=40,'Anchor Points'!$F$4+(A66-'Anchor Points'!$A$4)/('Anchor Points'!$A$5-'Anchor Points'!$A$4)*('Anchor Points'!$F$5-'Anchor Points'!$F$4),IF(A66&lt;=55,'Anchor Points'!$F$5+(A66-'Anchor Points'!$A$5)/('Anchor Points'!$A$6-'Anchor Points'!$A$5)*('Anchor Points'!$F$6-'Anchor Points'!$F$5),IF(A66&lt;=70,'Anchor Points'!$F$6+(A66-'Anchor Points'!$A$6)/('Anchor Points'!$A$7-'Anchor Points'!$A$6)*('Anchor Points'!$F$7-'Anchor Points'!$F$6),IF(A66&lt;=90,'Anchor Points'!$F$7+(A66-'Anchor Points'!$A$7)/('Anchor Points'!$A$8-'Anchor Points'!$A$7)*('Anchor Points'!$F$8-'Anchor Points'!$F$7),'Anchor Points'!$F$8+(A66-'Anchor Points'!$A$8)/('Anchor Points'!$A$9-'Anchor Points'!$A$8)*('Anchor Points'!$F$9-'Anchor Points'!$F$8)))))))</x:f>
        <x:v>18.2</x:v>
      </x:c>
      <x:c r="K66" s="36" t="n">
        <x:f>A42</x:f>
        <x:v>40</x:v>
      </x:c>
      <x:c r="L66" s="36" t="n">
        <x:f>E42</x:f>
        <x:v>2</x:v>
      </x:c>
      <x:c r="M66" s="36" t="n">
        <x:f>G42</x:f>
        <x:v>0</x:v>
      </x:c>
      <x:c r="N66" s="36" t="n">
        <x:f>I42</x:f>
        <x:v>0</x:v>
      </x:c>
    </x:row>
    <x:row r="67">
      <x:c r="A67" s="30" t="n">
        <x:v>65</x:v>
      </x:c>
      <x:c r="B67" s="11" t="str">
        <x:f>IF(A67&lt;=15,"Seedling",IF(A67&lt;=25,"Establishment",IF(A67&lt;=40,"Vegetative Growth",IF(A67&lt;=55,"Flowering &amp; Initial Fruit Set",IF(A67&lt;=80,"Fruit Enlargement",IF(A67&lt;=95,"Ripening","Harvesting"))))))</x:f>
        <x:v>Fruit Enlargement</x:v>
      </x:c>
      <x:c r="C67" s="28" t="n">
        <x:f>IF(A67&lt;=15,'Anchor Points'!$B$2+(A67-'Anchor Points'!$A$2)/('Anchor Points'!$A$3-'Anchor Points'!$A$2)*('Anchor Points'!$B$3-'Anchor Points'!$B$2),IF(A67&lt;=25,'Anchor Points'!$B$3+(A67-'Anchor Points'!$A$3)/('Anchor Points'!$A$4-'Anchor Points'!$A$3)*('Anchor Points'!$B$4-'Anchor Points'!$B$3),IF(A67&lt;=40,'Anchor Points'!$B$4+(A67-'Anchor Points'!$A$4)/('Anchor Points'!$A$5-'Anchor Points'!$A$4)*('Anchor Points'!$B$5-'Anchor Points'!$B$4),IF(A67&lt;=55,'Anchor Points'!$B$5+(A67-'Anchor Points'!$A$5)/('Anchor Points'!$A$6-'Anchor Points'!$A$5)*('Anchor Points'!$B$6-'Anchor Points'!$B$5),IF(A67&lt;=70,'Anchor Points'!$B$6+(A67-'Anchor Points'!$A$6)/('Anchor Points'!$A$7-'Anchor Points'!$A$6)*('Anchor Points'!$B$7-'Anchor Points'!$B$6),IF(A67&lt;=90,'Anchor Points'!$B$7+(A67-'Anchor Points'!$A$7)/('Anchor Points'!$A$8-'Anchor Points'!$A$7)*('Anchor Points'!$B$8-'Anchor Points'!$B$7),'Anchor Points'!$B$8+(A67-'Anchor Points'!$A$8)/('Anchor Points'!$A$9-'Anchor Points'!$A$8)*('Anchor Points'!$B$9-'Anchor Points'!$B$8)))))))</x:f>
        <x:v>67.33333333333333</x:v>
      </x:c>
      <x:c r="D67" s="28" t="n">
        <x:f>IF(A67&lt;=15,'Anchor Points'!$C$2+(A67-'Anchor Points'!$A$2)/('Anchor Points'!$A$3-'Anchor Points'!$A$2)*('Anchor Points'!$C$3-'Anchor Points'!$C$2),IF(A67&lt;=25,'Anchor Points'!$C$3+(A67-'Anchor Points'!$A$3)/('Anchor Points'!$A$4-'Anchor Points'!$A$3)*('Anchor Points'!$C$4-'Anchor Points'!$C$3),IF(A67&lt;=40,'Anchor Points'!$C$4+(A67-'Anchor Points'!$A$4)/('Anchor Points'!$A$5-'Anchor Points'!$A$4)*('Anchor Points'!$C$5-'Anchor Points'!$C$4),IF(A67&lt;=55,'Anchor Points'!$C$5+(A67-'Anchor Points'!$A$5)/('Anchor Points'!$A$6-'Anchor Points'!$A$5)*('Anchor Points'!$C$6-'Anchor Points'!$C$5),IF(A67&lt;=70,'Anchor Points'!$C$6+(A67-'Anchor Points'!$A$6)/('Anchor Points'!$A$7-'Anchor Points'!$A$6)*('Anchor Points'!$C$7-'Anchor Points'!$C$6),IF(A67&lt;=90,'Anchor Points'!$C$7+(A67-'Anchor Points'!$A$7)/('Anchor Points'!$A$8-'Anchor Points'!$A$7)*('Anchor Points'!$C$8-'Anchor Points'!$C$7),'Anchor Points'!$C$8+(A67-'Anchor Points'!$A$8)/('Anchor Points'!$A$9-'Anchor Points'!$A$8)*('Anchor Points'!$C$9-'Anchor Points'!$C$8)))))))</x:f>
        <x:v>58.33333333333333</x:v>
      </x:c>
      <x:c r="E67" s="28" t="n">
        <x:f>IF(A67&lt;=15,'Anchor Points'!$D$2+(A67-'Anchor Points'!$A$2)/('Anchor Points'!$A$3-'Anchor Points'!$A$2)*('Anchor Points'!$D$3-'Anchor Points'!$D$2),IF(A67&lt;=25,'Anchor Points'!$D$3+(A67-'Anchor Points'!$A$3)/('Anchor Points'!$A$4-'Anchor Points'!$A$3)*('Anchor Points'!$D$4-'Anchor Points'!$D$3),IF(A67&lt;=40,'Anchor Points'!$D$4+(A67-'Anchor Points'!$A$4)/('Anchor Points'!$A$5-'Anchor Points'!$A$4)*('Anchor Points'!$D$5-'Anchor Points'!$D$4),IF(A67&lt;=55,'Anchor Points'!$D$5+(A67-'Anchor Points'!$A$5)/('Anchor Points'!$A$6-'Anchor Points'!$A$5)*('Anchor Points'!$D$6-'Anchor Points'!$D$5),IF(A67&lt;=70,'Anchor Points'!$D$6+(A67-'Anchor Points'!$A$6)/('Anchor Points'!$A$7-'Anchor Points'!$A$6)*('Anchor Points'!$D$7-'Anchor Points'!$D$6),IF(A67&lt;=90,'Anchor Points'!$D$7+(A67-'Anchor Points'!$A$7)/('Anchor Points'!$A$8-'Anchor Points'!$A$7)*('Anchor Points'!$D$8-'Anchor Points'!$D$7),'Anchor Points'!$D$8+(A67-'Anchor Points'!$A$8)/('Anchor Points'!$A$9-'Anchor Points'!$A$8)*('Anchor Points'!$D$9-'Anchor Points'!$D$8)))))))</x:f>
        <x:v>10.333333333333332</x:v>
      </x:c>
      <x:c r="F67" s="30" t="n">
        <x:f>ROUND(E67,0)</x:f>
        <x:v>10</x:v>
      </x:c>
      <x:c r="G67" s="28" t="n">
        <x:f>IF(A67&lt;=15,'Anchor Points'!$E$2+(A67-'Anchor Points'!$A$2)/('Anchor Points'!$A$3-'Anchor Points'!$A$2)*('Anchor Points'!$E$3-'Anchor Points'!$E$2),IF(A67&lt;=25,'Anchor Points'!$E$3+(A67-'Anchor Points'!$A$3)/('Anchor Points'!$A$4-'Anchor Points'!$A$3)*('Anchor Points'!$E$4-'Anchor Points'!$E$3),IF(A67&lt;=40,'Anchor Points'!$E$4+(A67-'Anchor Points'!$A$4)/('Anchor Points'!$A$5-'Anchor Points'!$A$4)*('Anchor Points'!$E$5-'Anchor Points'!$E$4),IF(A67&lt;=55,'Anchor Points'!$E$5+(A67-'Anchor Points'!$A$5)/('Anchor Points'!$A$6-'Anchor Points'!$A$5)*('Anchor Points'!$E$6-'Anchor Points'!$E$5),IF(A67&lt;=70,'Anchor Points'!$E$6+(A67-'Anchor Points'!$A$6)/('Anchor Points'!$A$7-'Anchor Points'!$A$6)*('Anchor Points'!$E$7-'Anchor Points'!$E$6),IF(A67&lt;=90,'Anchor Points'!$E$7+(A67-'Anchor Points'!$A$7)/('Anchor Points'!$A$8-'Anchor Points'!$A$7)*('Anchor Points'!$E$8-'Anchor Points'!$E$7),'Anchor Points'!$E$8+(A67-'Anchor Points'!$A$8)/('Anchor Points'!$A$9-'Anchor Points'!$A$8)*('Anchor Points'!$E$9-'Anchor Points'!$E$8)))))))</x:f>
        <x:v>3.6666666666666665</x:v>
      </x:c>
      <x:c r="H67" s="30" t="n">
        <x:f>ROUND(G67,0)</x:f>
        <x:v>4</x:v>
      </x:c>
      <x:c r="I67" s="28" t="n">
        <x:f>IF(A67&lt;=15,'Anchor Points'!$F$2+(A67-'Anchor Points'!$A$2)/('Anchor Points'!$A$3-'Anchor Points'!$A$2)*('Anchor Points'!$F$3-'Anchor Points'!$F$2),IF(A67&lt;=25,'Anchor Points'!$F$3+(A67-'Anchor Points'!$A$3)/('Anchor Points'!$A$4-'Anchor Points'!$A$3)*('Anchor Points'!$F$4-'Anchor Points'!$F$3),IF(A67&lt;=40,'Anchor Points'!$F$4+(A67-'Anchor Points'!$A$4)/('Anchor Points'!$A$5-'Anchor Points'!$A$4)*('Anchor Points'!$F$5-'Anchor Points'!$F$4),IF(A67&lt;=55,'Anchor Points'!$F$5+(A67-'Anchor Points'!$A$5)/('Anchor Points'!$A$6-'Anchor Points'!$A$5)*('Anchor Points'!$F$6-'Anchor Points'!$F$5),IF(A67&lt;=70,'Anchor Points'!$F$6+(A67-'Anchor Points'!$A$6)/('Anchor Points'!$A$7-'Anchor Points'!$A$6)*('Anchor Points'!$F$7-'Anchor Points'!$F$6),IF(A67&lt;=90,'Anchor Points'!$F$7+(A67-'Anchor Points'!$A$7)/('Anchor Points'!$A$8-'Anchor Points'!$A$7)*('Anchor Points'!$F$8-'Anchor Points'!$F$7),'Anchor Points'!$F$8+(A67-'Anchor Points'!$A$8)/('Anchor Points'!$A$9-'Anchor Points'!$A$8)*('Anchor Points'!$F$9-'Anchor Points'!$F$8)))))))</x:f>
        <x:v>19.333333333333332</x:v>
      </x:c>
      <x:c r="K67" s="36" t="n">
        <x:f>A43</x:f>
        <x:v>41</x:v>
      </x:c>
      <x:c r="L67" s="36" t="n">
        <x:f>E43</x:f>
        <x:v>2.3333333333333335</x:v>
      </x:c>
      <x:c r="M67" s="36" t="n">
        <x:f>G43</x:f>
        <x:v>0.06666666666666667</x:v>
      </x:c>
      <x:c r="N67" s="36" t="n">
        <x:f>I43</x:f>
        <x:v>0.5333333333333333</x:v>
      </x:c>
    </x:row>
    <x:row r="68">
      <x:c r="A68" s="30" t="n">
        <x:v>66</x:v>
      </x:c>
      <x:c r="B68" s="11" t="str">
        <x:f>IF(A68&lt;=15,"Seedling",IF(A68&lt;=25,"Establishment",IF(A68&lt;=40,"Vegetative Growth",IF(A68&lt;=55,"Flowering &amp; Initial Fruit Set",IF(A68&lt;=80,"Fruit Enlargement",IF(A68&lt;=95,"Ripening","Harvesting"))))))</x:f>
        <x:v>Fruit Enlargement</x:v>
      </x:c>
      <x:c r="C68" s="28" t="n">
        <x:f>IF(A68&lt;=15,'Anchor Points'!$B$2+(A68-'Anchor Points'!$A$2)/('Anchor Points'!$A$3-'Anchor Points'!$A$2)*('Anchor Points'!$B$3-'Anchor Points'!$B$2),IF(A68&lt;=25,'Anchor Points'!$B$3+(A68-'Anchor Points'!$A$3)/('Anchor Points'!$A$4-'Anchor Points'!$A$3)*('Anchor Points'!$B$4-'Anchor Points'!$B$3),IF(A68&lt;=40,'Anchor Points'!$B$4+(A68-'Anchor Points'!$A$4)/('Anchor Points'!$A$5-'Anchor Points'!$A$4)*('Anchor Points'!$B$5-'Anchor Points'!$B$4),IF(A68&lt;=55,'Anchor Points'!$B$5+(A68-'Anchor Points'!$A$5)/('Anchor Points'!$A$6-'Anchor Points'!$A$5)*('Anchor Points'!$B$6-'Anchor Points'!$B$5),IF(A68&lt;=70,'Anchor Points'!$B$6+(A68-'Anchor Points'!$A$6)/('Anchor Points'!$A$7-'Anchor Points'!$A$6)*('Anchor Points'!$B$7-'Anchor Points'!$B$6),IF(A68&lt;=90,'Anchor Points'!$B$7+(A68-'Anchor Points'!$A$7)/('Anchor Points'!$A$8-'Anchor Points'!$A$7)*('Anchor Points'!$B$8-'Anchor Points'!$B$7),'Anchor Points'!$B$8+(A68-'Anchor Points'!$A$8)/('Anchor Points'!$A$9-'Anchor Points'!$A$8)*('Anchor Points'!$B$9-'Anchor Points'!$B$8)))))))</x:f>
        <x:v>68.26666666666667</x:v>
      </x:c>
      <x:c r="D68" s="28" t="n">
        <x:f>IF(A68&lt;=15,'Anchor Points'!$C$2+(A68-'Anchor Points'!$A$2)/('Anchor Points'!$A$3-'Anchor Points'!$A$2)*('Anchor Points'!$C$3-'Anchor Points'!$C$2),IF(A68&lt;=25,'Anchor Points'!$C$3+(A68-'Anchor Points'!$A$3)/('Anchor Points'!$A$4-'Anchor Points'!$A$3)*('Anchor Points'!$C$4-'Anchor Points'!$C$3),IF(A68&lt;=40,'Anchor Points'!$C$4+(A68-'Anchor Points'!$A$4)/('Anchor Points'!$A$5-'Anchor Points'!$A$4)*('Anchor Points'!$C$5-'Anchor Points'!$C$4),IF(A68&lt;=55,'Anchor Points'!$C$5+(A68-'Anchor Points'!$A$5)/('Anchor Points'!$A$6-'Anchor Points'!$A$5)*('Anchor Points'!$C$6-'Anchor Points'!$C$5),IF(A68&lt;=70,'Anchor Points'!$C$6+(A68-'Anchor Points'!$A$6)/('Anchor Points'!$A$7-'Anchor Points'!$A$6)*('Anchor Points'!$C$7-'Anchor Points'!$C$6),IF(A68&lt;=90,'Anchor Points'!$C$7+(A68-'Anchor Points'!$A$7)/('Anchor Points'!$A$8-'Anchor Points'!$A$7)*('Anchor Points'!$C$8-'Anchor Points'!$C$7),'Anchor Points'!$C$8+(A68-'Anchor Points'!$A$8)/('Anchor Points'!$A$9-'Anchor Points'!$A$8)*('Anchor Points'!$C$9-'Anchor Points'!$C$8)))))))</x:f>
        <x:v>59.666666666666664</x:v>
      </x:c>
      <x:c r="E68" s="28" t="n">
        <x:f>IF(A68&lt;=15,'Anchor Points'!$D$2+(A68-'Anchor Points'!$A$2)/('Anchor Points'!$A$3-'Anchor Points'!$A$2)*('Anchor Points'!$D$3-'Anchor Points'!$D$2),IF(A68&lt;=25,'Anchor Points'!$D$3+(A68-'Anchor Points'!$A$3)/('Anchor Points'!$A$4-'Anchor Points'!$A$3)*('Anchor Points'!$D$4-'Anchor Points'!$D$3),IF(A68&lt;=40,'Anchor Points'!$D$4+(A68-'Anchor Points'!$A$4)/('Anchor Points'!$A$5-'Anchor Points'!$A$4)*('Anchor Points'!$D$5-'Anchor Points'!$D$4),IF(A68&lt;=55,'Anchor Points'!$D$5+(A68-'Anchor Points'!$A$5)/('Anchor Points'!$A$6-'Anchor Points'!$A$5)*('Anchor Points'!$D$6-'Anchor Points'!$D$5),IF(A68&lt;=70,'Anchor Points'!$D$6+(A68-'Anchor Points'!$A$6)/('Anchor Points'!$A$7-'Anchor Points'!$A$6)*('Anchor Points'!$D$7-'Anchor Points'!$D$6),IF(A68&lt;=90,'Anchor Points'!$D$7+(A68-'Anchor Points'!$A$7)/('Anchor Points'!$A$8-'Anchor Points'!$A$7)*('Anchor Points'!$D$8-'Anchor Points'!$D$7),'Anchor Points'!$D$8+(A68-'Anchor Points'!$A$8)/('Anchor Points'!$A$9-'Anchor Points'!$A$8)*('Anchor Points'!$D$9-'Anchor Points'!$D$8)))))))</x:f>
        <x:v>10.666666666666666</x:v>
      </x:c>
      <x:c r="F68" s="30" t="n">
        <x:f>ROUND(E68,0)</x:f>
        <x:v>11</x:v>
      </x:c>
      <x:c r="G68" s="28" t="n">
        <x:f>IF(A68&lt;=15,'Anchor Points'!$E$2+(A68-'Anchor Points'!$A$2)/('Anchor Points'!$A$3-'Anchor Points'!$A$2)*('Anchor Points'!$E$3-'Anchor Points'!$E$2),IF(A68&lt;=25,'Anchor Points'!$E$3+(A68-'Anchor Points'!$A$3)/('Anchor Points'!$A$4-'Anchor Points'!$A$3)*('Anchor Points'!$E$4-'Anchor Points'!$E$3),IF(A68&lt;=40,'Anchor Points'!$E$4+(A68-'Anchor Points'!$A$4)/('Anchor Points'!$A$5-'Anchor Points'!$A$4)*('Anchor Points'!$E$5-'Anchor Points'!$E$4),IF(A68&lt;=55,'Anchor Points'!$E$5+(A68-'Anchor Points'!$A$5)/('Anchor Points'!$A$6-'Anchor Points'!$A$5)*('Anchor Points'!$E$6-'Anchor Points'!$E$5),IF(A68&lt;=70,'Anchor Points'!$E$6+(A68-'Anchor Points'!$A$6)/('Anchor Points'!$A$7-'Anchor Points'!$A$6)*('Anchor Points'!$E$7-'Anchor Points'!$E$6),IF(A68&lt;=90,'Anchor Points'!$E$7+(A68-'Anchor Points'!$A$7)/('Anchor Points'!$A$8-'Anchor Points'!$A$7)*('Anchor Points'!$E$8-'Anchor Points'!$E$7),'Anchor Points'!$E$8+(A68-'Anchor Points'!$A$8)/('Anchor Points'!$A$9-'Anchor Points'!$A$8)*('Anchor Points'!$E$9-'Anchor Points'!$E$8)))))))</x:f>
        <x:v>3.933333333333333</x:v>
      </x:c>
      <x:c r="H68" s="30" t="n">
        <x:f>ROUND(G68,0)</x:f>
        <x:v>4</x:v>
      </x:c>
      <x:c r="I68" s="28" t="n">
        <x:f>IF(A68&lt;=15,'Anchor Points'!$F$2+(A68-'Anchor Points'!$A$2)/('Anchor Points'!$A$3-'Anchor Points'!$A$2)*('Anchor Points'!$F$3-'Anchor Points'!$F$2),IF(A68&lt;=25,'Anchor Points'!$F$3+(A68-'Anchor Points'!$A$3)/('Anchor Points'!$A$4-'Anchor Points'!$A$3)*('Anchor Points'!$F$4-'Anchor Points'!$F$3),IF(A68&lt;=40,'Anchor Points'!$F$4+(A68-'Anchor Points'!$A$4)/('Anchor Points'!$A$5-'Anchor Points'!$A$4)*('Anchor Points'!$F$5-'Anchor Points'!$F$4),IF(A68&lt;=55,'Anchor Points'!$F$5+(A68-'Anchor Points'!$A$5)/('Anchor Points'!$A$6-'Anchor Points'!$A$5)*('Anchor Points'!$F$6-'Anchor Points'!$F$5),IF(A68&lt;=70,'Anchor Points'!$F$6+(A68-'Anchor Points'!$A$6)/('Anchor Points'!$A$7-'Anchor Points'!$A$6)*('Anchor Points'!$F$7-'Anchor Points'!$F$6),IF(A68&lt;=90,'Anchor Points'!$F$7+(A68-'Anchor Points'!$A$7)/('Anchor Points'!$A$8-'Anchor Points'!$A$7)*('Anchor Points'!$F$8-'Anchor Points'!$F$7),'Anchor Points'!$F$8+(A68-'Anchor Points'!$A$8)/('Anchor Points'!$A$9-'Anchor Points'!$A$8)*('Anchor Points'!$F$9-'Anchor Points'!$F$8)))))))</x:f>
        <x:v>20.466666666666665</x:v>
      </x:c>
      <x:c r="K68" s="36" t="n">
        <x:f>A44</x:f>
        <x:v>42</x:v>
      </x:c>
      <x:c r="L68" s="36" t="n">
        <x:f>E44</x:f>
        <x:v>2.6666666666666665</x:v>
      </x:c>
      <x:c r="M68" s="36" t="n">
        <x:f>G44</x:f>
        <x:v>0.13333333333333333</x:v>
      </x:c>
      <x:c r="N68" s="36" t="n">
        <x:f>I44</x:f>
        <x:v>1.0666666666666667</x:v>
      </x:c>
    </x:row>
    <x:row r="69">
      <x:c r="A69" s="30" t="n">
        <x:v>67</x:v>
      </x:c>
      <x:c r="B69" s="11" t="str">
        <x:f>IF(A69&lt;=15,"Seedling",IF(A69&lt;=25,"Establishment",IF(A69&lt;=40,"Vegetative Growth",IF(A69&lt;=55,"Flowering &amp; Initial Fruit Set",IF(A69&lt;=80,"Fruit Enlargement",IF(A69&lt;=95,"Ripening","Harvesting"))))))</x:f>
        <x:v>Fruit Enlargement</x:v>
      </x:c>
      <x:c r="C69" s="28" t="n">
        <x:f>IF(A69&lt;=15,'Anchor Points'!$B$2+(A69-'Anchor Points'!$A$2)/('Anchor Points'!$A$3-'Anchor Points'!$A$2)*('Anchor Points'!$B$3-'Anchor Points'!$B$2),IF(A69&lt;=25,'Anchor Points'!$B$3+(A69-'Anchor Points'!$A$3)/('Anchor Points'!$A$4-'Anchor Points'!$A$3)*('Anchor Points'!$B$4-'Anchor Points'!$B$3),IF(A69&lt;=40,'Anchor Points'!$B$4+(A69-'Anchor Points'!$A$4)/('Anchor Points'!$A$5-'Anchor Points'!$A$4)*('Anchor Points'!$B$5-'Anchor Points'!$B$4),IF(A69&lt;=55,'Anchor Points'!$B$5+(A69-'Anchor Points'!$A$5)/('Anchor Points'!$A$6-'Anchor Points'!$A$5)*('Anchor Points'!$B$6-'Anchor Points'!$B$5),IF(A69&lt;=70,'Anchor Points'!$B$6+(A69-'Anchor Points'!$A$6)/('Anchor Points'!$A$7-'Anchor Points'!$A$6)*('Anchor Points'!$B$7-'Anchor Points'!$B$6),IF(A69&lt;=90,'Anchor Points'!$B$7+(A69-'Anchor Points'!$A$7)/('Anchor Points'!$A$8-'Anchor Points'!$A$7)*('Anchor Points'!$B$8-'Anchor Points'!$B$7),'Anchor Points'!$B$8+(A69-'Anchor Points'!$A$8)/('Anchor Points'!$A$9-'Anchor Points'!$A$8)*('Anchor Points'!$B$9-'Anchor Points'!$B$8)))))))</x:f>
        <x:v>69.2</x:v>
      </x:c>
      <x:c r="D69" s="28" t="n">
        <x:f>IF(A69&lt;=15,'Anchor Points'!$C$2+(A69-'Anchor Points'!$A$2)/('Anchor Points'!$A$3-'Anchor Points'!$A$2)*('Anchor Points'!$C$3-'Anchor Points'!$C$2),IF(A69&lt;=25,'Anchor Points'!$C$3+(A69-'Anchor Points'!$A$3)/('Anchor Points'!$A$4-'Anchor Points'!$A$3)*('Anchor Points'!$C$4-'Anchor Points'!$C$3),IF(A69&lt;=40,'Anchor Points'!$C$4+(A69-'Anchor Points'!$A$4)/('Anchor Points'!$A$5-'Anchor Points'!$A$4)*('Anchor Points'!$C$5-'Anchor Points'!$C$4),IF(A69&lt;=55,'Anchor Points'!$C$5+(A69-'Anchor Points'!$A$5)/('Anchor Points'!$A$6-'Anchor Points'!$A$5)*('Anchor Points'!$C$6-'Anchor Points'!$C$5),IF(A69&lt;=70,'Anchor Points'!$C$6+(A69-'Anchor Points'!$A$6)/('Anchor Points'!$A$7-'Anchor Points'!$A$6)*('Anchor Points'!$C$7-'Anchor Points'!$C$6),IF(A69&lt;=90,'Anchor Points'!$C$7+(A69-'Anchor Points'!$A$7)/('Anchor Points'!$A$8-'Anchor Points'!$A$7)*('Anchor Points'!$C$8-'Anchor Points'!$C$7),'Anchor Points'!$C$8+(A69-'Anchor Points'!$A$8)/('Anchor Points'!$A$9-'Anchor Points'!$A$8)*('Anchor Points'!$C$9-'Anchor Points'!$C$8)))))))</x:f>
        <x:v>61</x:v>
      </x:c>
      <x:c r="E69" s="28" t="n">
        <x:f>IF(A69&lt;=15,'Anchor Points'!$D$2+(A69-'Anchor Points'!$A$2)/('Anchor Points'!$A$3-'Anchor Points'!$A$2)*('Anchor Points'!$D$3-'Anchor Points'!$D$2),IF(A69&lt;=25,'Anchor Points'!$D$3+(A69-'Anchor Points'!$A$3)/('Anchor Points'!$A$4-'Anchor Points'!$A$3)*('Anchor Points'!$D$4-'Anchor Points'!$D$3),IF(A69&lt;=40,'Anchor Points'!$D$4+(A69-'Anchor Points'!$A$4)/('Anchor Points'!$A$5-'Anchor Points'!$A$4)*('Anchor Points'!$D$5-'Anchor Points'!$D$4),IF(A69&lt;=55,'Anchor Points'!$D$5+(A69-'Anchor Points'!$A$5)/('Anchor Points'!$A$6-'Anchor Points'!$A$5)*('Anchor Points'!$D$6-'Anchor Points'!$D$5),IF(A69&lt;=70,'Anchor Points'!$D$6+(A69-'Anchor Points'!$A$6)/('Anchor Points'!$A$7-'Anchor Points'!$A$6)*('Anchor Points'!$D$7-'Anchor Points'!$D$6),IF(A69&lt;=90,'Anchor Points'!$D$7+(A69-'Anchor Points'!$A$7)/('Anchor Points'!$A$8-'Anchor Points'!$A$7)*('Anchor Points'!$D$8-'Anchor Points'!$D$7),'Anchor Points'!$D$8+(A69-'Anchor Points'!$A$8)/('Anchor Points'!$A$9-'Anchor Points'!$A$8)*('Anchor Points'!$D$9-'Anchor Points'!$D$8)))))))</x:f>
        <x:v>11</x:v>
      </x:c>
      <x:c r="F69" s="30" t="n">
        <x:f>ROUND(E69,0)</x:f>
        <x:v>11</x:v>
      </x:c>
      <x:c r="G69" s="28" t="n">
        <x:f>IF(A69&lt;=15,'Anchor Points'!$E$2+(A69-'Anchor Points'!$A$2)/('Anchor Points'!$A$3-'Anchor Points'!$A$2)*('Anchor Points'!$E$3-'Anchor Points'!$E$2),IF(A69&lt;=25,'Anchor Points'!$E$3+(A69-'Anchor Points'!$A$3)/('Anchor Points'!$A$4-'Anchor Points'!$A$3)*('Anchor Points'!$E$4-'Anchor Points'!$E$3),IF(A69&lt;=40,'Anchor Points'!$E$4+(A69-'Anchor Points'!$A$4)/('Anchor Points'!$A$5-'Anchor Points'!$A$4)*('Anchor Points'!$E$5-'Anchor Points'!$E$4),IF(A69&lt;=55,'Anchor Points'!$E$5+(A69-'Anchor Points'!$A$5)/('Anchor Points'!$A$6-'Anchor Points'!$A$5)*('Anchor Points'!$E$6-'Anchor Points'!$E$5),IF(A69&lt;=70,'Anchor Points'!$E$6+(A69-'Anchor Points'!$A$6)/('Anchor Points'!$A$7-'Anchor Points'!$A$6)*('Anchor Points'!$E$7-'Anchor Points'!$E$6),IF(A69&lt;=90,'Anchor Points'!$E$7+(A69-'Anchor Points'!$A$7)/('Anchor Points'!$A$8-'Anchor Points'!$A$7)*('Anchor Points'!$E$8-'Anchor Points'!$E$7),'Anchor Points'!$E$8+(A69-'Anchor Points'!$A$8)/('Anchor Points'!$A$9-'Anchor Points'!$A$8)*('Anchor Points'!$E$9-'Anchor Points'!$E$8)))))))</x:f>
        <x:v>4.2</x:v>
      </x:c>
      <x:c r="H69" s="30" t="n">
        <x:f>ROUND(G69,0)</x:f>
        <x:v>4</x:v>
      </x:c>
      <x:c r="I69" s="28" t="n">
        <x:f>IF(A69&lt;=15,'Anchor Points'!$F$2+(A69-'Anchor Points'!$A$2)/('Anchor Points'!$A$3-'Anchor Points'!$A$2)*('Anchor Points'!$F$3-'Anchor Points'!$F$2),IF(A69&lt;=25,'Anchor Points'!$F$3+(A69-'Anchor Points'!$A$3)/('Anchor Points'!$A$4-'Anchor Points'!$A$3)*('Anchor Points'!$F$4-'Anchor Points'!$F$3),IF(A69&lt;=40,'Anchor Points'!$F$4+(A69-'Anchor Points'!$A$4)/('Anchor Points'!$A$5-'Anchor Points'!$A$4)*('Anchor Points'!$F$5-'Anchor Points'!$F$4),IF(A69&lt;=55,'Anchor Points'!$F$5+(A69-'Anchor Points'!$A$5)/('Anchor Points'!$A$6-'Anchor Points'!$A$5)*('Anchor Points'!$F$6-'Anchor Points'!$F$5),IF(A69&lt;=70,'Anchor Points'!$F$6+(A69-'Anchor Points'!$A$6)/('Anchor Points'!$A$7-'Anchor Points'!$A$6)*('Anchor Points'!$F$7-'Anchor Points'!$F$6),IF(A69&lt;=90,'Anchor Points'!$F$7+(A69-'Anchor Points'!$A$7)/('Anchor Points'!$A$8-'Anchor Points'!$A$7)*('Anchor Points'!$F$8-'Anchor Points'!$F$7),'Anchor Points'!$F$8+(A69-'Anchor Points'!$A$8)/('Anchor Points'!$A$9-'Anchor Points'!$A$8)*('Anchor Points'!$F$9-'Anchor Points'!$F$8)))))))</x:f>
        <x:v>21.6</x:v>
      </x:c>
      <x:c r="K69" s="36" t="n">
        <x:f>A45</x:f>
        <x:v>43</x:v>
      </x:c>
      <x:c r="L69" s="36" t="n">
        <x:f>E45</x:f>
        <x:v>3</x:v>
      </x:c>
      <x:c r="M69" s="36" t="n">
        <x:f>G45</x:f>
        <x:v>0.2</x:v>
      </x:c>
      <x:c r="N69" s="36" t="n">
        <x:f>I45</x:f>
        <x:v>1.6</x:v>
      </x:c>
    </x:row>
    <x:row r="70">
      <x:c r="A70" s="30" t="n">
        <x:v>68</x:v>
      </x:c>
      <x:c r="B70" s="11" t="str">
        <x:f>IF(A70&lt;=15,"Seedling",IF(A70&lt;=25,"Establishment",IF(A70&lt;=40,"Vegetative Growth",IF(A70&lt;=55,"Flowering &amp; Initial Fruit Set",IF(A70&lt;=80,"Fruit Enlargement",IF(A70&lt;=95,"Ripening","Harvesting"))))))</x:f>
        <x:v>Fruit Enlargement</x:v>
      </x:c>
      <x:c r="C70" s="28" t="n">
        <x:f>IF(A70&lt;=15,'Anchor Points'!$B$2+(A70-'Anchor Points'!$A$2)/('Anchor Points'!$A$3-'Anchor Points'!$A$2)*('Anchor Points'!$B$3-'Anchor Points'!$B$2),IF(A70&lt;=25,'Anchor Points'!$B$3+(A70-'Anchor Points'!$A$3)/('Anchor Points'!$A$4-'Anchor Points'!$A$3)*('Anchor Points'!$B$4-'Anchor Points'!$B$3),IF(A70&lt;=40,'Anchor Points'!$B$4+(A70-'Anchor Points'!$A$4)/('Anchor Points'!$A$5-'Anchor Points'!$A$4)*('Anchor Points'!$B$5-'Anchor Points'!$B$4),IF(A70&lt;=55,'Anchor Points'!$B$5+(A70-'Anchor Points'!$A$5)/('Anchor Points'!$A$6-'Anchor Points'!$A$5)*('Anchor Points'!$B$6-'Anchor Points'!$B$5),IF(A70&lt;=70,'Anchor Points'!$B$6+(A70-'Anchor Points'!$A$6)/('Anchor Points'!$A$7-'Anchor Points'!$A$6)*('Anchor Points'!$B$7-'Anchor Points'!$B$6),IF(A70&lt;=90,'Anchor Points'!$B$7+(A70-'Anchor Points'!$A$7)/('Anchor Points'!$A$8-'Anchor Points'!$A$7)*('Anchor Points'!$B$8-'Anchor Points'!$B$7),'Anchor Points'!$B$8+(A70-'Anchor Points'!$A$8)/('Anchor Points'!$A$9-'Anchor Points'!$A$8)*('Anchor Points'!$B$9-'Anchor Points'!$B$8)))))))</x:f>
        <x:v>70.13333333333333</x:v>
      </x:c>
      <x:c r="D70" s="28" t="n">
        <x:f>IF(A70&lt;=15,'Anchor Points'!$C$2+(A70-'Anchor Points'!$A$2)/('Anchor Points'!$A$3-'Anchor Points'!$A$2)*('Anchor Points'!$C$3-'Anchor Points'!$C$2),IF(A70&lt;=25,'Anchor Points'!$C$3+(A70-'Anchor Points'!$A$3)/('Anchor Points'!$A$4-'Anchor Points'!$A$3)*('Anchor Points'!$C$4-'Anchor Points'!$C$3),IF(A70&lt;=40,'Anchor Points'!$C$4+(A70-'Anchor Points'!$A$4)/('Anchor Points'!$A$5-'Anchor Points'!$A$4)*('Anchor Points'!$C$5-'Anchor Points'!$C$4),IF(A70&lt;=55,'Anchor Points'!$C$5+(A70-'Anchor Points'!$A$5)/('Anchor Points'!$A$6-'Anchor Points'!$A$5)*('Anchor Points'!$C$6-'Anchor Points'!$C$5),IF(A70&lt;=70,'Anchor Points'!$C$6+(A70-'Anchor Points'!$A$6)/('Anchor Points'!$A$7-'Anchor Points'!$A$6)*('Anchor Points'!$C$7-'Anchor Points'!$C$6),IF(A70&lt;=90,'Anchor Points'!$C$7+(A70-'Anchor Points'!$A$7)/('Anchor Points'!$A$8-'Anchor Points'!$A$7)*('Anchor Points'!$C$8-'Anchor Points'!$C$7),'Anchor Points'!$C$8+(A70-'Anchor Points'!$A$8)/('Anchor Points'!$A$9-'Anchor Points'!$A$8)*('Anchor Points'!$C$9-'Anchor Points'!$C$8)))))))</x:f>
        <x:v>62.333333333333336</x:v>
      </x:c>
      <x:c r="E70" s="28" t="n">
        <x:f>IF(A70&lt;=15,'Anchor Points'!$D$2+(A70-'Anchor Points'!$A$2)/('Anchor Points'!$A$3-'Anchor Points'!$A$2)*('Anchor Points'!$D$3-'Anchor Points'!$D$2),IF(A70&lt;=25,'Anchor Points'!$D$3+(A70-'Anchor Points'!$A$3)/('Anchor Points'!$A$4-'Anchor Points'!$A$3)*('Anchor Points'!$D$4-'Anchor Points'!$D$3),IF(A70&lt;=40,'Anchor Points'!$D$4+(A70-'Anchor Points'!$A$4)/('Anchor Points'!$A$5-'Anchor Points'!$A$4)*('Anchor Points'!$D$5-'Anchor Points'!$D$4),IF(A70&lt;=55,'Anchor Points'!$D$5+(A70-'Anchor Points'!$A$5)/('Anchor Points'!$A$6-'Anchor Points'!$A$5)*('Anchor Points'!$D$6-'Anchor Points'!$D$5),IF(A70&lt;=70,'Anchor Points'!$D$6+(A70-'Anchor Points'!$A$6)/('Anchor Points'!$A$7-'Anchor Points'!$A$6)*('Anchor Points'!$D$7-'Anchor Points'!$D$6),IF(A70&lt;=90,'Anchor Points'!$D$7+(A70-'Anchor Points'!$A$7)/('Anchor Points'!$A$8-'Anchor Points'!$A$7)*('Anchor Points'!$D$8-'Anchor Points'!$D$7),'Anchor Points'!$D$8+(A70-'Anchor Points'!$A$8)/('Anchor Points'!$A$9-'Anchor Points'!$A$8)*('Anchor Points'!$D$9-'Anchor Points'!$D$8)))))))</x:f>
        <x:v>11.333333333333334</x:v>
      </x:c>
      <x:c r="F70" s="30" t="n">
        <x:f>ROUND(E70,0)</x:f>
        <x:v>11</x:v>
      </x:c>
      <x:c r="G70" s="28" t="n">
        <x:f>IF(A70&lt;=15,'Anchor Points'!$E$2+(A70-'Anchor Points'!$A$2)/('Anchor Points'!$A$3-'Anchor Points'!$A$2)*('Anchor Points'!$E$3-'Anchor Points'!$E$2),IF(A70&lt;=25,'Anchor Points'!$E$3+(A70-'Anchor Points'!$A$3)/('Anchor Points'!$A$4-'Anchor Points'!$A$3)*('Anchor Points'!$E$4-'Anchor Points'!$E$3),IF(A70&lt;=40,'Anchor Points'!$E$4+(A70-'Anchor Points'!$A$4)/('Anchor Points'!$A$5-'Anchor Points'!$A$4)*('Anchor Points'!$E$5-'Anchor Points'!$E$4),IF(A70&lt;=55,'Anchor Points'!$E$5+(A70-'Anchor Points'!$A$5)/('Anchor Points'!$A$6-'Anchor Points'!$A$5)*('Anchor Points'!$E$6-'Anchor Points'!$E$5),IF(A70&lt;=70,'Anchor Points'!$E$6+(A70-'Anchor Points'!$A$6)/('Anchor Points'!$A$7-'Anchor Points'!$A$6)*('Anchor Points'!$E$7-'Anchor Points'!$E$6),IF(A70&lt;=90,'Anchor Points'!$E$7+(A70-'Anchor Points'!$A$7)/('Anchor Points'!$A$8-'Anchor Points'!$A$7)*('Anchor Points'!$E$8-'Anchor Points'!$E$7),'Anchor Points'!$E$8+(A70-'Anchor Points'!$A$8)/('Anchor Points'!$A$9-'Anchor Points'!$A$8)*('Anchor Points'!$E$9-'Anchor Points'!$E$8)))))))</x:f>
        <x:v>4.466666666666667</x:v>
      </x:c>
      <x:c r="H70" s="30" t="n">
        <x:f>ROUND(G70,0)</x:f>
        <x:v>4</x:v>
      </x:c>
      <x:c r="I70" s="28" t="n">
        <x:f>IF(A70&lt;=15,'Anchor Points'!$F$2+(A70-'Anchor Points'!$A$2)/('Anchor Points'!$A$3-'Anchor Points'!$A$2)*('Anchor Points'!$F$3-'Anchor Points'!$F$2),IF(A70&lt;=25,'Anchor Points'!$F$3+(A70-'Anchor Points'!$A$3)/('Anchor Points'!$A$4-'Anchor Points'!$A$3)*('Anchor Points'!$F$4-'Anchor Points'!$F$3),IF(A70&lt;=40,'Anchor Points'!$F$4+(A70-'Anchor Points'!$A$4)/('Anchor Points'!$A$5-'Anchor Points'!$A$4)*('Anchor Points'!$F$5-'Anchor Points'!$F$4),IF(A70&lt;=55,'Anchor Points'!$F$5+(A70-'Anchor Points'!$A$5)/('Anchor Points'!$A$6-'Anchor Points'!$A$5)*('Anchor Points'!$F$6-'Anchor Points'!$F$5),IF(A70&lt;=70,'Anchor Points'!$F$6+(A70-'Anchor Points'!$A$6)/('Anchor Points'!$A$7-'Anchor Points'!$A$6)*('Anchor Points'!$F$7-'Anchor Points'!$F$6),IF(A70&lt;=90,'Anchor Points'!$F$7+(A70-'Anchor Points'!$A$7)/('Anchor Points'!$A$8-'Anchor Points'!$A$7)*('Anchor Points'!$F$8-'Anchor Points'!$F$7),'Anchor Points'!$F$8+(A70-'Anchor Points'!$A$8)/('Anchor Points'!$A$9-'Anchor Points'!$A$8)*('Anchor Points'!$F$9-'Anchor Points'!$F$8)))))))</x:f>
        <x:v>22.733333333333334</x:v>
      </x:c>
      <x:c r="K70" s="36" t="n">
        <x:f>A46</x:f>
        <x:v>44</x:v>
      </x:c>
      <x:c r="L70" s="36" t="n">
        <x:f>E46</x:f>
        <x:v>3.333333333333333</x:v>
      </x:c>
      <x:c r="M70" s="36" t="n">
        <x:f>G46</x:f>
        <x:v>0.26666666666666666</x:v>
      </x:c>
      <x:c r="N70" s="36" t="n">
        <x:f>I46</x:f>
        <x:v>2.1333333333333333</x:v>
      </x:c>
    </x:row>
    <x:row r="71">
      <x:c r="A71" s="30" t="n">
        <x:v>69</x:v>
      </x:c>
      <x:c r="B71" s="11" t="str">
        <x:f>IF(A71&lt;=15,"Seedling",IF(A71&lt;=25,"Establishment",IF(A71&lt;=40,"Vegetative Growth",IF(A71&lt;=55,"Flowering &amp; Initial Fruit Set",IF(A71&lt;=80,"Fruit Enlargement",IF(A71&lt;=95,"Ripening","Harvesting"))))))</x:f>
        <x:v>Fruit Enlargement</x:v>
      </x:c>
      <x:c r="C71" s="28" t="n">
        <x:f>IF(A71&lt;=15,'Anchor Points'!$B$2+(A71-'Anchor Points'!$A$2)/('Anchor Points'!$A$3-'Anchor Points'!$A$2)*('Anchor Points'!$B$3-'Anchor Points'!$B$2),IF(A71&lt;=25,'Anchor Points'!$B$3+(A71-'Anchor Points'!$A$3)/('Anchor Points'!$A$4-'Anchor Points'!$A$3)*('Anchor Points'!$B$4-'Anchor Points'!$B$3),IF(A71&lt;=40,'Anchor Points'!$B$4+(A71-'Anchor Points'!$A$4)/('Anchor Points'!$A$5-'Anchor Points'!$A$4)*('Anchor Points'!$B$5-'Anchor Points'!$B$4),IF(A71&lt;=55,'Anchor Points'!$B$5+(A71-'Anchor Points'!$A$5)/('Anchor Points'!$A$6-'Anchor Points'!$A$5)*('Anchor Points'!$B$6-'Anchor Points'!$B$5),IF(A71&lt;=70,'Anchor Points'!$B$6+(A71-'Anchor Points'!$A$6)/('Anchor Points'!$A$7-'Anchor Points'!$A$6)*('Anchor Points'!$B$7-'Anchor Points'!$B$6),IF(A71&lt;=90,'Anchor Points'!$B$7+(A71-'Anchor Points'!$A$7)/('Anchor Points'!$A$8-'Anchor Points'!$A$7)*('Anchor Points'!$B$8-'Anchor Points'!$B$7),'Anchor Points'!$B$8+(A71-'Anchor Points'!$A$8)/('Anchor Points'!$A$9-'Anchor Points'!$A$8)*('Anchor Points'!$B$9-'Anchor Points'!$B$8)))))))</x:f>
        <x:v>71.06666666666666</x:v>
      </x:c>
      <x:c r="D71" s="28" t="n">
        <x:f>IF(A71&lt;=15,'Anchor Points'!$C$2+(A71-'Anchor Points'!$A$2)/('Anchor Points'!$A$3-'Anchor Points'!$A$2)*('Anchor Points'!$C$3-'Anchor Points'!$C$2),IF(A71&lt;=25,'Anchor Points'!$C$3+(A71-'Anchor Points'!$A$3)/('Anchor Points'!$A$4-'Anchor Points'!$A$3)*('Anchor Points'!$C$4-'Anchor Points'!$C$3),IF(A71&lt;=40,'Anchor Points'!$C$4+(A71-'Anchor Points'!$A$4)/('Anchor Points'!$A$5-'Anchor Points'!$A$4)*('Anchor Points'!$C$5-'Anchor Points'!$C$4),IF(A71&lt;=55,'Anchor Points'!$C$5+(A71-'Anchor Points'!$A$5)/('Anchor Points'!$A$6-'Anchor Points'!$A$5)*('Anchor Points'!$C$6-'Anchor Points'!$C$5),IF(A71&lt;=70,'Anchor Points'!$C$6+(A71-'Anchor Points'!$A$6)/('Anchor Points'!$A$7-'Anchor Points'!$A$6)*('Anchor Points'!$C$7-'Anchor Points'!$C$6),IF(A71&lt;=90,'Anchor Points'!$C$7+(A71-'Anchor Points'!$A$7)/('Anchor Points'!$A$8-'Anchor Points'!$A$7)*('Anchor Points'!$C$8-'Anchor Points'!$C$7),'Anchor Points'!$C$8+(A71-'Anchor Points'!$A$8)/('Anchor Points'!$A$9-'Anchor Points'!$A$8)*('Anchor Points'!$C$9-'Anchor Points'!$C$8)))))))</x:f>
        <x:v>63.66666666666667</x:v>
      </x:c>
      <x:c r="E71" s="28" t="n">
        <x:f>IF(A71&lt;=15,'Anchor Points'!$D$2+(A71-'Anchor Points'!$A$2)/('Anchor Points'!$A$3-'Anchor Points'!$A$2)*('Anchor Points'!$D$3-'Anchor Points'!$D$2),IF(A71&lt;=25,'Anchor Points'!$D$3+(A71-'Anchor Points'!$A$3)/('Anchor Points'!$A$4-'Anchor Points'!$A$3)*('Anchor Points'!$D$4-'Anchor Points'!$D$3),IF(A71&lt;=40,'Anchor Points'!$D$4+(A71-'Anchor Points'!$A$4)/('Anchor Points'!$A$5-'Anchor Points'!$A$4)*('Anchor Points'!$D$5-'Anchor Points'!$D$4),IF(A71&lt;=55,'Anchor Points'!$D$5+(A71-'Anchor Points'!$A$5)/('Anchor Points'!$A$6-'Anchor Points'!$A$5)*('Anchor Points'!$D$6-'Anchor Points'!$D$5),IF(A71&lt;=70,'Anchor Points'!$D$6+(A71-'Anchor Points'!$A$6)/('Anchor Points'!$A$7-'Anchor Points'!$A$6)*('Anchor Points'!$D$7-'Anchor Points'!$D$6),IF(A71&lt;=90,'Anchor Points'!$D$7+(A71-'Anchor Points'!$A$7)/('Anchor Points'!$A$8-'Anchor Points'!$A$7)*('Anchor Points'!$D$8-'Anchor Points'!$D$7),'Anchor Points'!$D$8+(A71-'Anchor Points'!$A$8)/('Anchor Points'!$A$9-'Anchor Points'!$A$8)*('Anchor Points'!$D$9-'Anchor Points'!$D$8)))))))</x:f>
        <x:v>11.666666666666668</x:v>
      </x:c>
      <x:c r="F71" s="30" t="n">
        <x:f>ROUND(E71,0)</x:f>
        <x:v>12</x:v>
      </x:c>
      <x:c r="G71" s="28" t="n">
        <x:f>IF(A71&lt;=15,'Anchor Points'!$E$2+(A71-'Anchor Points'!$A$2)/('Anchor Points'!$A$3-'Anchor Points'!$A$2)*('Anchor Points'!$E$3-'Anchor Points'!$E$2),IF(A71&lt;=25,'Anchor Points'!$E$3+(A71-'Anchor Points'!$A$3)/('Anchor Points'!$A$4-'Anchor Points'!$A$3)*('Anchor Points'!$E$4-'Anchor Points'!$E$3),IF(A71&lt;=40,'Anchor Points'!$E$4+(A71-'Anchor Points'!$A$4)/('Anchor Points'!$A$5-'Anchor Points'!$A$4)*('Anchor Points'!$E$5-'Anchor Points'!$E$4),IF(A71&lt;=55,'Anchor Points'!$E$5+(A71-'Anchor Points'!$A$5)/('Anchor Points'!$A$6-'Anchor Points'!$A$5)*('Anchor Points'!$E$6-'Anchor Points'!$E$5),IF(A71&lt;=70,'Anchor Points'!$E$6+(A71-'Anchor Points'!$A$6)/('Anchor Points'!$A$7-'Anchor Points'!$A$6)*('Anchor Points'!$E$7-'Anchor Points'!$E$6),IF(A71&lt;=90,'Anchor Points'!$E$7+(A71-'Anchor Points'!$A$7)/('Anchor Points'!$A$8-'Anchor Points'!$A$7)*('Anchor Points'!$E$8-'Anchor Points'!$E$7),'Anchor Points'!$E$8+(A71-'Anchor Points'!$A$8)/('Anchor Points'!$A$9-'Anchor Points'!$A$8)*('Anchor Points'!$E$9-'Anchor Points'!$E$8)))))))</x:f>
        <x:v>4.733333333333333</x:v>
      </x:c>
      <x:c r="H71" s="30" t="n">
        <x:f>ROUND(G71,0)</x:f>
        <x:v>5</x:v>
      </x:c>
      <x:c r="I71" s="28" t="n">
        <x:f>IF(A71&lt;=15,'Anchor Points'!$F$2+(A71-'Anchor Points'!$A$2)/('Anchor Points'!$A$3-'Anchor Points'!$A$2)*('Anchor Points'!$F$3-'Anchor Points'!$F$2),IF(A71&lt;=25,'Anchor Points'!$F$3+(A71-'Anchor Points'!$A$3)/('Anchor Points'!$A$4-'Anchor Points'!$A$3)*('Anchor Points'!$F$4-'Anchor Points'!$F$3),IF(A71&lt;=40,'Anchor Points'!$F$4+(A71-'Anchor Points'!$A$4)/('Anchor Points'!$A$5-'Anchor Points'!$A$4)*('Anchor Points'!$F$5-'Anchor Points'!$F$4),IF(A71&lt;=55,'Anchor Points'!$F$5+(A71-'Anchor Points'!$A$5)/('Anchor Points'!$A$6-'Anchor Points'!$A$5)*('Anchor Points'!$F$6-'Anchor Points'!$F$5),IF(A71&lt;=70,'Anchor Points'!$F$6+(A71-'Anchor Points'!$A$6)/('Anchor Points'!$A$7-'Anchor Points'!$A$6)*('Anchor Points'!$F$7-'Anchor Points'!$F$6),IF(A71&lt;=90,'Anchor Points'!$F$7+(A71-'Anchor Points'!$A$7)/('Anchor Points'!$A$8-'Anchor Points'!$A$7)*('Anchor Points'!$F$8-'Anchor Points'!$F$7),'Anchor Points'!$F$8+(A71-'Anchor Points'!$A$8)/('Anchor Points'!$A$9-'Anchor Points'!$A$8)*('Anchor Points'!$F$9-'Anchor Points'!$F$8)))))))</x:f>
        <x:v>23.866666666666667</x:v>
      </x:c>
      <x:c r="K71" s="36" t="n">
        <x:f>A47</x:f>
        <x:v>45</x:v>
      </x:c>
      <x:c r="L71" s="36" t="n">
        <x:f>E47</x:f>
        <x:v>3.6666666666666665</x:v>
      </x:c>
      <x:c r="M71" s="36" t="n">
        <x:f>G47</x:f>
        <x:v>0.3333333333333333</x:v>
      </x:c>
      <x:c r="N71" s="36" t="n">
        <x:f>I47</x:f>
        <x:v>2.6666666666666665</x:v>
      </x:c>
    </x:row>
    <x:row r="72">
      <x:c r="A72" s="30" t="n">
        <x:v>70</x:v>
      </x:c>
      <x:c r="B72" s="11" t="str">
        <x:f>IF(A72&lt;=15,"Seedling",IF(A72&lt;=25,"Establishment",IF(A72&lt;=40,"Vegetative Growth",IF(A72&lt;=55,"Flowering &amp; Initial Fruit Set",IF(A72&lt;=80,"Fruit Enlargement",IF(A72&lt;=95,"Ripening","Harvesting"))))))</x:f>
        <x:v>Fruit Enlargement</x:v>
      </x:c>
      <x:c r="C72" s="28" t="n">
        <x:f>IF(A72&lt;=15,'Anchor Points'!$B$2+(A72-'Anchor Points'!$A$2)/('Anchor Points'!$A$3-'Anchor Points'!$A$2)*('Anchor Points'!$B$3-'Anchor Points'!$B$2),IF(A72&lt;=25,'Anchor Points'!$B$3+(A72-'Anchor Points'!$A$3)/('Anchor Points'!$A$4-'Anchor Points'!$A$3)*('Anchor Points'!$B$4-'Anchor Points'!$B$3),IF(A72&lt;=40,'Anchor Points'!$B$4+(A72-'Anchor Points'!$A$4)/('Anchor Points'!$A$5-'Anchor Points'!$A$4)*('Anchor Points'!$B$5-'Anchor Points'!$B$4),IF(A72&lt;=55,'Anchor Points'!$B$5+(A72-'Anchor Points'!$A$5)/('Anchor Points'!$A$6-'Anchor Points'!$A$5)*('Anchor Points'!$B$6-'Anchor Points'!$B$5),IF(A72&lt;=70,'Anchor Points'!$B$6+(A72-'Anchor Points'!$A$6)/('Anchor Points'!$A$7-'Anchor Points'!$A$6)*('Anchor Points'!$B$7-'Anchor Points'!$B$6),IF(A72&lt;=90,'Anchor Points'!$B$7+(A72-'Anchor Points'!$A$7)/('Anchor Points'!$A$8-'Anchor Points'!$A$7)*('Anchor Points'!$B$8-'Anchor Points'!$B$7),'Anchor Points'!$B$8+(A72-'Anchor Points'!$A$8)/('Anchor Points'!$A$9-'Anchor Points'!$A$8)*('Anchor Points'!$B$9-'Anchor Points'!$B$8)))))))</x:f>
        <x:v>72</x:v>
      </x:c>
      <x:c r="D72" s="28" t="n">
        <x:f>IF(A72&lt;=15,'Anchor Points'!$C$2+(A72-'Anchor Points'!$A$2)/('Anchor Points'!$A$3-'Anchor Points'!$A$2)*('Anchor Points'!$C$3-'Anchor Points'!$C$2),IF(A72&lt;=25,'Anchor Points'!$C$3+(A72-'Anchor Points'!$A$3)/('Anchor Points'!$A$4-'Anchor Points'!$A$3)*('Anchor Points'!$C$4-'Anchor Points'!$C$3),IF(A72&lt;=40,'Anchor Points'!$C$4+(A72-'Anchor Points'!$A$4)/('Anchor Points'!$A$5-'Anchor Points'!$A$4)*('Anchor Points'!$C$5-'Anchor Points'!$C$4),IF(A72&lt;=55,'Anchor Points'!$C$5+(A72-'Anchor Points'!$A$5)/('Anchor Points'!$A$6-'Anchor Points'!$A$5)*('Anchor Points'!$C$6-'Anchor Points'!$C$5),IF(A72&lt;=70,'Anchor Points'!$C$6+(A72-'Anchor Points'!$A$6)/('Anchor Points'!$A$7-'Anchor Points'!$A$6)*('Anchor Points'!$C$7-'Anchor Points'!$C$6),IF(A72&lt;=90,'Anchor Points'!$C$7+(A72-'Anchor Points'!$A$7)/('Anchor Points'!$A$8-'Anchor Points'!$A$7)*('Anchor Points'!$C$8-'Anchor Points'!$C$7),'Anchor Points'!$C$8+(A72-'Anchor Points'!$A$8)/('Anchor Points'!$A$9-'Anchor Points'!$A$8)*('Anchor Points'!$C$9-'Anchor Points'!$C$8)))))))</x:f>
        <x:v>65</x:v>
      </x:c>
      <x:c r="E72" s="28" t="n">
        <x:f>IF(A72&lt;=15,'Anchor Points'!$D$2+(A72-'Anchor Points'!$A$2)/('Anchor Points'!$A$3-'Anchor Points'!$A$2)*('Anchor Points'!$D$3-'Anchor Points'!$D$2),IF(A72&lt;=25,'Anchor Points'!$D$3+(A72-'Anchor Points'!$A$3)/('Anchor Points'!$A$4-'Anchor Points'!$A$3)*('Anchor Points'!$D$4-'Anchor Points'!$D$3),IF(A72&lt;=40,'Anchor Points'!$D$4+(A72-'Anchor Points'!$A$4)/('Anchor Points'!$A$5-'Anchor Points'!$A$4)*('Anchor Points'!$D$5-'Anchor Points'!$D$4),IF(A72&lt;=55,'Anchor Points'!$D$5+(A72-'Anchor Points'!$A$5)/('Anchor Points'!$A$6-'Anchor Points'!$A$5)*('Anchor Points'!$D$6-'Anchor Points'!$D$5),IF(A72&lt;=70,'Anchor Points'!$D$6+(A72-'Anchor Points'!$A$6)/('Anchor Points'!$A$7-'Anchor Points'!$A$6)*('Anchor Points'!$D$7-'Anchor Points'!$D$6),IF(A72&lt;=90,'Anchor Points'!$D$7+(A72-'Anchor Points'!$A$7)/('Anchor Points'!$A$8-'Anchor Points'!$A$7)*('Anchor Points'!$D$8-'Anchor Points'!$D$7),'Anchor Points'!$D$8+(A72-'Anchor Points'!$A$8)/('Anchor Points'!$A$9-'Anchor Points'!$A$8)*('Anchor Points'!$D$9-'Anchor Points'!$D$8)))))))</x:f>
        <x:v>12</x:v>
      </x:c>
      <x:c r="F72" s="30" t="n">
        <x:f>ROUND(E72,0)</x:f>
        <x:v>12</x:v>
      </x:c>
      <x:c r="G72" s="28" t="n">
        <x:f>IF(A72&lt;=15,'Anchor Points'!$E$2+(A72-'Anchor Points'!$A$2)/('Anchor Points'!$A$3-'Anchor Points'!$A$2)*('Anchor Points'!$E$3-'Anchor Points'!$E$2),IF(A72&lt;=25,'Anchor Points'!$E$3+(A72-'Anchor Points'!$A$3)/('Anchor Points'!$A$4-'Anchor Points'!$A$3)*('Anchor Points'!$E$4-'Anchor Points'!$E$3),IF(A72&lt;=40,'Anchor Points'!$E$4+(A72-'Anchor Points'!$A$4)/('Anchor Points'!$A$5-'Anchor Points'!$A$4)*('Anchor Points'!$E$5-'Anchor Points'!$E$4),IF(A72&lt;=55,'Anchor Points'!$E$5+(A72-'Anchor Points'!$A$5)/('Anchor Points'!$A$6-'Anchor Points'!$A$5)*('Anchor Points'!$E$6-'Anchor Points'!$E$5),IF(A72&lt;=70,'Anchor Points'!$E$6+(A72-'Anchor Points'!$A$6)/('Anchor Points'!$A$7-'Anchor Points'!$A$6)*('Anchor Points'!$E$7-'Anchor Points'!$E$6),IF(A72&lt;=90,'Anchor Points'!$E$7+(A72-'Anchor Points'!$A$7)/('Anchor Points'!$A$8-'Anchor Points'!$A$7)*('Anchor Points'!$E$8-'Anchor Points'!$E$7),'Anchor Points'!$E$8+(A72-'Anchor Points'!$A$8)/('Anchor Points'!$A$9-'Anchor Points'!$A$8)*('Anchor Points'!$E$9-'Anchor Points'!$E$8)))))))</x:f>
        <x:v>5</x:v>
      </x:c>
      <x:c r="H72" s="30" t="n">
        <x:f>ROUND(G72,0)</x:f>
        <x:v>5</x:v>
      </x:c>
      <x:c r="I72" s="28" t="n">
        <x:f>IF(A72&lt;=15,'Anchor Points'!$F$2+(A72-'Anchor Points'!$A$2)/('Anchor Points'!$A$3-'Anchor Points'!$A$2)*('Anchor Points'!$F$3-'Anchor Points'!$F$2),IF(A72&lt;=25,'Anchor Points'!$F$3+(A72-'Anchor Points'!$A$3)/('Anchor Points'!$A$4-'Anchor Points'!$A$3)*('Anchor Points'!$F$4-'Anchor Points'!$F$3),IF(A72&lt;=40,'Anchor Points'!$F$4+(A72-'Anchor Points'!$A$4)/('Anchor Points'!$A$5-'Anchor Points'!$A$4)*('Anchor Points'!$F$5-'Anchor Points'!$F$4),IF(A72&lt;=55,'Anchor Points'!$F$5+(A72-'Anchor Points'!$A$5)/('Anchor Points'!$A$6-'Anchor Points'!$A$5)*('Anchor Points'!$F$6-'Anchor Points'!$F$5),IF(A72&lt;=70,'Anchor Points'!$F$6+(A72-'Anchor Points'!$A$6)/('Anchor Points'!$A$7-'Anchor Points'!$A$6)*('Anchor Points'!$F$7-'Anchor Points'!$F$6),IF(A72&lt;=90,'Anchor Points'!$F$7+(A72-'Anchor Points'!$A$7)/('Anchor Points'!$A$8-'Anchor Points'!$A$7)*('Anchor Points'!$F$8-'Anchor Points'!$F$7),'Anchor Points'!$F$8+(A72-'Anchor Points'!$A$8)/('Anchor Points'!$A$9-'Anchor Points'!$A$8)*('Anchor Points'!$F$9-'Anchor Points'!$F$8)))))))</x:f>
        <x:v>25</x:v>
      </x:c>
      <x:c r="K72" s="36" t="n">
        <x:f>A48</x:f>
        <x:v>46</x:v>
      </x:c>
      <x:c r="L72" s="36" t="n">
        <x:f>E48</x:f>
        <x:v>4</x:v>
      </x:c>
      <x:c r="M72" s="36" t="n">
        <x:f>G48</x:f>
        <x:v>0.4</x:v>
      </x:c>
      <x:c r="N72" s="36" t="n">
        <x:f>I48</x:f>
        <x:v>3.2</x:v>
      </x:c>
    </x:row>
    <x:row r="73">
      <x:c r="A73" s="30" t="n">
        <x:v>71</x:v>
      </x:c>
      <x:c r="B73" s="11" t="str">
        <x:f>IF(A73&lt;=15,"Seedling",IF(A73&lt;=25,"Establishment",IF(A73&lt;=40,"Vegetative Growth",IF(A73&lt;=55,"Flowering &amp; Initial Fruit Set",IF(A73&lt;=80,"Fruit Enlargement",IF(A73&lt;=95,"Ripening","Harvesting"))))))</x:f>
        <x:v>Fruit Enlargement</x:v>
      </x:c>
      <x:c r="C73" s="28" t="n">
        <x:f>IF(A73&lt;=15,'Anchor Points'!$B$2+(A73-'Anchor Points'!$A$2)/('Anchor Points'!$A$3-'Anchor Points'!$A$2)*('Anchor Points'!$B$3-'Anchor Points'!$B$2),IF(A73&lt;=25,'Anchor Points'!$B$3+(A73-'Anchor Points'!$A$3)/('Anchor Points'!$A$4-'Anchor Points'!$A$3)*('Anchor Points'!$B$4-'Anchor Points'!$B$3),IF(A73&lt;=40,'Anchor Points'!$B$4+(A73-'Anchor Points'!$A$4)/('Anchor Points'!$A$5-'Anchor Points'!$A$4)*('Anchor Points'!$B$5-'Anchor Points'!$B$4),IF(A73&lt;=55,'Anchor Points'!$B$5+(A73-'Anchor Points'!$A$5)/('Anchor Points'!$A$6-'Anchor Points'!$A$5)*('Anchor Points'!$B$6-'Anchor Points'!$B$5),IF(A73&lt;=70,'Anchor Points'!$B$6+(A73-'Anchor Points'!$A$6)/('Anchor Points'!$A$7-'Anchor Points'!$A$6)*('Anchor Points'!$B$7-'Anchor Points'!$B$6),IF(A73&lt;=90,'Anchor Points'!$B$7+(A73-'Anchor Points'!$A$7)/('Anchor Points'!$A$8-'Anchor Points'!$A$7)*('Anchor Points'!$B$8-'Anchor Points'!$B$7),'Anchor Points'!$B$8+(A73-'Anchor Points'!$A$8)/('Anchor Points'!$A$9-'Anchor Points'!$A$8)*('Anchor Points'!$B$9-'Anchor Points'!$B$8)))))))</x:f>
        <x:v>72.5</x:v>
      </x:c>
      <x:c r="D73" s="28" t="n">
        <x:f>IF(A73&lt;=15,'Anchor Points'!$C$2+(A73-'Anchor Points'!$A$2)/('Anchor Points'!$A$3-'Anchor Points'!$A$2)*('Anchor Points'!$C$3-'Anchor Points'!$C$2),IF(A73&lt;=25,'Anchor Points'!$C$3+(A73-'Anchor Points'!$A$3)/('Anchor Points'!$A$4-'Anchor Points'!$A$3)*('Anchor Points'!$C$4-'Anchor Points'!$C$3),IF(A73&lt;=40,'Anchor Points'!$C$4+(A73-'Anchor Points'!$A$4)/('Anchor Points'!$A$5-'Anchor Points'!$A$4)*('Anchor Points'!$C$5-'Anchor Points'!$C$4),IF(A73&lt;=55,'Anchor Points'!$C$5+(A73-'Anchor Points'!$A$5)/('Anchor Points'!$A$6-'Anchor Points'!$A$5)*('Anchor Points'!$C$6-'Anchor Points'!$C$5),IF(A73&lt;=70,'Anchor Points'!$C$6+(A73-'Anchor Points'!$A$6)/('Anchor Points'!$A$7-'Anchor Points'!$A$6)*('Anchor Points'!$C$7-'Anchor Points'!$C$6),IF(A73&lt;=90,'Anchor Points'!$C$7+(A73-'Anchor Points'!$A$7)/('Anchor Points'!$A$8-'Anchor Points'!$A$7)*('Anchor Points'!$C$8-'Anchor Points'!$C$7),'Anchor Points'!$C$8+(A73-'Anchor Points'!$A$8)/('Anchor Points'!$A$9-'Anchor Points'!$A$8)*('Anchor Points'!$C$9-'Anchor Points'!$C$8)))))))</x:f>
        <x:v>66</x:v>
      </x:c>
      <x:c r="E73" s="28" t="n">
        <x:f>IF(A73&lt;=15,'Anchor Points'!$D$2+(A73-'Anchor Points'!$A$2)/('Anchor Points'!$A$3-'Anchor Points'!$A$2)*('Anchor Points'!$D$3-'Anchor Points'!$D$2),IF(A73&lt;=25,'Anchor Points'!$D$3+(A73-'Anchor Points'!$A$3)/('Anchor Points'!$A$4-'Anchor Points'!$A$3)*('Anchor Points'!$D$4-'Anchor Points'!$D$3),IF(A73&lt;=40,'Anchor Points'!$D$4+(A73-'Anchor Points'!$A$4)/('Anchor Points'!$A$5-'Anchor Points'!$A$4)*('Anchor Points'!$D$5-'Anchor Points'!$D$4),IF(A73&lt;=55,'Anchor Points'!$D$5+(A73-'Anchor Points'!$A$5)/('Anchor Points'!$A$6-'Anchor Points'!$A$5)*('Anchor Points'!$D$6-'Anchor Points'!$D$5),IF(A73&lt;=70,'Anchor Points'!$D$6+(A73-'Anchor Points'!$A$6)/('Anchor Points'!$A$7-'Anchor Points'!$A$6)*('Anchor Points'!$D$7-'Anchor Points'!$D$6),IF(A73&lt;=90,'Anchor Points'!$D$7+(A73-'Anchor Points'!$A$7)/('Anchor Points'!$A$8-'Anchor Points'!$A$7)*('Anchor Points'!$D$8-'Anchor Points'!$D$7),'Anchor Points'!$D$8+(A73-'Anchor Points'!$A$8)/('Anchor Points'!$A$9-'Anchor Points'!$A$8)*('Anchor Points'!$D$9-'Anchor Points'!$D$8)))))))</x:f>
        <x:v>11.8</x:v>
      </x:c>
      <x:c r="F73" s="30" t="n">
        <x:f>ROUND(E73,0)</x:f>
        <x:v>12</x:v>
      </x:c>
      <x:c r="G73" s="28" t="n">
        <x:f>IF(A73&lt;=15,'Anchor Points'!$E$2+(A73-'Anchor Points'!$A$2)/('Anchor Points'!$A$3-'Anchor Points'!$A$2)*('Anchor Points'!$E$3-'Anchor Points'!$E$2),IF(A73&lt;=25,'Anchor Points'!$E$3+(A73-'Anchor Points'!$A$3)/('Anchor Points'!$A$4-'Anchor Points'!$A$3)*('Anchor Points'!$E$4-'Anchor Points'!$E$3),IF(A73&lt;=40,'Anchor Points'!$E$4+(A73-'Anchor Points'!$A$4)/('Anchor Points'!$A$5-'Anchor Points'!$A$4)*('Anchor Points'!$E$5-'Anchor Points'!$E$4),IF(A73&lt;=55,'Anchor Points'!$E$5+(A73-'Anchor Points'!$A$5)/('Anchor Points'!$A$6-'Anchor Points'!$A$5)*('Anchor Points'!$E$6-'Anchor Points'!$E$5),IF(A73&lt;=70,'Anchor Points'!$E$6+(A73-'Anchor Points'!$A$6)/('Anchor Points'!$A$7-'Anchor Points'!$A$6)*('Anchor Points'!$E$7-'Anchor Points'!$E$6),IF(A73&lt;=90,'Anchor Points'!$E$7+(A73-'Anchor Points'!$A$7)/('Anchor Points'!$A$8-'Anchor Points'!$A$7)*('Anchor Points'!$E$8-'Anchor Points'!$E$7),'Anchor Points'!$E$8+(A73-'Anchor Points'!$A$8)/('Anchor Points'!$A$9-'Anchor Points'!$A$8)*('Anchor Points'!$E$9-'Anchor Points'!$E$8)))))))</x:f>
        <x:v>5.25</x:v>
      </x:c>
      <x:c r="H73" s="30" t="n">
        <x:f>ROUND(G73,0)</x:f>
        <x:v>5</x:v>
      </x:c>
      <x:c r="I73" s="28" t="n">
        <x:f>IF(A73&lt;=15,'Anchor Points'!$F$2+(A73-'Anchor Points'!$A$2)/('Anchor Points'!$A$3-'Anchor Points'!$A$2)*('Anchor Points'!$F$3-'Anchor Points'!$F$2),IF(A73&lt;=25,'Anchor Points'!$F$3+(A73-'Anchor Points'!$A$3)/('Anchor Points'!$A$4-'Anchor Points'!$A$3)*('Anchor Points'!$F$4-'Anchor Points'!$F$3),IF(A73&lt;=40,'Anchor Points'!$F$4+(A73-'Anchor Points'!$A$4)/('Anchor Points'!$A$5-'Anchor Points'!$A$4)*('Anchor Points'!$F$5-'Anchor Points'!$F$4),IF(A73&lt;=55,'Anchor Points'!$F$5+(A73-'Anchor Points'!$A$5)/('Anchor Points'!$A$6-'Anchor Points'!$A$5)*('Anchor Points'!$F$6-'Anchor Points'!$F$5),IF(A73&lt;=70,'Anchor Points'!$F$6+(A73-'Anchor Points'!$A$6)/('Anchor Points'!$A$7-'Anchor Points'!$A$6)*('Anchor Points'!$F$7-'Anchor Points'!$F$6),IF(A73&lt;=90,'Anchor Points'!$F$7+(A73-'Anchor Points'!$A$7)/('Anchor Points'!$A$8-'Anchor Points'!$A$7)*('Anchor Points'!$F$8-'Anchor Points'!$F$7),'Anchor Points'!$F$8+(A73-'Anchor Points'!$A$8)/('Anchor Points'!$A$9-'Anchor Points'!$A$8)*('Anchor Points'!$F$9-'Anchor Points'!$F$8)))))))</x:f>
        <x:v>26.25</x:v>
      </x:c>
      <x:c r="K73" s="36" t="n">
        <x:f>A49</x:f>
        <x:v>47</x:v>
      </x:c>
      <x:c r="L73" s="36" t="n">
        <x:f>E49</x:f>
        <x:v>4.333333333333334</x:v>
      </x:c>
      <x:c r="M73" s="36" t="n">
        <x:f>G49</x:f>
        <x:v>0.4666666666666667</x:v>
      </x:c>
      <x:c r="N73" s="36" t="n">
        <x:f>I49</x:f>
        <x:v>3.7333333333333334</x:v>
      </x:c>
    </x:row>
    <x:row r="74">
      <x:c r="A74" s="30" t="n">
        <x:v>72</x:v>
      </x:c>
      <x:c r="B74" s="11" t="str">
        <x:f>IF(A74&lt;=15,"Seedling",IF(A74&lt;=25,"Establishment",IF(A74&lt;=40,"Vegetative Growth",IF(A74&lt;=55,"Flowering &amp; Initial Fruit Set",IF(A74&lt;=80,"Fruit Enlargement",IF(A74&lt;=95,"Ripening","Harvesting"))))))</x:f>
        <x:v>Fruit Enlargement</x:v>
      </x:c>
      <x:c r="C74" s="28" t="n">
        <x:f>IF(A74&lt;=15,'Anchor Points'!$B$2+(A74-'Anchor Points'!$A$2)/('Anchor Points'!$A$3-'Anchor Points'!$A$2)*('Anchor Points'!$B$3-'Anchor Points'!$B$2),IF(A74&lt;=25,'Anchor Points'!$B$3+(A74-'Anchor Points'!$A$3)/('Anchor Points'!$A$4-'Anchor Points'!$A$3)*('Anchor Points'!$B$4-'Anchor Points'!$B$3),IF(A74&lt;=40,'Anchor Points'!$B$4+(A74-'Anchor Points'!$A$4)/('Anchor Points'!$A$5-'Anchor Points'!$A$4)*('Anchor Points'!$B$5-'Anchor Points'!$B$4),IF(A74&lt;=55,'Anchor Points'!$B$5+(A74-'Anchor Points'!$A$5)/('Anchor Points'!$A$6-'Anchor Points'!$A$5)*('Anchor Points'!$B$6-'Anchor Points'!$B$5),IF(A74&lt;=70,'Anchor Points'!$B$6+(A74-'Anchor Points'!$A$6)/('Anchor Points'!$A$7-'Anchor Points'!$A$6)*('Anchor Points'!$B$7-'Anchor Points'!$B$6),IF(A74&lt;=90,'Anchor Points'!$B$7+(A74-'Anchor Points'!$A$7)/('Anchor Points'!$A$8-'Anchor Points'!$A$7)*('Anchor Points'!$B$8-'Anchor Points'!$B$7),'Anchor Points'!$B$8+(A74-'Anchor Points'!$A$8)/('Anchor Points'!$A$9-'Anchor Points'!$A$8)*('Anchor Points'!$B$9-'Anchor Points'!$B$8)))))))</x:f>
        <x:v>73</x:v>
      </x:c>
      <x:c r="D74" s="28" t="n">
        <x:f>IF(A74&lt;=15,'Anchor Points'!$C$2+(A74-'Anchor Points'!$A$2)/('Anchor Points'!$A$3-'Anchor Points'!$A$2)*('Anchor Points'!$C$3-'Anchor Points'!$C$2),IF(A74&lt;=25,'Anchor Points'!$C$3+(A74-'Anchor Points'!$A$3)/('Anchor Points'!$A$4-'Anchor Points'!$A$3)*('Anchor Points'!$C$4-'Anchor Points'!$C$3),IF(A74&lt;=40,'Anchor Points'!$C$4+(A74-'Anchor Points'!$A$4)/('Anchor Points'!$A$5-'Anchor Points'!$A$4)*('Anchor Points'!$C$5-'Anchor Points'!$C$4),IF(A74&lt;=55,'Anchor Points'!$C$5+(A74-'Anchor Points'!$A$5)/('Anchor Points'!$A$6-'Anchor Points'!$A$5)*('Anchor Points'!$C$6-'Anchor Points'!$C$5),IF(A74&lt;=70,'Anchor Points'!$C$6+(A74-'Anchor Points'!$A$6)/('Anchor Points'!$A$7-'Anchor Points'!$A$6)*('Anchor Points'!$C$7-'Anchor Points'!$C$6),IF(A74&lt;=90,'Anchor Points'!$C$7+(A74-'Anchor Points'!$A$7)/('Anchor Points'!$A$8-'Anchor Points'!$A$7)*('Anchor Points'!$C$8-'Anchor Points'!$C$7),'Anchor Points'!$C$8+(A74-'Anchor Points'!$A$8)/('Anchor Points'!$A$9-'Anchor Points'!$A$8)*('Anchor Points'!$C$9-'Anchor Points'!$C$8)))))))</x:f>
        <x:v>67</x:v>
      </x:c>
      <x:c r="E74" s="28" t="n">
        <x:f>IF(A74&lt;=15,'Anchor Points'!$D$2+(A74-'Anchor Points'!$A$2)/('Anchor Points'!$A$3-'Anchor Points'!$A$2)*('Anchor Points'!$D$3-'Anchor Points'!$D$2),IF(A74&lt;=25,'Anchor Points'!$D$3+(A74-'Anchor Points'!$A$3)/('Anchor Points'!$A$4-'Anchor Points'!$A$3)*('Anchor Points'!$D$4-'Anchor Points'!$D$3),IF(A74&lt;=40,'Anchor Points'!$D$4+(A74-'Anchor Points'!$A$4)/('Anchor Points'!$A$5-'Anchor Points'!$A$4)*('Anchor Points'!$D$5-'Anchor Points'!$D$4),IF(A74&lt;=55,'Anchor Points'!$D$5+(A74-'Anchor Points'!$A$5)/('Anchor Points'!$A$6-'Anchor Points'!$A$5)*('Anchor Points'!$D$6-'Anchor Points'!$D$5),IF(A74&lt;=70,'Anchor Points'!$D$6+(A74-'Anchor Points'!$A$6)/('Anchor Points'!$A$7-'Anchor Points'!$A$6)*('Anchor Points'!$D$7-'Anchor Points'!$D$6),IF(A74&lt;=90,'Anchor Points'!$D$7+(A74-'Anchor Points'!$A$7)/('Anchor Points'!$A$8-'Anchor Points'!$A$7)*('Anchor Points'!$D$8-'Anchor Points'!$D$7),'Anchor Points'!$D$8+(A74-'Anchor Points'!$A$8)/('Anchor Points'!$A$9-'Anchor Points'!$A$8)*('Anchor Points'!$D$9-'Anchor Points'!$D$8)))))))</x:f>
        <x:v>11.6</x:v>
      </x:c>
      <x:c r="F74" s="30" t="n">
        <x:f>ROUND(E74,0)</x:f>
        <x:v>12</x:v>
      </x:c>
      <x:c r="G74" s="28" t="n">
        <x:f>IF(A74&lt;=15,'Anchor Points'!$E$2+(A74-'Anchor Points'!$A$2)/('Anchor Points'!$A$3-'Anchor Points'!$A$2)*('Anchor Points'!$E$3-'Anchor Points'!$E$2),IF(A74&lt;=25,'Anchor Points'!$E$3+(A74-'Anchor Points'!$A$3)/('Anchor Points'!$A$4-'Anchor Points'!$A$3)*('Anchor Points'!$E$4-'Anchor Points'!$E$3),IF(A74&lt;=40,'Anchor Points'!$E$4+(A74-'Anchor Points'!$A$4)/('Anchor Points'!$A$5-'Anchor Points'!$A$4)*('Anchor Points'!$E$5-'Anchor Points'!$E$4),IF(A74&lt;=55,'Anchor Points'!$E$5+(A74-'Anchor Points'!$A$5)/('Anchor Points'!$A$6-'Anchor Points'!$A$5)*('Anchor Points'!$E$6-'Anchor Points'!$E$5),IF(A74&lt;=70,'Anchor Points'!$E$6+(A74-'Anchor Points'!$A$6)/('Anchor Points'!$A$7-'Anchor Points'!$A$6)*('Anchor Points'!$E$7-'Anchor Points'!$E$6),IF(A74&lt;=90,'Anchor Points'!$E$7+(A74-'Anchor Points'!$A$7)/('Anchor Points'!$A$8-'Anchor Points'!$A$7)*('Anchor Points'!$E$8-'Anchor Points'!$E$7),'Anchor Points'!$E$8+(A74-'Anchor Points'!$A$8)/('Anchor Points'!$A$9-'Anchor Points'!$A$8)*('Anchor Points'!$E$9-'Anchor Points'!$E$8)))))))</x:f>
        <x:v>5.5</x:v>
      </x:c>
      <x:c r="H74" s="30" t="n">
        <x:f>ROUND(G74,0)</x:f>
        <x:v>6</x:v>
      </x:c>
      <x:c r="I74" s="28" t="n">
        <x:f>IF(A74&lt;=15,'Anchor Points'!$F$2+(A74-'Anchor Points'!$A$2)/('Anchor Points'!$A$3-'Anchor Points'!$A$2)*('Anchor Points'!$F$3-'Anchor Points'!$F$2),IF(A74&lt;=25,'Anchor Points'!$F$3+(A74-'Anchor Points'!$A$3)/('Anchor Points'!$A$4-'Anchor Points'!$A$3)*('Anchor Points'!$F$4-'Anchor Points'!$F$3),IF(A74&lt;=40,'Anchor Points'!$F$4+(A74-'Anchor Points'!$A$4)/('Anchor Points'!$A$5-'Anchor Points'!$A$4)*('Anchor Points'!$F$5-'Anchor Points'!$F$4),IF(A74&lt;=55,'Anchor Points'!$F$5+(A74-'Anchor Points'!$A$5)/('Anchor Points'!$A$6-'Anchor Points'!$A$5)*('Anchor Points'!$F$6-'Anchor Points'!$F$5),IF(A74&lt;=70,'Anchor Points'!$F$6+(A74-'Anchor Points'!$A$6)/('Anchor Points'!$A$7-'Anchor Points'!$A$6)*('Anchor Points'!$F$7-'Anchor Points'!$F$6),IF(A74&lt;=90,'Anchor Points'!$F$7+(A74-'Anchor Points'!$A$7)/('Anchor Points'!$A$8-'Anchor Points'!$A$7)*('Anchor Points'!$F$8-'Anchor Points'!$F$7),'Anchor Points'!$F$8+(A74-'Anchor Points'!$A$8)/('Anchor Points'!$A$9-'Anchor Points'!$A$8)*('Anchor Points'!$F$9-'Anchor Points'!$F$8)))))))</x:f>
        <x:v>27.5</x:v>
      </x:c>
      <x:c r="K74" s="36" t="n">
        <x:f>A50</x:f>
        <x:v>48</x:v>
      </x:c>
      <x:c r="L74" s="36" t="n">
        <x:f>E50</x:f>
        <x:v>4.666666666666666</x:v>
      </x:c>
      <x:c r="M74" s="36" t="n">
        <x:f>G50</x:f>
        <x:v>0.5333333333333333</x:v>
      </x:c>
      <x:c r="N74" s="36" t="n">
        <x:f>I50</x:f>
        <x:v>4.266666666666667</x:v>
      </x:c>
    </x:row>
    <x:row r="75">
      <x:c r="A75" s="30" t="n">
        <x:v>73</x:v>
      </x:c>
      <x:c r="B75" s="11" t="str">
        <x:f>IF(A75&lt;=15,"Seedling",IF(A75&lt;=25,"Establishment",IF(A75&lt;=40,"Vegetative Growth",IF(A75&lt;=55,"Flowering &amp; Initial Fruit Set",IF(A75&lt;=80,"Fruit Enlargement",IF(A75&lt;=95,"Ripening","Harvesting"))))))</x:f>
        <x:v>Fruit Enlargement</x:v>
      </x:c>
      <x:c r="C75" s="28" t="n">
        <x:f>IF(A75&lt;=15,'Anchor Points'!$B$2+(A75-'Anchor Points'!$A$2)/('Anchor Points'!$A$3-'Anchor Points'!$A$2)*('Anchor Points'!$B$3-'Anchor Points'!$B$2),IF(A75&lt;=25,'Anchor Points'!$B$3+(A75-'Anchor Points'!$A$3)/('Anchor Points'!$A$4-'Anchor Points'!$A$3)*('Anchor Points'!$B$4-'Anchor Points'!$B$3),IF(A75&lt;=40,'Anchor Points'!$B$4+(A75-'Anchor Points'!$A$4)/('Anchor Points'!$A$5-'Anchor Points'!$A$4)*('Anchor Points'!$B$5-'Anchor Points'!$B$4),IF(A75&lt;=55,'Anchor Points'!$B$5+(A75-'Anchor Points'!$A$5)/('Anchor Points'!$A$6-'Anchor Points'!$A$5)*('Anchor Points'!$B$6-'Anchor Points'!$B$5),IF(A75&lt;=70,'Anchor Points'!$B$6+(A75-'Anchor Points'!$A$6)/('Anchor Points'!$A$7-'Anchor Points'!$A$6)*('Anchor Points'!$B$7-'Anchor Points'!$B$6),IF(A75&lt;=90,'Anchor Points'!$B$7+(A75-'Anchor Points'!$A$7)/('Anchor Points'!$A$8-'Anchor Points'!$A$7)*('Anchor Points'!$B$8-'Anchor Points'!$B$7),'Anchor Points'!$B$8+(A75-'Anchor Points'!$A$8)/('Anchor Points'!$A$9-'Anchor Points'!$A$8)*('Anchor Points'!$B$9-'Anchor Points'!$B$8)))))))</x:f>
        <x:v>73.5</x:v>
      </x:c>
      <x:c r="D75" s="28" t="n">
        <x:f>IF(A75&lt;=15,'Anchor Points'!$C$2+(A75-'Anchor Points'!$A$2)/('Anchor Points'!$A$3-'Anchor Points'!$A$2)*('Anchor Points'!$C$3-'Anchor Points'!$C$2),IF(A75&lt;=25,'Anchor Points'!$C$3+(A75-'Anchor Points'!$A$3)/('Anchor Points'!$A$4-'Anchor Points'!$A$3)*('Anchor Points'!$C$4-'Anchor Points'!$C$3),IF(A75&lt;=40,'Anchor Points'!$C$4+(A75-'Anchor Points'!$A$4)/('Anchor Points'!$A$5-'Anchor Points'!$A$4)*('Anchor Points'!$C$5-'Anchor Points'!$C$4),IF(A75&lt;=55,'Anchor Points'!$C$5+(A75-'Anchor Points'!$A$5)/('Anchor Points'!$A$6-'Anchor Points'!$A$5)*('Anchor Points'!$C$6-'Anchor Points'!$C$5),IF(A75&lt;=70,'Anchor Points'!$C$6+(A75-'Anchor Points'!$A$6)/('Anchor Points'!$A$7-'Anchor Points'!$A$6)*('Anchor Points'!$C$7-'Anchor Points'!$C$6),IF(A75&lt;=90,'Anchor Points'!$C$7+(A75-'Anchor Points'!$A$7)/('Anchor Points'!$A$8-'Anchor Points'!$A$7)*('Anchor Points'!$C$8-'Anchor Points'!$C$7),'Anchor Points'!$C$8+(A75-'Anchor Points'!$A$8)/('Anchor Points'!$A$9-'Anchor Points'!$A$8)*('Anchor Points'!$C$9-'Anchor Points'!$C$8)))))))</x:f>
        <x:v>68</x:v>
      </x:c>
      <x:c r="E75" s="28" t="n">
        <x:f>IF(A75&lt;=15,'Anchor Points'!$D$2+(A75-'Anchor Points'!$A$2)/('Anchor Points'!$A$3-'Anchor Points'!$A$2)*('Anchor Points'!$D$3-'Anchor Points'!$D$2),IF(A75&lt;=25,'Anchor Points'!$D$3+(A75-'Anchor Points'!$A$3)/('Anchor Points'!$A$4-'Anchor Points'!$A$3)*('Anchor Points'!$D$4-'Anchor Points'!$D$3),IF(A75&lt;=40,'Anchor Points'!$D$4+(A75-'Anchor Points'!$A$4)/('Anchor Points'!$A$5-'Anchor Points'!$A$4)*('Anchor Points'!$D$5-'Anchor Points'!$D$4),IF(A75&lt;=55,'Anchor Points'!$D$5+(A75-'Anchor Points'!$A$5)/('Anchor Points'!$A$6-'Anchor Points'!$A$5)*('Anchor Points'!$D$6-'Anchor Points'!$D$5),IF(A75&lt;=70,'Anchor Points'!$D$6+(A75-'Anchor Points'!$A$6)/('Anchor Points'!$A$7-'Anchor Points'!$A$6)*('Anchor Points'!$D$7-'Anchor Points'!$D$6),IF(A75&lt;=90,'Anchor Points'!$D$7+(A75-'Anchor Points'!$A$7)/('Anchor Points'!$A$8-'Anchor Points'!$A$7)*('Anchor Points'!$D$8-'Anchor Points'!$D$7),'Anchor Points'!$D$8+(A75-'Anchor Points'!$A$8)/('Anchor Points'!$A$9-'Anchor Points'!$A$8)*('Anchor Points'!$D$9-'Anchor Points'!$D$8)))))))</x:f>
        <x:v>11.4</x:v>
      </x:c>
      <x:c r="F75" s="30" t="n">
        <x:f>ROUND(E75,0)</x:f>
        <x:v>11</x:v>
      </x:c>
      <x:c r="G75" s="28" t="n">
        <x:f>IF(A75&lt;=15,'Anchor Points'!$E$2+(A75-'Anchor Points'!$A$2)/('Anchor Points'!$A$3-'Anchor Points'!$A$2)*('Anchor Points'!$E$3-'Anchor Points'!$E$2),IF(A75&lt;=25,'Anchor Points'!$E$3+(A75-'Anchor Points'!$A$3)/('Anchor Points'!$A$4-'Anchor Points'!$A$3)*('Anchor Points'!$E$4-'Anchor Points'!$E$3),IF(A75&lt;=40,'Anchor Points'!$E$4+(A75-'Anchor Points'!$A$4)/('Anchor Points'!$A$5-'Anchor Points'!$A$4)*('Anchor Points'!$E$5-'Anchor Points'!$E$4),IF(A75&lt;=55,'Anchor Points'!$E$5+(A75-'Anchor Points'!$A$5)/('Anchor Points'!$A$6-'Anchor Points'!$A$5)*('Anchor Points'!$E$6-'Anchor Points'!$E$5),IF(A75&lt;=70,'Anchor Points'!$E$6+(A75-'Anchor Points'!$A$6)/('Anchor Points'!$A$7-'Anchor Points'!$A$6)*('Anchor Points'!$E$7-'Anchor Points'!$E$6),IF(A75&lt;=90,'Anchor Points'!$E$7+(A75-'Anchor Points'!$A$7)/('Anchor Points'!$A$8-'Anchor Points'!$A$7)*('Anchor Points'!$E$8-'Anchor Points'!$E$7),'Anchor Points'!$E$8+(A75-'Anchor Points'!$A$8)/('Anchor Points'!$A$9-'Anchor Points'!$A$8)*('Anchor Points'!$E$9-'Anchor Points'!$E$8)))))))</x:f>
        <x:v>5.75</x:v>
      </x:c>
      <x:c r="H75" s="30" t="n">
        <x:f>ROUND(G75,0)</x:f>
        <x:v>6</x:v>
      </x:c>
      <x:c r="I75" s="28" t="n">
        <x:f>IF(A75&lt;=15,'Anchor Points'!$F$2+(A75-'Anchor Points'!$A$2)/('Anchor Points'!$A$3-'Anchor Points'!$A$2)*('Anchor Points'!$F$3-'Anchor Points'!$F$2),IF(A75&lt;=25,'Anchor Points'!$F$3+(A75-'Anchor Points'!$A$3)/('Anchor Points'!$A$4-'Anchor Points'!$A$3)*('Anchor Points'!$F$4-'Anchor Points'!$F$3),IF(A75&lt;=40,'Anchor Points'!$F$4+(A75-'Anchor Points'!$A$4)/('Anchor Points'!$A$5-'Anchor Points'!$A$4)*('Anchor Points'!$F$5-'Anchor Points'!$F$4),IF(A75&lt;=55,'Anchor Points'!$F$5+(A75-'Anchor Points'!$A$5)/('Anchor Points'!$A$6-'Anchor Points'!$A$5)*('Anchor Points'!$F$6-'Anchor Points'!$F$5),IF(A75&lt;=70,'Anchor Points'!$F$6+(A75-'Anchor Points'!$A$6)/('Anchor Points'!$A$7-'Anchor Points'!$A$6)*('Anchor Points'!$F$7-'Anchor Points'!$F$6),IF(A75&lt;=90,'Anchor Points'!$F$7+(A75-'Anchor Points'!$A$7)/('Anchor Points'!$A$8-'Anchor Points'!$A$7)*('Anchor Points'!$F$8-'Anchor Points'!$F$7),'Anchor Points'!$F$8+(A75-'Anchor Points'!$A$8)/('Anchor Points'!$A$9-'Anchor Points'!$A$8)*('Anchor Points'!$F$9-'Anchor Points'!$F$8)))))))</x:f>
        <x:v>28.75</x:v>
      </x:c>
      <x:c r="K75" s="36" t="n">
        <x:f>A51</x:f>
        <x:v>49</x:v>
      </x:c>
      <x:c r="L75" s="36" t="n">
        <x:f>E51</x:f>
        <x:v>5</x:v>
      </x:c>
      <x:c r="M75" s="36" t="n">
        <x:f>G51</x:f>
        <x:v>0.6</x:v>
      </x:c>
      <x:c r="N75" s="36" t="n">
        <x:f>I51</x:f>
        <x:v>4.8</x:v>
      </x:c>
    </x:row>
    <x:row r="76">
      <x:c r="A76" s="30" t="n">
        <x:v>74</x:v>
      </x:c>
      <x:c r="B76" s="11" t="str">
        <x:f>IF(A76&lt;=15,"Seedling",IF(A76&lt;=25,"Establishment",IF(A76&lt;=40,"Vegetative Growth",IF(A76&lt;=55,"Flowering &amp; Initial Fruit Set",IF(A76&lt;=80,"Fruit Enlargement",IF(A76&lt;=95,"Ripening","Harvesting"))))))</x:f>
        <x:v>Fruit Enlargement</x:v>
      </x:c>
      <x:c r="C76" s="28" t="n">
        <x:f>IF(A76&lt;=15,'Anchor Points'!$B$2+(A76-'Anchor Points'!$A$2)/('Anchor Points'!$A$3-'Anchor Points'!$A$2)*('Anchor Points'!$B$3-'Anchor Points'!$B$2),IF(A76&lt;=25,'Anchor Points'!$B$3+(A76-'Anchor Points'!$A$3)/('Anchor Points'!$A$4-'Anchor Points'!$A$3)*('Anchor Points'!$B$4-'Anchor Points'!$B$3),IF(A76&lt;=40,'Anchor Points'!$B$4+(A76-'Anchor Points'!$A$4)/('Anchor Points'!$A$5-'Anchor Points'!$A$4)*('Anchor Points'!$B$5-'Anchor Points'!$B$4),IF(A76&lt;=55,'Anchor Points'!$B$5+(A76-'Anchor Points'!$A$5)/('Anchor Points'!$A$6-'Anchor Points'!$A$5)*('Anchor Points'!$B$6-'Anchor Points'!$B$5),IF(A76&lt;=70,'Anchor Points'!$B$6+(A76-'Anchor Points'!$A$6)/('Anchor Points'!$A$7-'Anchor Points'!$A$6)*('Anchor Points'!$B$7-'Anchor Points'!$B$6),IF(A76&lt;=90,'Anchor Points'!$B$7+(A76-'Anchor Points'!$A$7)/('Anchor Points'!$A$8-'Anchor Points'!$A$7)*('Anchor Points'!$B$8-'Anchor Points'!$B$7),'Anchor Points'!$B$8+(A76-'Anchor Points'!$A$8)/('Anchor Points'!$A$9-'Anchor Points'!$A$8)*('Anchor Points'!$B$9-'Anchor Points'!$B$8)))))))</x:f>
        <x:v>74</x:v>
      </x:c>
      <x:c r="D76" s="28" t="n">
        <x:f>IF(A76&lt;=15,'Anchor Points'!$C$2+(A76-'Anchor Points'!$A$2)/('Anchor Points'!$A$3-'Anchor Points'!$A$2)*('Anchor Points'!$C$3-'Anchor Points'!$C$2),IF(A76&lt;=25,'Anchor Points'!$C$3+(A76-'Anchor Points'!$A$3)/('Anchor Points'!$A$4-'Anchor Points'!$A$3)*('Anchor Points'!$C$4-'Anchor Points'!$C$3),IF(A76&lt;=40,'Anchor Points'!$C$4+(A76-'Anchor Points'!$A$4)/('Anchor Points'!$A$5-'Anchor Points'!$A$4)*('Anchor Points'!$C$5-'Anchor Points'!$C$4),IF(A76&lt;=55,'Anchor Points'!$C$5+(A76-'Anchor Points'!$A$5)/('Anchor Points'!$A$6-'Anchor Points'!$A$5)*('Anchor Points'!$C$6-'Anchor Points'!$C$5),IF(A76&lt;=70,'Anchor Points'!$C$6+(A76-'Anchor Points'!$A$6)/('Anchor Points'!$A$7-'Anchor Points'!$A$6)*('Anchor Points'!$C$7-'Anchor Points'!$C$6),IF(A76&lt;=90,'Anchor Points'!$C$7+(A76-'Anchor Points'!$A$7)/('Anchor Points'!$A$8-'Anchor Points'!$A$7)*('Anchor Points'!$C$8-'Anchor Points'!$C$7),'Anchor Points'!$C$8+(A76-'Anchor Points'!$A$8)/('Anchor Points'!$A$9-'Anchor Points'!$A$8)*('Anchor Points'!$C$9-'Anchor Points'!$C$8)))))))</x:f>
        <x:v>69</x:v>
      </x:c>
      <x:c r="E76" s="28" t="n">
        <x:f>IF(A76&lt;=15,'Anchor Points'!$D$2+(A76-'Anchor Points'!$A$2)/('Anchor Points'!$A$3-'Anchor Points'!$A$2)*('Anchor Points'!$D$3-'Anchor Points'!$D$2),IF(A76&lt;=25,'Anchor Points'!$D$3+(A76-'Anchor Points'!$A$3)/('Anchor Points'!$A$4-'Anchor Points'!$A$3)*('Anchor Points'!$D$4-'Anchor Points'!$D$3),IF(A76&lt;=40,'Anchor Points'!$D$4+(A76-'Anchor Points'!$A$4)/('Anchor Points'!$A$5-'Anchor Points'!$A$4)*('Anchor Points'!$D$5-'Anchor Points'!$D$4),IF(A76&lt;=55,'Anchor Points'!$D$5+(A76-'Anchor Points'!$A$5)/('Anchor Points'!$A$6-'Anchor Points'!$A$5)*('Anchor Points'!$D$6-'Anchor Points'!$D$5),IF(A76&lt;=70,'Anchor Points'!$D$6+(A76-'Anchor Points'!$A$6)/('Anchor Points'!$A$7-'Anchor Points'!$A$6)*('Anchor Points'!$D$7-'Anchor Points'!$D$6),IF(A76&lt;=90,'Anchor Points'!$D$7+(A76-'Anchor Points'!$A$7)/('Anchor Points'!$A$8-'Anchor Points'!$A$7)*('Anchor Points'!$D$8-'Anchor Points'!$D$7),'Anchor Points'!$D$8+(A76-'Anchor Points'!$A$8)/('Anchor Points'!$A$9-'Anchor Points'!$A$8)*('Anchor Points'!$D$9-'Anchor Points'!$D$8)))))))</x:f>
        <x:v>11.2</x:v>
      </x:c>
      <x:c r="F76" s="30" t="n">
        <x:f>ROUND(E76,0)</x:f>
        <x:v>11</x:v>
      </x:c>
      <x:c r="G76" s="28" t="n">
        <x:f>IF(A76&lt;=15,'Anchor Points'!$E$2+(A76-'Anchor Points'!$A$2)/('Anchor Points'!$A$3-'Anchor Points'!$A$2)*('Anchor Points'!$E$3-'Anchor Points'!$E$2),IF(A76&lt;=25,'Anchor Points'!$E$3+(A76-'Anchor Points'!$A$3)/('Anchor Points'!$A$4-'Anchor Points'!$A$3)*('Anchor Points'!$E$4-'Anchor Points'!$E$3),IF(A76&lt;=40,'Anchor Points'!$E$4+(A76-'Anchor Points'!$A$4)/('Anchor Points'!$A$5-'Anchor Points'!$A$4)*('Anchor Points'!$E$5-'Anchor Points'!$E$4),IF(A76&lt;=55,'Anchor Points'!$E$5+(A76-'Anchor Points'!$A$5)/('Anchor Points'!$A$6-'Anchor Points'!$A$5)*('Anchor Points'!$E$6-'Anchor Points'!$E$5),IF(A76&lt;=70,'Anchor Points'!$E$6+(A76-'Anchor Points'!$A$6)/('Anchor Points'!$A$7-'Anchor Points'!$A$6)*('Anchor Points'!$E$7-'Anchor Points'!$E$6),IF(A76&lt;=90,'Anchor Points'!$E$7+(A76-'Anchor Points'!$A$7)/('Anchor Points'!$A$8-'Anchor Points'!$A$7)*('Anchor Points'!$E$8-'Anchor Points'!$E$7),'Anchor Points'!$E$8+(A76-'Anchor Points'!$A$8)/('Anchor Points'!$A$9-'Anchor Points'!$A$8)*('Anchor Points'!$E$9-'Anchor Points'!$E$8)))))))</x:f>
        <x:v>6</x:v>
      </x:c>
      <x:c r="H76" s="30" t="n">
        <x:f>ROUND(G76,0)</x:f>
        <x:v>6</x:v>
      </x:c>
      <x:c r="I76" s="28" t="n">
        <x:f>IF(A76&lt;=15,'Anchor Points'!$F$2+(A76-'Anchor Points'!$A$2)/('Anchor Points'!$A$3-'Anchor Points'!$A$2)*('Anchor Points'!$F$3-'Anchor Points'!$F$2),IF(A76&lt;=25,'Anchor Points'!$F$3+(A76-'Anchor Points'!$A$3)/('Anchor Points'!$A$4-'Anchor Points'!$A$3)*('Anchor Points'!$F$4-'Anchor Points'!$F$3),IF(A76&lt;=40,'Anchor Points'!$F$4+(A76-'Anchor Points'!$A$4)/('Anchor Points'!$A$5-'Anchor Points'!$A$4)*('Anchor Points'!$F$5-'Anchor Points'!$F$4),IF(A76&lt;=55,'Anchor Points'!$F$5+(A76-'Anchor Points'!$A$5)/('Anchor Points'!$A$6-'Anchor Points'!$A$5)*('Anchor Points'!$F$6-'Anchor Points'!$F$5),IF(A76&lt;=70,'Anchor Points'!$F$6+(A76-'Anchor Points'!$A$6)/('Anchor Points'!$A$7-'Anchor Points'!$A$6)*('Anchor Points'!$F$7-'Anchor Points'!$F$6),IF(A76&lt;=90,'Anchor Points'!$F$7+(A76-'Anchor Points'!$A$7)/('Anchor Points'!$A$8-'Anchor Points'!$A$7)*('Anchor Points'!$F$8-'Anchor Points'!$F$7),'Anchor Points'!$F$8+(A76-'Anchor Points'!$A$8)/('Anchor Points'!$A$9-'Anchor Points'!$A$8)*('Anchor Points'!$F$9-'Anchor Points'!$F$8)))))))</x:f>
        <x:v>30</x:v>
      </x:c>
      <x:c r="K76" s="36" t="n">
        <x:f>A52</x:f>
        <x:v>50</x:v>
      </x:c>
      <x:c r="L76" s="36" t="n">
        <x:f>E52</x:f>
        <x:v>5.333333333333333</x:v>
      </x:c>
      <x:c r="M76" s="36" t="n">
        <x:f>G52</x:f>
        <x:v>0.6666666666666666</x:v>
      </x:c>
      <x:c r="N76" s="36" t="n">
        <x:f>I52</x:f>
        <x:v>5.333333333333333</x:v>
      </x:c>
    </x:row>
    <x:row r="77">
      <x:c r="A77" s="30" t="n">
        <x:v>75</x:v>
      </x:c>
      <x:c r="B77" s="11" t="str">
        <x:f>IF(A77&lt;=15,"Seedling",IF(A77&lt;=25,"Establishment",IF(A77&lt;=40,"Vegetative Growth",IF(A77&lt;=55,"Flowering &amp; Initial Fruit Set",IF(A77&lt;=80,"Fruit Enlargement",IF(A77&lt;=95,"Ripening","Harvesting"))))))</x:f>
        <x:v>Fruit Enlargement</x:v>
      </x:c>
      <x:c r="C77" s="28" t="n">
        <x:f>IF(A77&lt;=15,'Anchor Points'!$B$2+(A77-'Anchor Points'!$A$2)/('Anchor Points'!$A$3-'Anchor Points'!$A$2)*('Anchor Points'!$B$3-'Anchor Points'!$B$2),IF(A77&lt;=25,'Anchor Points'!$B$3+(A77-'Anchor Points'!$A$3)/('Anchor Points'!$A$4-'Anchor Points'!$A$3)*('Anchor Points'!$B$4-'Anchor Points'!$B$3),IF(A77&lt;=40,'Anchor Points'!$B$4+(A77-'Anchor Points'!$A$4)/('Anchor Points'!$A$5-'Anchor Points'!$A$4)*('Anchor Points'!$B$5-'Anchor Points'!$B$4),IF(A77&lt;=55,'Anchor Points'!$B$5+(A77-'Anchor Points'!$A$5)/('Anchor Points'!$A$6-'Anchor Points'!$A$5)*('Anchor Points'!$B$6-'Anchor Points'!$B$5),IF(A77&lt;=70,'Anchor Points'!$B$6+(A77-'Anchor Points'!$A$6)/('Anchor Points'!$A$7-'Anchor Points'!$A$6)*('Anchor Points'!$B$7-'Anchor Points'!$B$6),IF(A77&lt;=90,'Anchor Points'!$B$7+(A77-'Anchor Points'!$A$7)/('Anchor Points'!$A$8-'Anchor Points'!$A$7)*('Anchor Points'!$B$8-'Anchor Points'!$B$7),'Anchor Points'!$B$8+(A77-'Anchor Points'!$A$8)/('Anchor Points'!$A$9-'Anchor Points'!$A$8)*('Anchor Points'!$B$9-'Anchor Points'!$B$8)))))))</x:f>
        <x:v>74.5</x:v>
      </x:c>
      <x:c r="D77" s="28" t="n">
        <x:f>IF(A77&lt;=15,'Anchor Points'!$C$2+(A77-'Anchor Points'!$A$2)/('Anchor Points'!$A$3-'Anchor Points'!$A$2)*('Anchor Points'!$C$3-'Anchor Points'!$C$2),IF(A77&lt;=25,'Anchor Points'!$C$3+(A77-'Anchor Points'!$A$3)/('Anchor Points'!$A$4-'Anchor Points'!$A$3)*('Anchor Points'!$C$4-'Anchor Points'!$C$3),IF(A77&lt;=40,'Anchor Points'!$C$4+(A77-'Anchor Points'!$A$4)/('Anchor Points'!$A$5-'Anchor Points'!$A$4)*('Anchor Points'!$C$5-'Anchor Points'!$C$4),IF(A77&lt;=55,'Anchor Points'!$C$5+(A77-'Anchor Points'!$A$5)/('Anchor Points'!$A$6-'Anchor Points'!$A$5)*('Anchor Points'!$C$6-'Anchor Points'!$C$5),IF(A77&lt;=70,'Anchor Points'!$C$6+(A77-'Anchor Points'!$A$6)/('Anchor Points'!$A$7-'Anchor Points'!$A$6)*('Anchor Points'!$C$7-'Anchor Points'!$C$6),IF(A77&lt;=90,'Anchor Points'!$C$7+(A77-'Anchor Points'!$A$7)/('Anchor Points'!$A$8-'Anchor Points'!$A$7)*('Anchor Points'!$C$8-'Anchor Points'!$C$7),'Anchor Points'!$C$8+(A77-'Anchor Points'!$A$8)/('Anchor Points'!$A$9-'Anchor Points'!$A$8)*('Anchor Points'!$C$9-'Anchor Points'!$C$8)))))))</x:f>
        <x:v>70</x:v>
      </x:c>
      <x:c r="E77" s="28" t="n">
        <x:f>IF(A77&lt;=15,'Anchor Points'!$D$2+(A77-'Anchor Points'!$A$2)/('Anchor Points'!$A$3-'Anchor Points'!$A$2)*('Anchor Points'!$D$3-'Anchor Points'!$D$2),IF(A77&lt;=25,'Anchor Points'!$D$3+(A77-'Anchor Points'!$A$3)/('Anchor Points'!$A$4-'Anchor Points'!$A$3)*('Anchor Points'!$D$4-'Anchor Points'!$D$3),IF(A77&lt;=40,'Anchor Points'!$D$4+(A77-'Anchor Points'!$A$4)/('Anchor Points'!$A$5-'Anchor Points'!$A$4)*('Anchor Points'!$D$5-'Anchor Points'!$D$4),IF(A77&lt;=55,'Anchor Points'!$D$5+(A77-'Anchor Points'!$A$5)/('Anchor Points'!$A$6-'Anchor Points'!$A$5)*('Anchor Points'!$D$6-'Anchor Points'!$D$5),IF(A77&lt;=70,'Anchor Points'!$D$6+(A77-'Anchor Points'!$A$6)/('Anchor Points'!$A$7-'Anchor Points'!$A$6)*('Anchor Points'!$D$7-'Anchor Points'!$D$6),IF(A77&lt;=90,'Anchor Points'!$D$7+(A77-'Anchor Points'!$A$7)/('Anchor Points'!$A$8-'Anchor Points'!$A$7)*('Anchor Points'!$D$8-'Anchor Points'!$D$7),'Anchor Points'!$D$8+(A77-'Anchor Points'!$A$8)/('Anchor Points'!$A$9-'Anchor Points'!$A$8)*('Anchor Points'!$D$9-'Anchor Points'!$D$8)))))))</x:f>
        <x:v>11</x:v>
      </x:c>
      <x:c r="F77" s="30" t="n">
        <x:f>ROUND(E77,0)</x:f>
        <x:v>11</x:v>
      </x:c>
      <x:c r="G77" s="28" t="n">
        <x:f>IF(A77&lt;=15,'Anchor Points'!$E$2+(A77-'Anchor Points'!$A$2)/('Anchor Points'!$A$3-'Anchor Points'!$A$2)*('Anchor Points'!$E$3-'Anchor Points'!$E$2),IF(A77&lt;=25,'Anchor Points'!$E$3+(A77-'Anchor Points'!$A$3)/('Anchor Points'!$A$4-'Anchor Points'!$A$3)*('Anchor Points'!$E$4-'Anchor Points'!$E$3),IF(A77&lt;=40,'Anchor Points'!$E$4+(A77-'Anchor Points'!$A$4)/('Anchor Points'!$A$5-'Anchor Points'!$A$4)*('Anchor Points'!$E$5-'Anchor Points'!$E$4),IF(A77&lt;=55,'Anchor Points'!$E$5+(A77-'Anchor Points'!$A$5)/('Anchor Points'!$A$6-'Anchor Points'!$A$5)*('Anchor Points'!$E$6-'Anchor Points'!$E$5),IF(A77&lt;=70,'Anchor Points'!$E$6+(A77-'Anchor Points'!$A$6)/('Anchor Points'!$A$7-'Anchor Points'!$A$6)*('Anchor Points'!$E$7-'Anchor Points'!$E$6),IF(A77&lt;=90,'Anchor Points'!$E$7+(A77-'Anchor Points'!$A$7)/('Anchor Points'!$A$8-'Anchor Points'!$A$7)*('Anchor Points'!$E$8-'Anchor Points'!$E$7),'Anchor Points'!$E$8+(A77-'Anchor Points'!$A$8)/('Anchor Points'!$A$9-'Anchor Points'!$A$8)*('Anchor Points'!$E$9-'Anchor Points'!$E$8)))))))</x:f>
        <x:v>6.25</x:v>
      </x:c>
      <x:c r="H77" s="30" t="n">
        <x:f>ROUND(G77,0)</x:f>
        <x:v>6</x:v>
      </x:c>
      <x:c r="I77" s="28" t="n">
        <x:f>IF(A77&lt;=15,'Anchor Points'!$F$2+(A77-'Anchor Points'!$A$2)/('Anchor Points'!$A$3-'Anchor Points'!$A$2)*('Anchor Points'!$F$3-'Anchor Points'!$F$2),IF(A77&lt;=25,'Anchor Points'!$F$3+(A77-'Anchor Points'!$A$3)/('Anchor Points'!$A$4-'Anchor Points'!$A$3)*('Anchor Points'!$F$4-'Anchor Points'!$F$3),IF(A77&lt;=40,'Anchor Points'!$F$4+(A77-'Anchor Points'!$A$4)/('Anchor Points'!$A$5-'Anchor Points'!$A$4)*('Anchor Points'!$F$5-'Anchor Points'!$F$4),IF(A77&lt;=55,'Anchor Points'!$F$5+(A77-'Anchor Points'!$A$5)/('Anchor Points'!$A$6-'Anchor Points'!$A$5)*('Anchor Points'!$F$6-'Anchor Points'!$F$5),IF(A77&lt;=70,'Anchor Points'!$F$6+(A77-'Anchor Points'!$A$6)/('Anchor Points'!$A$7-'Anchor Points'!$A$6)*('Anchor Points'!$F$7-'Anchor Points'!$F$6),IF(A77&lt;=90,'Anchor Points'!$F$7+(A77-'Anchor Points'!$A$7)/('Anchor Points'!$A$8-'Anchor Points'!$A$7)*('Anchor Points'!$F$8-'Anchor Points'!$F$7),'Anchor Points'!$F$8+(A77-'Anchor Points'!$A$8)/('Anchor Points'!$A$9-'Anchor Points'!$A$8)*('Anchor Points'!$F$9-'Anchor Points'!$F$8)))))))</x:f>
        <x:v>31.25</x:v>
      </x:c>
      <x:c r="K77" s="36" t="n">
        <x:f>A53</x:f>
        <x:v>51</x:v>
      </x:c>
      <x:c r="L77" s="36" t="n">
        <x:f>E53</x:f>
        <x:v>5.666666666666666</x:v>
      </x:c>
      <x:c r="M77" s="36" t="n">
        <x:f>G53</x:f>
        <x:v>0.7333333333333333</x:v>
      </x:c>
      <x:c r="N77" s="36" t="n">
        <x:f>I53</x:f>
        <x:v>5.866666666666666</x:v>
      </x:c>
    </x:row>
    <x:row r="78">
      <x:c r="A78" s="30" t="n">
        <x:v>76</x:v>
      </x:c>
      <x:c r="B78" s="11" t="str">
        <x:f>IF(A78&lt;=15,"Seedling",IF(A78&lt;=25,"Establishment",IF(A78&lt;=40,"Vegetative Growth",IF(A78&lt;=55,"Flowering &amp; Initial Fruit Set",IF(A78&lt;=80,"Fruit Enlargement",IF(A78&lt;=95,"Ripening","Harvesting"))))))</x:f>
        <x:v>Fruit Enlargement</x:v>
      </x:c>
      <x:c r="C78" s="28" t="n">
        <x:f>IF(A78&lt;=15,'Anchor Points'!$B$2+(A78-'Anchor Points'!$A$2)/('Anchor Points'!$A$3-'Anchor Points'!$A$2)*('Anchor Points'!$B$3-'Anchor Points'!$B$2),IF(A78&lt;=25,'Anchor Points'!$B$3+(A78-'Anchor Points'!$A$3)/('Anchor Points'!$A$4-'Anchor Points'!$A$3)*('Anchor Points'!$B$4-'Anchor Points'!$B$3),IF(A78&lt;=40,'Anchor Points'!$B$4+(A78-'Anchor Points'!$A$4)/('Anchor Points'!$A$5-'Anchor Points'!$A$4)*('Anchor Points'!$B$5-'Anchor Points'!$B$4),IF(A78&lt;=55,'Anchor Points'!$B$5+(A78-'Anchor Points'!$A$5)/('Anchor Points'!$A$6-'Anchor Points'!$A$5)*('Anchor Points'!$B$6-'Anchor Points'!$B$5),IF(A78&lt;=70,'Anchor Points'!$B$6+(A78-'Anchor Points'!$A$6)/('Anchor Points'!$A$7-'Anchor Points'!$A$6)*('Anchor Points'!$B$7-'Anchor Points'!$B$6),IF(A78&lt;=90,'Anchor Points'!$B$7+(A78-'Anchor Points'!$A$7)/('Anchor Points'!$A$8-'Anchor Points'!$A$7)*('Anchor Points'!$B$8-'Anchor Points'!$B$7),'Anchor Points'!$B$8+(A78-'Anchor Points'!$A$8)/('Anchor Points'!$A$9-'Anchor Points'!$A$8)*('Anchor Points'!$B$9-'Anchor Points'!$B$8)))))))</x:f>
        <x:v>75</x:v>
      </x:c>
      <x:c r="D78" s="28" t="n">
        <x:f>IF(A78&lt;=15,'Anchor Points'!$C$2+(A78-'Anchor Points'!$A$2)/('Anchor Points'!$A$3-'Anchor Points'!$A$2)*('Anchor Points'!$C$3-'Anchor Points'!$C$2),IF(A78&lt;=25,'Anchor Points'!$C$3+(A78-'Anchor Points'!$A$3)/('Anchor Points'!$A$4-'Anchor Points'!$A$3)*('Anchor Points'!$C$4-'Anchor Points'!$C$3),IF(A78&lt;=40,'Anchor Points'!$C$4+(A78-'Anchor Points'!$A$4)/('Anchor Points'!$A$5-'Anchor Points'!$A$4)*('Anchor Points'!$C$5-'Anchor Points'!$C$4),IF(A78&lt;=55,'Anchor Points'!$C$5+(A78-'Anchor Points'!$A$5)/('Anchor Points'!$A$6-'Anchor Points'!$A$5)*('Anchor Points'!$C$6-'Anchor Points'!$C$5),IF(A78&lt;=70,'Anchor Points'!$C$6+(A78-'Anchor Points'!$A$6)/('Anchor Points'!$A$7-'Anchor Points'!$A$6)*('Anchor Points'!$C$7-'Anchor Points'!$C$6),IF(A78&lt;=90,'Anchor Points'!$C$7+(A78-'Anchor Points'!$A$7)/('Anchor Points'!$A$8-'Anchor Points'!$A$7)*('Anchor Points'!$C$8-'Anchor Points'!$C$7),'Anchor Points'!$C$8+(A78-'Anchor Points'!$A$8)/('Anchor Points'!$A$9-'Anchor Points'!$A$8)*('Anchor Points'!$C$9-'Anchor Points'!$C$8)))))))</x:f>
        <x:v>71</x:v>
      </x:c>
      <x:c r="E78" s="28" t="n">
        <x:f>IF(A78&lt;=15,'Anchor Points'!$D$2+(A78-'Anchor Points'!$A$2)/('Anchor Points'!$A$3-'Anchor Points'!$A$2)*('Anchor Points'!$D$3-'Anchor Points'!$D$2),IF(A78&lt;=25,'Anchor Points'!$D$3+(A78-'Anchor Points'!$A$3)/('Anchor Points'!$A$4-'Anchor Points'!$A$3)*('Anchor Points'!$D$4-'Anchor Points'!$D$3),IF(A78&lt;=40,'Anchor Points'!$D$4+(A78-'Anchor Points'!$A$4)/('Anchor Points'!$A$5-'Anchor Points'!$A$4)*('Anchor Points'!$D$5-'Anchor Points'!$D$4),IF(A78&lt;=55,'Anchor Points'!$D$5+(A78-'Anchor Points'!$A$5)/('Anchor Points'!$A$6-'Anchor Points'!$A$5)*('Anchor Points'!$D$6-'Anchor Points'!$D$5),IF(A78&lt;=70,'Anchor Points'!$D$6+(A78-'Anchor Points'!$A$6)/('Anchor Points'!$A$7-'Anchor Points'!$A$6)*('Anchor Points'!$D$7-'Anchor Points'!$D$6),IF(A78&lt;=90,'Anchor Points'!$D$7+(A78-'Anchor Points'!$A$7)/('Anchor Points'!$A$8-'Anchor Points'!$A$7)*('Anchor Points'!$D$8-'Anchor Points'!$D$7),'Anchor Points'!$D$8+(A78-'Anchor Points'!$A$8)/('Anchor Points'!$A$9-'Anchor Points'!$A$8)*('Anchor Points'!$D$9-'Anchor Points'!$D$8)))))))</x:f>
        <x:v>10.8</x:v>
      </x:c>
      <x:c r="F78" s="30" t="n">
        <x:f>ROUND(E78,0)</x:f>
        <x:v>11</x:v>
      </x:c>
      <x:c r="G78" s="28" t="n">
        <x:f>IF(A78&lt;=15,'Anchor Points'!$E$2+(A78-'Anchor Points'!$A$2)/('Anchor Points'!$A$3-'Anchor Points'!$A$2)*('Anchor Points'!$E$3-'Anchor Points'!$E$2),IF(A78&lt;=25,'Anchor Points'!$E$3+(A78-'Anchor Points'!$A$3)/('Anchor Points'!$A$4-'Anchor Points'!$A$3)*('Anchor Points'!$E$4-'Anchor Points'!$E$3),IF(A78&lt;=40,'Anchor Points'!$E$4+(A78-'Anchor Points'!$A$4)/('Anchor Points'!$A$5-'Anchor Points'!$A$4)*('Anchor Points'!$E$5-'Anchor Points'!$E$4),IF(A78&lt;=55,'Anchor Points'!$E$5+(A78-'Anchor Points'!$A$5)/('Anchor Points'!$A$6-'Anchor Points'!$A$5)*('Anchor Points'!$E$6-'Anchor Points'!$E$5),IF(A78&lt;=70,'Anchor Points'!$E$6+(A78-'Anchor Points'!$A$6)/('Anchor Points'!$A$7-'Anchor Points'!$A$6)*('Anchor Points'!$E$7-'Anchor Points'!$E$6),IF(A78&lt;=90,'Anchor Points'!$E$7+(A78-'Anchor Points'!$A$7)/('Anchor Points'!$A$8-'Anchor Points'!$A$7)*('Anchor Points'!$E$8-'Anchor Points'!$E$7),'Anchor Points'!$E$8+(A78-'Anchor Points'!$A$8)/('Anchor Points'!$A$9-'Anchor Points'!$A$8)*('Anchor Points'!$E$9-'Anchor Points'!$E$8)))))))</x:f>
        <x:v>6.5</x:v>
      </x:c>
      <x:c r="H78" s="30" t="n">
        <x:f>ROUND(G78,0)</x:f>
        <x:v>7</x:v>
      </x:c>
      <x:c r="I78" s="28" t="n">
        <x:f>IF(A78&lt;=15,'Anchor Points'!$F$2+(A78-'Anchor Points'!$A$2)/('Anchor Points'!$A$3-'Anchor Points'!$A$2)*('Anchor Points'!$F$3-'Anchor Points'!$F$2),IF(A78&lt;=25,'Anchor Points'!$F$3+(A78-'Anchor Points'!$A$3)/('Anchor Points'!$A$4-'Anchor Points'!$A$3)*('Anchor Points'!$F$4-'Anchor Points'!$F$3),IF(A78&lt;=40,'Anchor Points'!$F$4+(A78-'Anchor Points'!$A$4)/('Anchor Points'!$A$5-'Anchor Points'!$A$4)*('Anchor Points'!$F$5-'Anchor Points'!$F$4),IF(A78&lt;=55,'Anchor Points'!$F$5+(A78-'Anchor Points'!$A$5)/('Anchor Points'!$A$6-'Anchor Points'!$A$5)*('Anchor Points'!$F$6-'Anchor Points'!$F$5),IF(A78&lt;=70,'Anchor Points'!$F$6+(A78-'Anchor Points'!$A$6)/('Anchor Points'!$A$7-'Anchor Points'!$A$6)*('Anchor Points'!$F$7-'Anchor Points'!$F$6),IF(A78&lt;=90,'Anchor Points'!$F$7+(A78-'Anchor Points'!$A$7)/('Anchor Points'!$A$8-'Anchor Points'!$A$7)*('Anchor Points'!$F$8-'Anchor Points'!$F$7),'Anchor Points'!$F$8+(A78-'Anchor Points'!$A$8)/('Anchor Points'!$A$9-'Anchor Points'!$A$8)*('Anchor Points'!$F$9-'Anchor Points'!$F$8)))))))</x:f>
        <x:v>32.5</x:v>
      </x:c>
      <x:c r="K78" s="36" t="n">
        <x:f>A54</x:f>
        <x:v>52</x:v>
      </x:c>
      <x:c r="L78" s="36" t="n">
        <x:f>E54</x:f>
        <x:v>6</x:v>
      </x:c>
      <x:c r="M78" s="36" t="n">
        <x:f>G54</x:f>
        <x:v>0.8</x:v>
      </x:c>
      <x:c r="N78" s="36" t="n">
        <x:f>I54</x:f>
        <x:v>6.4</x:v>
      </x:c>
    </x:row>
    <x:row r="79">
      <x:c r="A79" s="30" t="n">
        <x:v>77</x:v>
      </x:c>
      <x:c r="B79" s="11" t="str">
        <x:f>IF(A79&lt;=15,"Seedling",IF(A79&lt;=25,"Establishment",IF(A79&lt;=40,"Vegetative Growth",IF(A79&lt;=55,"Flowering &amp; Initial Fruit Set",IF(A79&lt;=80,"Fruit Enlargement",IF(A79&lt;=95,"Ripening","Harvesting"))))))</x:f>
        <x:v>Fruit Enlargement</x:v>
      </x:c>
      <x:c r="C79" s="28" t="n">
        <x:f>IF(A79&lt;=15,'Anchor Points'!$B$2+(A79-'Anchor Points'!$A$2)/('Anchor Points'!$A$3-'Anchor Points'!$A$2)*('Anchor Points'!$B$3-'Anchor Points'!$B$2),IF(A79&lt;=25,'Anchor Points'!$B$3+(A79-'Anchor Points'!$A$3)/('Anchor Points'!$A$4-'Anchor Points'!$A$3)*('Anchor Points'!$B$4-'Anchor Points'!$B$3),IF(A79&lt;=40,'Anchor Points'!$B$4+(A79-'Anchor Points'!$A$4)/('Anchor Points'!$A$5-'Anchor Points'!$A$4)*('Anchor Points'!$B$5-'Anchor Points'!$B$4),IF(A79&lt;=55,'Anchor Points'!$B$5+(A79-'Anchor Points'!$A$5)/('Anchor Points'!$A$6-'Anchor Points'!$A$5)*('Anchor Points'!$B$6-'Anchor Points'!$B$5),IF(A79&lt;=70,'Anchor Points'!$B$6+(A79-'Anchor Points'!$A$6)/('Anchor Points'!$A$7-'Anchor Points'!$A$6)*('Anchor Points'!$B$7-'Anchor Points'!$B$6),IF(A79&lt;=90,'Anchor Points'!$B$7+(A79-'Anchor Points'!$A$7)/('Anchor Points'!$A$8-'Anchor Points'!$A$7)*('Anchor Points'!$B$8-'Anchor Points'!$B$7),'Anchor Points'!$B$8+(A79-'Anchor Points'!$A$8)/('Anchor Points'!$A$9-'Anchor Points'!$A$8)*('Anchor Points'!$B$9-'Anchor Points'!$B$8)))))))</x:f>
        <x:v>75.5</x:v>
      </x:c>
      <x:c r="D79" s="28" t="n">
        <x:f>IF(A79&lt;=15,'Anchor Points'!$C$2+(A79-'Anchor Points'!$A$2)/('Anchor Points'!$A$3-'Anchor Points'!$A$2)*('Anchor Points'!$C$3-'Anchor Points'!$C$2),IF(A79&lt;=25,'Anchor Points'!$C$3+(A79-'Anchor Points'!$A$3)/('Anchor Points'!$A$4-'Anchor Points'!$A$3)*('Anchor Points'!$C$4-'Anchor Points'!$C$3),IF(A79&lt;=40,'Anchor Points'!$C$4+(A79-'Anchor Points'!$A$4)/('Anchor Points'!$A$5-'Anchor Points'!$A$4)*('Anchor Points'!$C$5-'Anchor Points'!$C$4),IF(A79&lt;=55,'Anchor Points'!$C$5+(A79-'Anchor Points'!$A$5)/('Anchor Points'!$A$6-'Anchor Points'!$A$5)*('Anchor Points'!$C$6-'Anchor Points'!$C$5),IF(A79&lt;=70,'Anchor Points'!$C$6+(A79-'Anchor Points'!$A$6)/('Anchor Points'!$A$7-'Anchor Points'!$A$6)*('Anchor Points'!$C$7-'Anchor Points'!$C$6),IF(A79&lt;=90,'Anchor Points'!$C$7+(A79-'Anchor Points'!$A$7)/('Anchor Points'!$A$8-'Anchor Points'!$A$7)*('Anchor Points'!$C$8-'Anchor Points'!$C$7),'Anchor Points'!$C$8+(A79-'Anchor Points'!$A$8)/('Anchor Points'!$A$9-'Anchor Points'!$A$8)*('Anchor Points'!$C$9-'Anchor Points'!$C$8)))))))</x:f>
        <x:v>72</x:v>
      </x:c>
      <x:c r="E79" s="28" t="n">
        <x:f>IF(A79&lt;=15,'Anchor Points'!$D$2+(A79-'Anchor Points'!$A$2)/('Anchor Points'!$A$3-'Anchor Points'!$A$2)*('Anchor Points'!$D$3-'Anchor Points'!$D$2),IF(A79&lt;=25,'Anchor Points'!$D$3+(A79-'Anchor Points'!$A$3)/('Anchor Points'!$A$4-'Anchor Points'!$A$3)*('Anchor Points'!$D$4-'Anchor Points'!$D$3),IF(A79&lt;=40,'Anchor Points'!$D$4+(A79-'Anchor Points'!$A$4)/('Anchor Points'!$A$5-'Anchor Points'!$A$4)*('Anchor Points'!$D$5-'Anchor Points'!$D$4),IF(A79&lt;=55,'Anchor Points'!$D$5+(A79-'Anchor Points'!$A$5)/('Anchor Points'!$A$6-'Anchor Points'!$A$5)*('Anchor Points'!$D$6-'Anchor Points'!$D$5),IF(A79&lt;=70,'Anchor Points'!$D$6+(A79-'Anchor Points'!$A$6)/('Anchor Points'!$A$7-'Anchor Points'!$A$6)*('Anchor Points'!$D$7-'Anchor Points'!$D$6),IF(A79&lt;=90,'Anchor Points'!$D$7+(A79-'Anchor Points'!$A$7)/('Anchor Points'!$A$8-'Anchor Points'!$A$7)*('Anchor Points'!$D$8-'Anchor Points'!$D$7),'Anchor Points'!$D$8+(A79-'Anchor Points'!$A$8)/('Anchor Points'!$A$9-'Anchor Points'!$A$8)*('Anchor Points'!$D$9-'Anchor Points'!$D$8)))))))</x:f>
        <x:v>10.6</x:v>
      </x:c>
      <x:c r="F79" s="30" t="n">
        <x:f>ROUND(E79,0)</x:f>
        <x:v>11</x:v>
      </x:c>
      <x:c r="G79" s="28" t="n">
        <x:f>IF(A79&lt;=15,'Anchor Points'!$E$2+(A79-'Anchor Points'!$A$2)/('Anchor Points'!$A$3-'Anchor Points'!$A$2)*('Anchor Points'!$E$3-'Anchor Points'!$E$2),IF(A79&lt;=25,'Anchor Points'!$E$3+(A79-'Anchor Points'!$A$3)/('Anchor Points'!$A$4-'Anchor Points'!$A$3)*('Anchor Points'!$E$4-'Anchor Points'!$E$3),IF(A79&lt;=40,'Anchor Points'!$E$4+(A79-'Anchor Points'!$A$4)/('Anchor Points'!$A$5-'Anchor Points'!$A$4)*('Anchor Points'!$E$5-'Anchor Points'!$E$4),IF(A79&lt;=55,'Anchor Points'!$E$5+(A79-'Anchor Points'!$A$5)/('Anchor Points'!$A$6-'Anchor Points'!$A$5)*('Anchor Points'!$E$6-'Anchor Points'!$E$5),IF(A79&lt;=70,'Anchor Points'!$E$6+(A79-'Anchor Points'!$A$6)/('Anchor Points'!$A$7-'Anchor Points'!$A$6)*('Anchor Points'!$E$7-'Anchor Points'!$E$6),IF(A79&lt;=90,'Anchor Points'!$E$7+(A79-'Anchor Points'!$A$7)/('Anchor Points'!$A$8-'Anchor Points'!$A$7)*('Anchor Points'!$E$8-'Anchor Points'!$E$7),'Anchor Points'!$E$8+(A79-'Anchor Points'!$A$8)/('Anchor Points'!$A$9-'Anchor Points'!$A$8)*('Anchor Points'!$E$9-'Anchor Points'!$E$8)))))))</x:f>
        <x:v>6.75</x:v>
      </x:c>
      <x:c r="H79" s="30" t="n">
        <x:f>ROUND(G79,0)</x:f>
        <x:v>7</x:v>
      </x:c>
      <x:c r="I79" s="28" t="n">
        <x:f>IF(A79&lt;=15,'Anchor Points'!$F$2+(A79-'Anchor Points'!$A$2)/('Anchor Points'!$A$3-'Anchor Points'!$A$2)*('Anchor Points'!$F$3-'Anchor Points'!$F$2),IF(A79&lt;=25,'Anchor Points'!$F$3+(A79-'Anchor Points'!$A$3)/('Anchor Points'!$A$4-'Anchor Points'!$A$3)*('Anchor Points'!$F$4-'Anchor Points'!$F$3),IF(A79&lt;=40,'Anchor Points'!$F$4+(A79-'Anchor Points'!$A$4)/('Anchor Points'!$A$5-'Anchor Points'!$A$4)*('Anchor Points'!$F$5-'Anchor Points'!$F$4),IF(A79&lt;=55,'Anchor Points'!$F$5+(A79-'Anchor Points'!$A$5)/('Anchor Points'!$A$6-'Anchor Points'!$A$5)*('Anchor Points'!$F$6-'Anchor Points'!$F$5),IF(A79&lt;=70,'Anchor Points'!$F$6+(A79-'Anchor Points'!$A$6)/('Anchor Points'!$A$7-'Anchor Points'!$A$6)*('Anchor Points'!$F$7-'Anchor Points'!$F$6),IF(A79&lt;=90,'Anchor Points'!$F$7+(A79-'Anchor Points'!$A$7)/('Anchor Points'!$A$8-'Anchor Points'!$A$7)*('Anchor Points'!$F$8-'Anchor Points'!$F$7),'Anchor Points'!$F$8+(A79-'Anchor Points'!$A$8)/('Anchor Points'!$A$9-'Anchor Points'!$A$8)*('Anchor Points'!$F$9-'Anchor Points'!$F$8)))))))</x:f>
        <x:v>33.75</x:v>
      </x:c>
      <x:c r="K79" s="36" t="n">
        <x:f>A55</x:f>
        <x:v>53</x:v>
      </x:c>
      <x:c r="L79" s="36" t="n">
        <x:f>E55</x:f>
        <x:v>6.333333333333334</x:v>
      </x:c>
      <x:c r="M79" s="36" t="n">
        <x:f>G55</x:f>
        <x:v>0.8666666666666667</x:v>
      </x:c>
      <x:c r="N79" s="36" t="n">
        <x:f>I55</x:f>
        <x:v>6.933333333333334</x:v>
      </x:c>
    </x:row>
    <x:row r="80">
      <x:c r="A80" s="30" t="n">
        <x:v>78</x:v>
      </x:c>
      <x:c r="B80" s="11" t="str">
        <x:f>IF(A80&lt;=15,"Seedling",IF(A80&lt;=25,"Establishment",IF(A80&lt;=40,"Vegetative Growth",IF(A80&lt;=55,"Flowering &amp; Initial Fruit Set",IF(A80&lt;=80,"Fruit Enlargement",IF(A80&lt;=95,"Ripening","Harvesting"))))))</x:f>
        <x:v>Fruit Enlargement</x:v>
      </x:c>
      <x:c r="C80" s="28" t="n">
        <x:f>IF(A80&lt;=15,'Anchor Points'!$B$2+(A80-'Anchor Points'!$A$2)/('Anchor Points'!$A$3-'Anchor Points'!$A$2)*('Anchor Points'!$B$3-'Anchor Points'!$B$2),IF(A80&lt;=25,'Anchor Points'!$B$3+(A80-'Anchor Points'!$A$3)/('Anchor Points'!$A$4-'Anchor Points'!$A$3)*('Anchor Points'!$B$4-'Anchor Points'!$B$3),IF(A80&lt;=40,'Anchor Points'!$B$4+(A80-'Anchor Points'!$A$4)/('Anchor Points'!$A$5-'Anchor Points'!$A$4)*('Anchor Points'!$B$5-'Anchor Points'!$B$4),IF(A80&lt;=55,'Anchor Points'!$B$5+(A80-'Anchor Points'!$A$5)/('Anchor Points'!$A$6-'Anchor Points'!$A$5)*('Anchor Points'!$B$6-'Anchor Points'!$B$5),IF(A80&lt;=70,'Anchor Points'!$B$6+(A80-'Anchor Points'!$A$6)/('Anchor Points'!$A$7-'Anchor Points'!$A$6)*('Anchor Points'!$B$7-'Anchor Points'!$B$6),IF(A80&lt;=90,'Anchor Points'!$B$7+(A80-'Anchor Points'!$A$7)/('Anchor Points'!$A$8-'Anchor Points'!$A$7)*('Anchor Points'!$B$8-'Anchor Points'!$B$7),'Anchor Points'!$B$8+(A80-'Anchor Points'!$A$8)/('Anchor Points'!$A$9-'Anchor Points'!$A$8)*('Anchor Points'!$B$9-'Anchor Points'!$B$8)))))))</x:f>
        <x:v>76</x:v>
      </x:c>
      <x:c r="D80" s="28" t="n">
        <x:f>IF(A80&lt;=15,'Anchor Points'!$C$2+(A80-'Anchor Points'!$A$2)/('Anchor Points'!$A$3-'Anchor Points'!$A$2)*('Anchor Points'!$C$3-'Anchor Points'!$C$2),IF(A80&lt;=25,'Anchor Points'!$C$3+(A80-'Anchor Points'!$A$3)/('Anchor Points'!$A$4-'Anchor Points'!$A$3)*('Anchor Points'!$C$4-'Anchor Points'!$C$3),IF(A80&lt;=40,'Anchor Points'!$C$4+(A80-'Anchor Points'!$A$4)/('Anchor Points'!$A$5-'Anchor Points'!$A$4)*('Anchor Points'!$C$5-'Anchor Points'!$C$4),IF(A80&lt;=55,'Anchor Points'!$C$5+(A80-'Anchor Points'!$A$5)/('Anchor Points'!$A$6-'Anchor Points'!$A$5)*('Anchor Points'!$C$6-'Anchor Points'!$C$5),IF(A80&lt;=70,'Anchor Points'!$C$6+(A80-'Anchor Points'!$A$6)/('Anchor Points'!$A$7-'Anchor Points'!$A$6)*('Anchor Points'!$C$7-'Anchor Points'!$C$6),IF(A80&lt;=90,'Anchor Points'!$C$7+(A80-'Anchor Points'!$A$7)/('Anchor Points'!$A$8-'Anchor Points'!$A$7)*('Anchor Points'!$C$8-'Anchor Points'!$C$7),'Anchor Points'!$C$8+(A80-'Anchor Points'!$A$8)/('Anchor Points'!$A$9-'Anchor Points'!$A$8)*('Anchor Points'!$C$9-'Anchor Points'!$C$8)))))))</x:f>
        <x:v>73</x:v>
      </x:c>
      <x:c r="E80" s="28" t="n">
        <x:f>IF(A80&lt;=15,'Anchor Points'!$D$2+(A80-'Anchor Points'!$A$2)/('Anchor Points'!$A$3-'Anchor Points'!$A$2)*('Anchor Points'!$D$3-'Anchor Points'!$D$2),IF(A80&lt;=25,'Anchor Points'!$D$3+(A80-'Anchor Points'!$A$3)/('Anchor Points'!$A$4-'Anchor Points'!$A$3)*('Anchor Points'!$D$4-'Anchor Points'!$D$3),IF(A80&lt;=40,'Anchor Points'!$D$4+(A80-'Anchor Points'!$A$4)/('Anchor Points'!$A$5-'Anchor Points'!$A$4)*('Anchor Points'!$D$5-'Anchor Points'!$D$4),IF(A80&lt;=55,'Anchor Points'!$D$5+(A80-'Anchor Points'!$A$5)/('Anchor Points'!$A$6-'Anchor Points'!$A$5)*('Anchor Points'!$D$6-'Anchor Points'!$D$5),IF(A80&lt;=70,'Anchor Points'!$D$6+(A80-'Anchor Points'!$A$6)/('Anchor Points'!$A$7-'Anchor Points'!$A$6)*('Anchor Points'!$D$7-'Anchor Points'!$D$6),IF(A80&lt;=90,'Anchor Points'!$D$7+(A80-'Anchor Points'!$A$7)/('Anchor Points'!$A$8-'Anchor Points'!$A$7)*('Anchor Points'!$D$8-'Anchor Points'!$D$7),'Anchor Points'!$D$8+(A80-'Anchor Points'!$A$8)/('Anchor Points'!$A$9-'Anchor Points'!$A$8)*('Anchor Points'!$D$9-'Anchor Points'!$D$8)))))))</x:f>
        <x:v>10.4</x:v>
      </x:c>
      <x:c r="F80" s="30" t="n">
        <x:f>ROUND(E80,0)</x:f>
        <x:v>10</x:v>
      </x:c>
      <x:c r="G80" s="28" t="n">
        <x:f>IF(A80&lt;=15,'Anchor Points'!$E$2+(A80-'Anchor Points'!$A$2)/('Anchor Points'!$A$3-'Anchor Points'!$A$2)*('Anchor Points'!$E$3-'Anchor Points'!$E$2),IF(A80&lt;=25,'Anchor Points'!$E$3+(A80-'Anchor Points'!$A$3)/('Anchor Points'!$A$4-'Anchor Points'!$A$3)*('Anchor Points'!$E$4-'Anchor Points'!$E$3),IF(A80&lt;=40,'Anchor Points'!$E$4+(A80-'Anchor Points'!$A$4)/('Anchor Points'!$A$5-'Anchor Points'!$A$4)*('Anchor Points'!$E$5-'Anchor Points'!$E$4),IF(A80&lt;=55,'Anchor Points'!$E$5+(A80-'Anchor Points'!$A$5)/('Anchor Points'!$A$6-'Anchor Points'!$A$5)*('Anchor Points'!$E$6-'Anchor Points'!$E$5),IF(A80&lt;=70,'Anchor Points'!$E$6+(A80-'Anchor Points'!$A$6)/('Anchor Points'!$A$7-'Anchor Points'!$A$6)*('Anchor Points'!$E$7-'Anchor Points'!$E$6),IF(A80&lt;=90,'Anchor Points'!$E$7+(A80-'Anchor Points'!$A$7)/('Anchor Points'!$A$8-'Anchor Points'!$A$7)*('Anchor Points'!$E$8-'Anchor Points'!$E$7),'Anchor Points'!$E$8+(A80-'Anchor Points'!$A$8)/('Anchor Points'!$A$9-'Anchor Points'!$A$8)*('Anchor Points'!$E$9-'Anchor Points'!$E$8)))))))</x:f>
        <x:v>7</x:v>
      </x:c>
      <x:c r="H80" s="30" t="n">
        <x:f>ROUND(G80,0)</x:f>
        <x:v>7</x:v>
      </x:c>
      <x:c r="I80" s="28" t="n">
        <x:f>IF(A80&lt;=15,'Anchor Points'!$F$2+(A80-'Anchor Points'!$A$2)/('Anchor Points'!$A$3-'Anchor Points'!$A$2)*('Anchor Points'!$F$3-'Anchor Points'!$F$2),IF(A80&lt;=25,'Anchor Points'!$F$3+(A80-'Anchor Points'!$A$3)/('Anchor Points'!$A$4-'Anchor Points'!$A$3)*('Anchor Points'!$F$4-'Anchor Points'!$F$3),IF(A80&lt;=40,'Anchor Points'!$F$4+(A80-'Anchor Points'!$A$4)/('Anchor Points'!$A$5-'Anchor Points'!$A$4)*('Anchor Points'!$F$5-'Anchor Points'!$F$4),IF(A80&lt;=55,'Anchor Points'!$F$5+(A80-'Anchor Points'!$A$5)/('Anchor Points'!$A$6-'Anchor Points'!$A$5)*('Anchor Points'!$F$6-'Anchor Points'!$F$5),IF(A80&lt;=70,'Anchor Points'!$F$6+(A80-'Anchor Points'!$A$6)/('Anchor Points'!$A$7-'Anchor Points'!$A$6)*('Anchor Points'!$F$7-'Anchor Points'!$F$6),IF(A80&lt;=90,'Anchor Points'!$F$7+(A80-'Anchor Points'!$A$7)/('Anchor Points'!$A$8-'Anchor Points'!$A$7)*('Anchor Points'!$F$8-'Anchor Points'!$F$7),'Anchor Points'!$F$8+(A80-'Anchor Points'!$A$8)/('Anchor Points'!$A$9-'Anchor Points'!$A$8)*('Anchor Points'!$F$9-'Anchor Points'!$F$8)))))))</x:f>
        <x:v>35</x:v>
      </x:c>
      <x:c r="K80" s="36" t="n">
        <x:f>A56</x:f>
        <x:v>54</x:v>
      </x:c>
      <x:c r="L80" s="36" t="n">
        <x:f>E56</x:f>
        <x:v>6.666666666666667</x:v>
      </x:c>
      <x:c r="M80" s="36" t="n">
        <x:f>G56</x:f>
        <x:v>0.9333333333333333</x:v>
      </x:c>
      <x:c r="N80" s="36" t="n">
        <x:f>I56</x:f>
        <x:v>7.466666666666667</x:v>
      </x:c>
    </x:row>
    <x:row r="81">
      <x:c r="A81" s="30" t="n">
        <x:v>79</x:v>
      </x:c>
      <x:c r="B81" s="11" t="str">
        <x:f>IF(A81&lt;=15,"Seedling",IF(A81&lt;=25,"Establishment",IF(A81&lt;=40,"Vegetative Growth",IF(A81&lt;=55,"Flowering &amp; Initial Fruit Set",IF(A81&lt;=80,"Fruit Enlargement",IF(A81&lt;=95,"Ripening","Harvesting"))))))</x:f>
        <x:v>Fruit Enlargement</x:v>
      </x:c>
      <x:c r="C81" s="28" t="n">
        <x:f>IF(A81&lt;=15,'Anchor Points'!$B$2+(A81-'Anchor Points'!$A$2)/('Anchor Points'!$A$3-'Anchor Points'!$A$2)*('Anchor Points'!$B$3-'Anchor Points'!$B$2),IF(A81&lt;=25,'Anchor Points'!$B$3+(A81-'Anchor Points'!$A$3)/('Anchor Points'!$A$4-'Anchor Points'!$A$3)*('Anchor Points'!$B$4-'Anchor Points'!$B$3),IF(A81&lt;=40,'Anchor Points'!$B$4+(A81-'Anchor Points'!$A$4)/('Anchor Points'!$A$5-'Anchor Points'!$A$4)*('Anchor Points'!$B$5-'Anchor Points'!$B$4),IF(A81&lt;=55,'Anchor Points'!$B$5+(A81-'Anchor Points'!$A$5)/('Anchor Points'!$A$6-'Anchor Points'!$A$5)*('Anchor Points'!$B$6-'Anchor Points'!$B$5),IF(A81&lt;=70,'Anchor Points'!$B$6+(A81-'Anchor Points'!$A$6)/('Anchor Points'!$A$7-'Anchor Points'!$A$6)*('Anchor Points'!$B$7-'Anchor Points'!$B$6),IF(A81&lt;=90,'Anchor Points'!$B$7+(A81-'Anchor Points'!$A$7)/('Anchor Points'!$A$8-'Anchor Points'!$A$7)*('Anchor Points'!$B$8-'Anchor Points'!$B$7),'Anchor Points'!$B$8+(A81-'Anchor Points'!$A$8)/('Anchor Points'!$A$9-'Anchor Points'!$A$8)*('Anchor Points'!$B$9-'Anchor Points'!$B$8)))))))</x:f>
        <x:v>76.5</x:v>
      </x:c>
      <x:c r="D81" s="28" t="n">
        <x:f>IF(A81&lt;=15,'Anchor Points'!$C$2+(A81-'Anchor Points'!$A$2)/('Anchor Points'!$A$3-'Anchor Points'!$A$2)*('Anchor Points'!$C$3-'Anchor Points'!$C$2),IF(A81&lt;=25,'Anchor Points'!$C$3+(A81-'Anchor Points'!$A$3)/('Anchor Points'!$A$4-'Anchor Points'!$A$3)*('Anchor Points'!$C$4-'Anchor Points'!$C$3),IF(A81&lt;=40,'Anchor Points'!$C$4+(A81-'Anchor Points'!$A$4)/('Anchor Points'!$A$5-'Anchor Points'!$A$4)*('Anchor Points'!$C$5-'Anchor Points'!$C$4),IF(A81&lt;=55,'Anchor Points'!$C$5+(A81-'Anchor Points'!$A$5)/('Anchor Points'!$A$6-'Anchor Points'!$A$5)*('Anchor Points'!$C$6-'Anchor Points'!$C$5),IF(A81&lt;=70,'Anchor Points'!$C$6+(A81-'Anchor Points'!$A$6)/('Anchor Points'!$A$7-'Anchor Points'!$A$6)*('Anchor Points'!$C$7-'Anchor Points'!$C$6),IF(A81&lt;=90,'Anchor Points'!$C$7+(A81-'Anchor Points'!$A$7)/('Anchor Points'!$A$8-'Anchor Points'!$A$7)*('Anchor Points'!$C$8-'Anchor Points'!$C$7),'Anchor Points'!$C$8+(A81-'Anchor Points'!$A$8)/('Anchor Points'!$A$9-'Anchor Points'!$A$8)*('Anchor Points'!$C$9-'Anchor Points'!$C$8)))))))</x:f>
        <x:v>74</x:v>
      </x:c>
      <x:c r="E81" s="28" t="n">
        <x:f>IF(A81&lt;=15,'Anchor Points'!$D$2+(A81-'Anchor Points'!$A$2)/('Anchor Points'!$A$3-'Anchor Points'!$A$2)*('Anchor Points'!$D$3-'Anchor Points'!$D$2),IF(A81&lt;=25,'Anchor Points'!$D$3+(A81-'Anchor Points'!$A$3)/('Anchor Points'!$A$4-'Anchor Points'!$A$3)*('Anchor Points'!$D$4-'Anchor Points'!$D$3),IF(A81&lt;=40,'Anchor Points'!$D$4+(A81-'Anchor Points'!$A$4)/('Anchor Points'!$A$5-'Anchor Points'!$A$4)*('Anchor Points'!$D$5-'Anchor Points'!$D$4),IF(A81&lt;=55,'Anchor Points'!$D$5+(A81-'Anchor Points'!$A$5)/('Anchor Points'!$A$6-'Anchor Points'!$A$5)*('Anchor Points'!$D$6-'Anchor Points'!$D$5),IF(A81&lt;=70,'Anchor Points'!$D$6+(A81-'Anchor Points'!$A$6)/('Anchor Points'!$A$7-'Anchor Points'!$A$6)*('Anchor Points'!$D$7-'Anchor Points'!$D$6),IF(A81&lt;=90,'Anchor Points'!$D$7+(A81-'Anchor Points'!$A$7)/('Anchor Points'!$A$8-'Anchor Points'!$A$7)*('Anchor Points'!$D$8-'Anchor Points'!$D$7),'Anchor Points'!$D$8+(A81-'Anchor Points'!$A$8)/('Anchor Points'!$A$9-'Anchor Points'!$A$8)*('Anchor Points'!$D$9-'Anchor Points'!$D$8)))))))</x:f>
        <x:v>10.2</x:v>
      </x:c>
      <x:c r="F81" s="30" t="n">
        <x:f>ROUND(E81,0)</x:f>
        <x:v>10</x:v>
      </x:c>
      <x:c r="G81" s="28" t="n">
        <x:f>IF(A81&lt;=15,'Anchor Points'!$E$2+(A81-'Anchor Points'!$A$2)/('Anchor Points'!$A$3-'Anchor Points'!$A$2)*('Anchor Points'!$E$3-'Anchor Points'!$E$2),IF(A81&lt;=25,'Anchor Points'!$E$3+(A81-'Anchor Points'!$A$3)/('Anchor Points'!$A$4-'Anchor Points'!$A$3)*('Anchor Points'!$E$4-'Anchor Points'!$E$3),IF(A81&lt;=40,'Anchor Points'!$E$4+(A81-'Anchor Points'!$A$4)/('Anchor Points'!$A$5-'Anchor Points'!$A$4)*('Anchor Points'!$E$5-'Anchor Points'!$E$4),IF(A81&lt;=55,'Anchor Points'!$E$5+(A81-'Anchor Points'!$A$5)/('Anchor Points'!$A$6-'Anchor Points'!$A$5)*('Anchor Points'!$E$6-'Anchor Points'!$E$5),IF(A81&lt;=70,'Anchor Points'!$E$6+(A81-'Anchor Points'!$A$6)/('Anchor Points'!$A$7-'Anchor Points'!$A$6)*('Anchor Points'!$E$7-'Anchor Points'!$E$6),IF(A81&lt;=90,'Anchor Points'!$E$7+(A81-'Anchor Points'!$A$7)/('Anchor Points'!$A$8-'Anchor Points'!$A$7)*('Anchor Points'!$E$8-'Anchor Points'!$E$7),'Anchor Points'!$E$8+(A81-'Anchor Points'!$A$8)/('Anchor Points'!$A$9-'Anchor Points'!$A$8)*('Anchor Points'!$E$9-'Anchor Points'!$E$8)))))))</x:f>
        <x:v>7.25</x:v>
      </x:c>
      <x:c r="H81" s="30" t="n">
        <x:f>ROUND(G81,0)</x:f>
        <x:v>7</x:v>
      </x:c>
      <x:c r="I81" s="28" t="n">
        <x:f>IF(A81&lt;=15,'Anchor Points'!$F$2+(A81-'Anchor Points'!$A$2)/('Anchor Points'!$A$3-'Anchor Points'!$A$2)*('Anchor Points'!$F$3-'Anchor Points'!$F$2),IF(A81&lt;=25,'Anchor Points'!$F$3+(A81-'Anchor Points'!$A$3)/('Anchor Points'!$A$4-'Anchor Points'!$A$3)*('Anchor Points'!$F$4-'Anchor Points'!$F$3),IF(A81&lt;=40,'Anchor Points'!$F$4+(A81-'Anchor Points'!$A$4)/('Anchor Points'!$A$5-'Anchor Points'!$A$4)*('Anchor Points'!$F$5-'Anchor Points'!$F$4),IF(A81&lt;=55,'Anchor Points'!$F$5+(A81-'Anchor Points'!$A$5)/('Anchor Points'!$A$6-'Anchor Points'!$A$5)*('Anchor Points'!$F$6-'Anchor Points'!$F$5),IF(A81&lt;=70,'Anchor Points'!$F$6+(A81-'Anchor Points'!$A$6)/('Anchor Points'!$A$7-'Anchor Points'!$A$6)*('Anchor Points'!$F$7-'Anchor Points'!$F$6),IF(A81&lt;=90,'Anchor Points'!$F$7+(A81-'Anchor Points'!$A$7)/('Anchor Points'!$A$8-'Anchor Points'!$A$7)*('Anchor Points'!$F$8-'Anchor Points'!$F$7),'Anchor Points'!$F$8+(A81-'Anchor Points'!$A$8)/('Anchor Points'!$A$9-'Anchor Points'!$A$8)*('Anchor Points'!$F$9-'Anchor Points'!$F$8)))))))</x:f>
        <x:v>36.25</x:v>
      </x:c>
      <x:c r="K81" s="36" t="n">
        <x:f>A57</x:f>
        <x:v>55</x:v>
      </x:c>
      <x:c r="L81" s="36" t="n">
        <x:f>E57</x:f>
        <x:v>7</x:v>
      </x:c>
      <x:c r="M81" s="36" t="n">
        <x:f>G57</x:f>
        <x:v>1</x:v>
      </x:c>
      <x:c r="N81" s="36" t="n">
        <x:f>I57</x:f>
        <x:v>8</x:v>
      </x:c>
    </x:row>
    <x:row r="82">
      <x:c r="A82" s="30" t="n">
        <x:v>80</x:v>
      </x:c>
      <x:c r="B82" s="11" t="str">
        <x:f>IF(A82&lt;=15,"Seedling",IF(A82&lt;=25,"Establishment",IF(A82&lt;=40,"Vegetative Growth",IF(A82&lt;=55,"Flowering &amp; Initial Fruit Set",IF(A82&lt;=80,"Fruit Enlargement",IF(A82&lt;=95,"Ripening","Harvesting"))))))</x:f>
        <x:v>Fruit Enlargement</x:v>
      </x:c>
      <x:c r="C82" s="28" t="n">
        <x:f>IF(A82&lt;=15,'Anchor Points'!$B$2+(A82-'Anchor Points'!$A$2)/('Anchor Points'!$A$3-'Anchor Points'!$A$2)*('Anchor Points'!$B$3-'Anchor Points'!$B$2),IF(A82&lt;=25,'Anchor Points'!$B$3+(A82-'Anchor Points'!$A$3)/('Anchor Points'!$A$4-'Anchor Points'!$A$3)*('Anchor Points'!$B$4-'Anchor Points'!$B$3),IF(A82&lt;=40,'Anchor Points'!$B$4+(A82-'Anchor Points'!$A$4)/('Anchor Points'!$A$5-'Anchor Points'!$A$4)*('Anchor Points'!$B$5-'Anchor Points'!$B$4),IF(A82&lt;=55,'Anchor Points'!$B$5+(A82-'Anchor Points'!$A$5)/('Anchor Points'!$A$6-'Anchor Points'!$A$5)*('Anchor Points'!$B$6-'Anchor Points'!$B$5),IF(A82&lt;=70,'Anchor Points'!$B$6+(A82-'Anchor Points'!$A$6)/('Anchor Points'!$A$7-'Anchor Points'!$A$6)*('Anchor Points'!$B$7-'Anchor Points'!$B$6),IF(A82&lt;=90,'Anchor Points'!$B$7+(A82-'Anchor Points'!$A$7)/('Anchor Points'!$A$8-'Anchor Points'!$A$7)*('Anchor Points'!$B$8-'Anchor Points'!$B$7),'Anchor Points'!$B$8+(A82-'Anchor Points'!$A$8)/('Anchor Points'!$A$9-'Anchor Points'!$A$8)*('Anchor Points'!$B$9-'Anchor Points'!$B$8)))))))</x:f>
        <x:v>77</x:v>
      </x:c>
      <x:c r="D82" s="28" t="n">
        <x:f>IF(A82&lt;=15,'Anchor Points'!$C$2+(A82-'Anchor Points'!$A$2)/('Anchor Points'!$A$3-'Anchor Points'!$A$2)*('Anchor Points'!$C$3-'Anchor Points'!$C$2),IF(A82&lt;=25,'Anchor Points'!$C$3+(A82-'Anchor Points'!$A$3)/('Anchor Points'!$A$4-'Anchor Points'!$A$3)*('Anchor Points'!$C$4-'Anchor Points'!$C$3),IF(A82&lt;=40,'Anchor Points'!$C$4+(A82-'Anchor Points'!$A$4)/('Anchor Points'!$A$5-'Anchor Points'!$A$4)*('Anchor Points'!$C$5-'Anchor Points'!$C$4),IF(A82&lt;=55,'Anchor Points'!$C$5+(A82-'Anchor Points'!$A$5)/('Anchor Points'!$A$6-'Anchor Points'!$A$5)*('Anchor Points'!$C$6-'Anchor Points'!$C$5),IF(A82&lt;=70,'Anchor Points'!$C$6+(A82-'Anchor Points'!$A$6)/('Anchor Points'!$A$7-'Anchor Points'!$A$6)*('Anchor Points'!$C$7-'Anchor Points'!$C$6),IF(A82&lt;=90,'Anchor Points'!$C$7+(A82-'Anchor Points'!$A$7)/('Anchor Points'!$A$8-'Anchor Points'!$A$7)*('Anchor Points'!$C$8-'Anchor Points'!$C$7),'Anchor Points'!$C$8+(A82-'Anchor Points'!$A$8)/('Anchor Points'!$A$9-'Anchor Points'!$A$8)*('Anchor Points'!$C$9-'Anchor Points'!$C$8)))))))</x:f>
        <x:v>75</x:v>
      </x:c>
      <x:c r="E82" s="28" t="n">
        <x:f>IF(A82&lt;=15,'Anchor Points'!$D$2+(A82-'Anchor Points'!$A$2)/('Anchor Points'!$A$3-'Anchor Points'!$A$2)*('Anchor Points'!$D$3-'Anchor Points'!$D$2),IF(A82&lt;=25,'Anchor Points'!$D$3+(A82-'Anchor Points'!$A$3)/('Anchor Points'!$A$4-'Anchor Points'!$A$3)*('Anchor Points'!$D$4-'Anchor Points'!$D$3),IF(A82&lt;=40,'Anchor Points'!$D$4+(A82-'Anchor Points'!$A$4)/('Anchor Points'!$A$5-'Anchor Points'!$A$4)*('Anchor Points'!$D$5-'Anchor Points'!$D$4),IF(A82&lt;=55,'Anchor Points'!$D$5+(A82-'Anchor Points'!$A$5)/('Anchor Points'!$A$6-'Anchor Points'!$A$5)*('Anchor Points'!$D$6-'Anchor Points'!$D$5),IF(A82&lt;=70,'Anchor Points'!$D$6+(A82-'Anchor Points'!$A$6)/('Anchor Points'!$A$7-'Anchor Points'!$A$6)*('Anchor Points'!$D$7-'Anchor Points'!$D$6),IF(A82&lt;=90,'Anchor Points'!$D$7+(A82-'Anchor Points'!$A$7)/('Anchor Points'!$A$8-'Anchor Points'!$A$7)*('Anchor Points'!$D$8-'Anchor Points'!$D$7),'Anchor Points'!$D$8+(A82-'Anchor Points'!$A$8)/('Anchor Points'!$A$9-'Anchor Points'!$A$8)*('Anchor Points'!$D$9-'Anchor Points'!$D$8)))))))</x:f>
        <x:v>10</x:v>
      </x:c>
      <x:c r="F82" s="30" t="n">
        <x:f>ROUND(E82,0)</x:f>
        <x:v>10</x:v>
      </x:c>
      <x:c r="G82" s="28" t="n">
        <x:f>IF(A82&lt;=15,'Anchor Points'!$E$2+(A82-'Anchor Points'!$A$2)/('Anchor Points'!$A$3-'Anchor Points'!$A$2)*('Anchor Points'!$E$3-'Anchor Points'!$E$2),IF(A82&lt;=25,'Anchor Points'!$E$3+(A82-'Anchor Points'!$A$3)/('Anchor Points'!$A$4-'Anchor Points'!$A$3)*('Anchor Points'!$E$4-'Anchor Points'!$E$3),IF(A82&lt;=40,'Anchor Points'!$E$4+(A82-'Anchor Points'!$A$4)/('Anchor Points'!$A$5-'Anchor Points'!$A$4)*('Anchor Points'!$E$5-'Anchor Points'!$E$4),IF(A82&lt;=55,'Anchor Points'!$E$5+(A82-'Anchor Points'!$A$5)/('Anchor Points'!$A$6-'Anchor Points'!$A$5)*('Anchor Points'!$E$6-'Anchor Points'!$E$5),IF(A82&lt;=70,'Anchor Points'!$E$6+(A82-'Anchor Points'!$A$6)/('Anchor Points'!$A$7-'Anchor Points'!$A$6)*('Anchor Points'!$E$7-'Anchor Points'!$E$6),IF(A82&lt;=90,'Anchor Points'!$E$7+(A82-'Anchor Points'!$A$7)/('Anchor Points'!$A$8-'Anchor Points'!$A$7)*('Anchor Points'!$E$8-'Anchor Points'!$E$7),'Anchor Points'!$E$8+(A82-'Anchor Points'!$A$8)/('Anchor Points'!$A$9-'Anchor Points'!$A$8)*('Anchor Points'!$E$9-'Anchor Points'!$E$8)))))))</x:f>
        <x:v>7.5</x:v>
      </x:c>
      <x:c r="H82" s="30" t="n">
        <x:f>ROUND(G82,0)</x:f>
        <x:v>8</x:v>
      </x:c>
      <x:c r="I82" s="28" t="n">
        <x:f>IF(A82&lt;=15,'Anchor Points'!$F$2+(A82-'Anchor Points'!$A$2)/('Anchor Points'!$A$3-'Anchor Points'!$A$2)*('Anchor Points'!$F$3-'Anchor Points'!$F$2),IF(A82&lt;=25,'Anchor Points'!$F$3+(A82-'Anchor Points'!$A$3)/('Anchor Points'!$A$4-'Anchor Points'!$A$3)*('Anchor Points'!$F$4-'Anchor Points'!$F$3),IF(A82&lt;=40,'Anchor Points'!$F$4+(A82-'Anchor Points'!$A$4)/('Anchor Points'!$A$5-'Anchor Points'!$A$4)*('Anchor Points'!$F$5-'Anchor Points'!$F$4),IF(A82&lt;=55,'Anchor Points'!$F$5+(A82-'Anchor Points'!$A$5)/('Anchor Points'!$A$6-'Anchor Points'!$A$5)*('Anchor Points'!$F$6-'Anchor Points'!$F$5),IF(A82&lt;=70,'Anchor Points'!$F$6+(A82-'Anchor Points'!$A$6)/('Anchor Points'!$A$7-'Anchor Points'!$A$6)*('Anchor Points'!$F$7-'Anchor Points'!$F$6),IF(A82&lt;=90,'Anchor Points'!$F$7+(A82-'Anchor Points'!$A$7)/('Anchor Points'!$A$8-'Anchor Points'!$A$7)*('Anchor Points'!$F$8-'Anchor Points'!$F$7),'Anchor Points'!$F$8+(A82-'Anchor Points'!$A$8)/('Anchor Points'!$A$9-'Anchor Points'!$A$8)*('Anchor Points'!$F$9-'Anchor Points'!$F$8)))))))</x:f>
        <x:v>37.5</x:v>
      </x:c>
      <x:c r="K82" s="36" t="n">
        <x:f>A58</x:f>
        <x:v>56</x:v>
      </x:c>
      <x:c r="L82" s="36" t="n">
        <x:f>E58</x:f>
        <x:v>7.333333333333333</x:v>
      </x:c>
      <x:c r="M82" s="36" t="n">
        <x:f>G58</x:f>
        <x:v>1.2666666666666666</x:v>
      </x:c>
      <x:c r="N82" s="36" t="n">
        <x:f>I58</x:f>
        <x:v>9.133333333333333</x:v>
      </x:c>
    </x:row>
    <x:row r="83">
      <x:c r="A83" s="30" t="n">
        <x:v>81</x:v>
      </x:c>
      <x:c r="B83" s="11" t="str">
        <x:f>IF(A83&lt;=15,"Seedling",IF(A83&lt;=25,"Establishment",IF(A83&lt;=40,"Vegetative Growth",IF(A83&lt;=55,"Flowering &amp; Initial Fruit Set",IF(A83&lt;=80,"Fruit Enlargement",IF(A83&lt;=95,"Ripening","Harvesting"))))))</x:f>
        <x:v>Ripening</x:v>
      </x:c>
      <x:c r="C83" s="28" t="n">
        <x:f>IF(A83&lt;=15,'Anchor Points'!$B$2+(A83-'Anchor Points'!$A$2)/('Anchor Points'!$A$3-'Anchor Points'!$A$2)*('Anchor Points'!$B$3-'Anchor Points'!$B$2),IF(A83&lt;=25,'Anchor Points'!$B$3+(A83-'Anchor Points'!$A$3)/('Anchor Points'!$A$4-'Anchor Points'!$A$3)*('Anchor Points'!$B$4-'Anchor Points'!$B$3),IF(A83&lt;=40,'Anchor Points'!$B$4+(A83-'Anchor Points'!$A$4)/('Anchor Points'!$A$5-'Anchor Points'!$A$4)*('Anchor Points'!$B$5-'Anchor Points'!$B$4),IF(A83&lt;=55,'Anchor Points'!$B$5+(A83-'Anchor Points'!$A$5)/('Anchor Points'!$A$6-'Anchor Points'!$A$5)*('Anchor Points'!$B$6-'Anchor Points'!$B$5),IF(A83&lt;=70,'Anchor Points'!$B$6+(A83-'Anchor Points'!$A$6)/('Anchor Points'!$A$7-'Anchor Points'!$A$6)*('Anchor Points'!$B$7-'Anchor Points'!$B$6),IF(A83&lt;=90,'Anchor Points'!$B$7+(A83-'Anchor Points'!$A$7)/('Anchor Points'!$A$8-'Anchor Points'!$A$7)*('Anchor Points'!$B$8-'Anchor Points'!$B$7),'Anchor Points'!$B$8+(A83-'Anchor Points'!$A$8)/('Anchor Points'!$A$9-'Anchor Points'!$A$8)*('Anchor Points'!$B$9-'Anchor Points'!$B$8)))))))</x:f>
        <x:v>77.5</x:v>
      </x:c>
      <x:c r="D83" s="28" t="n">
        <x:f>IF(A83&lt;=15,'Anchor Points'!$C$2+(A83-'Anchor Points'!$A$2)/('Anchor Points'!$A$3-'Anchor Points'!$A$2)*('Anchor Points'!$C$3-'Anchor Points'!$C$2),IF(A83&lt;=25,'Anchor Points'!$C$3+(A83-'Anchor Points'!$A$3)/('Anchor Points'!$A$4-'Anchor Points'!$A$3)*('Anchor Points'!$C$4-'Anchor Points'!$C$3),IF(A83&lt;=40,'Anchor Points'!$C$4+(A83-'Anchor Points'!$A$4)/('Anchor Points'!$A$5-'Anchor Points'!$A$4)*('Anchor Points'!$C$5-'Anchor Points'!$C$4),IF(A83&lt;=55,'Anchor Points'!$C$5+(A83-'Anchor Points'!$A$5)/('Anchor Points'!$A$6-'Anchor Points'!$A$5)*('Anchor Points'!$C$6-'Anchor Points'!$C$5),IF(A83&lt;=70,'Anchor Points'!$C$6+(A83-'Anchor Points'!$A$6)/('Anchor Points'!$A$7-'Anchor Points'!$A$6)*('Anchor Points'!$C$7-'Anchor Points'!$C$6),IF(A83&lt;=90,'Anchor Points'!$C$7+(A83-'Anchor Points'!$A$7)/('Anchor Points'!$A$8-'Anchor Points'!$A$7)*('Anchor Points'!$C$8-'Anchor Points'!$C$7),'Anchor Points'!$C$8+(A83-'Anchor Points'!$A$8)/('Anchor Points'!$A$9-'Anchor Points'!$A$8)*('Anchor Points'!$C$9-'Anchor Points'!$C$8)))))))</x:f>
        <x:v>76</x:v>
      </x:c>
      <x:c r="E83" s="28" t="n">
        <x:f>IF(A83&lt;=15,'Anchor Points'!$D$2+(A83-'Anchor Points'!$A$2)/('Anchor Points'!$A$3-'Anchor Points'!$A$2)*('Anchor Points'!$D$3-'Anchor Points'!$D$2),IF(A83&lt;=25,'Anchor Points'!$D$3+(A83-'Anchor Points'!$A$3)/('Anchor Points'!$A$4-'Anchor Points'!$A$3)*('Anchor Points'!$D$4-'Anchor Points'!$D$3),IF(A83&lt;=40,'Anchor Points'!$D$4+(A83-'Anchor Points'!$A$4)/('Anchor Points'!$A$5-'Anchor Points'!$A$4)*('Anchor Points'!$D$5-'Anchor Points'!$D$4),IF(A83&lt;=55,'Anchor Points'!$D$5+(A83-'Anchor Points'!$A$5)/('Anchor Points'!$A$6-'Anchor Points'!$A$5)*('Anchor Points'!$D$6-'Anchor Points'!$D$5),IF(A83&lt;=70,'Anchor Points'!$D$6+(A83-'Anchor Points'!$A$6)/('Anchor Points'!$A$7-'Anchor Points'!$A$6)*('Anchor Points'!$D$7-'Anchor Points'!$D$6),IF(A83&lt;=90,'Anchor Points'!$D$7+(A83-'Anchor Points'!$A$7)/('Anchor Points'!$A$8-'Anchor Points'!$A$7)*('Anchor Points'!$D$8-'Anchor Points'!$D$7),'Anchor Points'!$D$8+(A83-'Anchor Points'!$A$8)/('Anchor Points'!$A$9-'Anchor Points'!$A$8)*('Anchor Points'!$D$9-'Anchor Points'!$D$8)))))))</x:f>
        <x:v>9.8</x:v>
      </x:c>
      <x:c r="F83" s="30" t="n">
        <x:f>ROUND(E83,0)</x:f>
        <x:v>10</x:v>
      </x:c>
      <x:c r="G83" s="28" t="n">
        <x:f>IF(A83&lt;=15,'Anchor Points'!$E$2+(A83-'Anchor Points'!$A$2)/('Anchor Points'!$A$3-'Anchor Points'!$A$2)*('Anchor Points'!$E$3-'Anchor Points'!$E$2),IF(A83&lt;=25,'Anchor Points'!$E$3+(A83-'Anchor Points'!$A$3)/('Anchor Points'!$A$4-'Anchor Points'!$A$3)*('Anchor Points'!$E$4-'Anchor Points'!$E$3),IF(A83&lt;=40,'Anchor Points'!$E$4+(A83-'Anchor Points'!$A$4)/('Anchor Points'!$A$5-'Anchor Points'!$A$4)*('Anchor Points'!$E$5-'Anchor Points'!$E$4),IF(A83&lt;=55,'Anchor Points'!$E$5+(A83-'Anchor Points'!$A$5)/('Anchor Points'!$A$6-'Anchor Points'!$A$5)*('Anchor Points'!$E$6-'Anchor Points'!$E$5),IF(A83&lt;=70,'Anchor Points'!$E$6+(A83-'Anchor Points'!$A$6)/('Anchor Points'!$A$7-'Anchor Points'!$A$6)*('Anchor Points'!$E$7-'Anchor Points'!$E$6),IF(A83&lt;=90,'Anchor Points'!$E$7+(A83-'Anchor Points'!$A$7)/('Anchor Points'!$A$8-'Anchor Points'!$A$7)*('Anchor Points'!$E$8-'Anchor Points'!$E$7),'Anchor Points'!$E$8+(A83-'Anchor Points'!$A$8)/('Anchor Points'!$A$9-'Anchor Points'!$A$8)*('Anchor Points'!$E$9-'Anchor Points'!$E$8)))))))</x:f>
        <x:v>7.75</x:v>
      </x:c>
      <x:c r="H83" s="30" t="n">
        <x:f>ROUND(G83,0)</x:f>
        <x:v>8</x:v>
      </x:c>
      <x:c r="I83" s="28" t="n">
        <x:f>IF(A83&lt;=15,'Anchor Points'!$F$2+(A83-'Anchor Points'!$A$2)/('Anchor Points'!$A$3-'Anchor Points'!$A$2)*('Anchor Points'!$F$3-'Anchor Points'!$F$2),IF(A83&lt;=25,'Anchor Points'!$F$3+(A83-'Anchor Points'!$A$3)/('Anchor Points'!$A$4-'Anchor Points'!$A$3)*('Anchor Points'!$F$4-'Anchor Points'!$F$3),IF(A83&lt;=40,'Anchor Points'!$F$4+(A83-'Anchor Points'!$A$4)/('Anchor Points'!$A$5-'Anchor Points'!$A$4)*('Anchor Points'!$F$5-'Anchor Points'!$F$4),IF(A83&lt;=55,'Anchor Points'!$F$5+(A83-'Anchor Points'!$A$5)/('Anchor Points'!$A$6-'Anchor Points'!$A$5)*('Anchor Points'!$F$6-'Anchor Points'!$F$5),IF(A83&lt;=70,'Anchor Points'!$F$6+(A83-'Anchor Points'!$A$6)/('Anchor Points'!$A$7-'Anchor Points'!$A$6)*('Anchor Points'!$F$7-'Anchor Points'!$F$6),IF(A83&lt;=90,'Anchor Points'!$F$7+(A83-'Anchor Points'!$A$7)/('Anchor Points'!$A$8-'Anchor Points'!$A$7)*('Anchor Points'!$F$8-'Anchor Points'!$F$7),'Anchor Points'!$F$8+(A83-'Anchor Points'!$A$8)/('Anchor Points'!$A$9-'Anchor Points'!$A$8)*('Anchor Points'!$F$9-'Anchor Points'!$F$8)))))))</x:f>
        <x:v>38.75</x:v>
      </x:c>
      <x:c r="K83" s="36" t="n">
        <x:f>A59</x:f>
        <x:v>57</x:v>
      </x:c>
      <x:c r="L83" s="36" t="n">
        <x:f>E59</x:f>
        <x:v>7.666666666666667</x:v>
      </x:c>
      <x:c r="M83" s="36" t="n">
        <x:f>G59</x:f>
        <x:v>1.5333333333333332</x:v>
      </x:c>
      <x:c r="N83" s="36" t="n">
        <x:f>I59</x:f>
        <x:v>10.266666666666666</x:v>
      </x:c>
    </x:row>
    <x:row r="84">
      <x:c r="A84" s="30" t="n">
        <x:v>82</x:v>
      </x:c>
      <x:c r="B84" s="11" t="str">
        <x:f>IF(A84&lt;=15,"Seedling",IF(A84&lt;=25,"Establishment",IF(A84&lt;=40,"Vegetative Growth",IF(A84&lt;=55,"Flowering &amp; Initial Fruit Set",IF(A84&lt;=80,"Fruit Enlargement",IF(A84&lt;=95,"Ripening","Harvesting"))))))</x:f>
        <x:v>Ripening</x:v>
      </x:c>
      <x:c r="C84" s="28" t="n">
        <x:f>IF(A84&lt;=15,'Anchor Points'!$B$2+(A84-'Anchor Points'!$A$2)/('Anchor Points'!$A$3-'Anchor Points'!$A$2)*('Anchor Points'!$B$3-'Anchor Points'!$B$2),IF(A84&lt;=25,'Anchor Points'!$B$3+(A84-'Anchor Points'!$A$3)/('Anchor Points'!$A$4-'Anchor Points'!$A$3)*('Anchor Points'!$B$4-'Anchor Points'!$B$3),IF(A84&lt;=40,'Anchor Points'!$B$4+(A84-'Anchor Points'!$A$4)/('Anchor Points'!$A$5-'Anchor Points'!$A$4)*('Anchor Points'!$B$5-'Anchor Points'!$B$4),IF(A84&lt;=55,'Anchor Points'!$B$5+(A84-'Anchor Points'!$A$5)/('Anchor Points'!$A$6-'Anchor Points'!$A$5)*('Anchor Points'!$B$6-'Anchor Points'!$B$5),IF(A84&lt;=70,'Anchor Points'!$B$6+(A84-'Anchor Points'!$A$6)/('Anchor Points'!$A$7-'Anchor Points'!$A$6)*('Anchor Points'!$B$7-'Anchor Points'!$B$6),IF(A84&lt;=90,'Anchor Points'!$B$7+(A84-'Anchor Points'!$A$7)/('Anchor Points'!$A$8-'Anchor Points'!$A$7)*('Anchor Points'!$B$8-'Anchor Points'!$B$7),'Anchor Points'!$B$8+(A84-'Anchor Points'!$A$8)/('Anchor Points'!$A$9-'Anchor Points'!$A$8)*('Anchor Points'!$B$9-'Anchor Points'!$B$8)))))))</x:f>
        <x:v>78</x:v>
      </x:c>
      <x:c r="D84" s="28" t="n">
        <x:f>IF(A84&lt;=15,'Anchor Points'!$C$2+(A84-'Anchor Points'!$A$2)/('Anchor Points'!$A$3-'Anchor Points'!$A$2)*('Anchor Points'!$C$3-'Anchor Points'!$C$2),IF(A84&lt;=25,'Anchor Points'!$C$3+(A84-'Anchor Points'!$A$3)/('Anchor Points'!$A$4-'Anchor Points'!$A$3)*('Anchor Points'!$C$4-'Anchor Points'!$C$3),IF(A84&lt;=40,'Anchor Points'!$C$4+(A84-'Anchor Points'!$A$4)/('Anchor Points'!$A$5-'Anchor Points'!$A$4)*('Anchor Points'!$C$5-'Anchor Points'!$C$4),IF(A84&lt;=55,'Anchor Points'!$C$5+(A84-'Anchor Points'!$A$5)/('Anchor Points'!$A$6-'Anchor Points'!$A$5)*('Anchor Points'!$C$6-'Anchor Points'!$C$5),IF(A84&lt;=70,'Anchor Points'!$C$6+(A84-'Anchor Points'!$A$6)/('Anchor Points'!$A$7-'Anchor Points'!$A$6)*('Anchor Points'!$C$7-'Anchor Points'!$C$6),IF(A84&lt;=90,'Anchor Points'!$C$7+(A84-'Anchor Points'!$A$7)/('Anchor Points'!$A$8-'Anchor Points'!$A$7)*('Anchor Points'!$C$8-'Anchor Points'!$C$7),'Anchor Points'!$C$8+(A84-'Anchor Points'!$A$8)/('Anchor Points'!$A$9-'Anchor Points'!$A$8)*('Anchor Points'!$C$9-'Anchor Points'!$C$8)))))))</x:f>
        <x:v>77</x:v>
      </x:c>
      <x:c r="E84" s="28" t="n">
        <x:f>IF(A84&lt;=15,'Anchor Points'!$D$2+(A84-'Anchor Points'!$A$2)/('Anchor Points'!$A$3-'Anchor Points'!$A$2)*('Anchor Points'!$D$3-'Anchor Points'!$D$2),IF(A84&lt;=25,'Anchor Points'!$D$3+(A84-'Anchor Points'!$A$3)/('Anchor Points'!$A$4-'Anchor Points'!$A$3)*('Anchor Points'!$D$4-'Anchor Points'!$D$3),IF(A84&lt;=40,'Anchor Points'!$D$4+(A84-'Anchor Points'!$A$4)/('Anchor Points'!$A$5-'Anchor Points'!$A$4)*('Anchor Points'!$D$5-'Anchor Points'!$D$4),IF(A84&lt;=55,'Anchor Points'!$D$5+(A84-'Anchor Points'!$A$5)/('Anchor Points'!$A$6-'Anchor Points'!$A$5)*('Anchor Points'!$D$6-'Anchor Points'!$D$5),IF(A84&lt;=70,'Anchor Points'!$D$6+(A84-'Anchor Points'!$A$6)/('Anchor Points'!$A$7-'Anchor Points'!$A$6)*('Anchor Points'!$D$7-'Anchor Points'!$D$6),IF(A84&lt;=90,'Anchor Points'!$D$7+(A84-'Anchor Points'!$A$7)/('Anchor Points'!$A$8-'Anchor Points'!$A$7)*('Anchor Points'!$D$8-'Anchor Points'!$D$7),'Anchor Points'!$D$8+(A84-'Anchor Points'!$A$8)/('Anchor Points'!$A$9-'Anchor Points'!$A$8)*('Anchor Points'!$D$9-'Anchor Points'!$D$8)))))))</x:f>
        <x:v>9.6</x:v>
      </x:c>
      <x:c r="F84" s="30" t="n">
        <x:f>ROUND(E84,0)</x:f>
        <x:v>10</x:v>
      </x:c>
      <x:c r="G84" s="28" t="n">
        <x:f>IF(A84&lt;=15,'Anchor Points'!$E$2+(A84-'Anchor Points'!$A$2)/('Anchor Points'!$A$3-'Anchor Points'!$A$2)*('Anchor Points'!$E$3-'Anchor Points'!$E$2),IF(A84&lt;=25,'Anchor Points'!$E$3+(A84-'Anchor Points'!$A$3)/('Anchor Points'!$A$4-'Anchor Points'!$A$3)*('Anchor Points'!$E$4-'Anchor Points'!$E$3),IF(A84&lt;=40,'Anchor Points'!$E$4+(A84-'Anchor Points'!$A$4)/('Anchor Points'!$A$5-'Anchor Points'!$A$4)*('Anchor Points'!$E$5-'Anchor Points'!$E$4),IF(A84&lt;=55,'Anchor Points'!$E$5+(A84-'Anchor Points'!$A$5)/('Anchor Points'!$A$6-'Anchor Points'!$A$5)*('Anchor Points'!$E$6-'Anchor Points'!$E$5),IF(A84&lt;=70,'Anchor Points'!$E$6+(A84-'Anchor Points'!$A$6)/('Anchor Points'!$A$7-'Anchor Points'!$A$6)*('Anchor Points'!$E$7-'Anchor Points'!$E$6),IF(A84&lt;=90,'Anchor Points'!$E$7+(A84-'Anchor Points'!$A$7)/('Anchor Points'!$A$8-'Anchor Points'!$A$7)*('Anchor Points'!$E$8-'Anchor Points'!$E$7),'Anchor Points'!$E$8+(A84-'Anchor Points'!$A$8)/('Anchor Points'!$A$9-'Anchor Points'!$A$8)*('Anchor Points'!$E$9-'Anchor Points'!$E$8)))))))</x:f>
        <x:v>8</x:v>
      </x:c>
      <x:c r="H84" s="30" t="n">
        <x:f>ROUND(G84,0)</x:f>
        <x:v>8</x:v>
      </x:c>
      <x:c r="I84" s="28" t="n">
        <x:f>IF(A84&lt;=15,'Anchor Points'!$F$2+(A84-'Anchor Points'!$A$2)/('Anchor Points'!$A$3-'Anchor Points'!$A$2)*('Anchor Points'!$F$3-'Anchor Points'!$F$2),IF(A84&lt;=25,'Anchor Points'!$F$3+(A84-'Anchor Points'!$A$3)/('Anchor Points'!$A$4-'Anchor Points'!$A$3)*('Anchor Points'!$F$4-'Anchor Points'!$F$3),IF(A84&lt;=40,'Anchor Points'!$F$4+(A84-'Anchor Points'!$A$4)/('Anchor Points'!$A$5-'Anchor Points'!$A$4)*('Anchor Points'!$F$5-'Anchor Points'!$F$4),IF(A84&lt;=55,'Anchor Points'!$F$5+(A84-'Anchor Points'!$A$5)/('Anchor Points'!$A$6-'Anchor Points'!$A$5)*('Anchor Points'!$F$6-'Anchor Points'!$F$5),IF(A84&lt;=70,'Anchor Points'!$F$6+(A84-'Anchor Points'!$A$6)/('Anchor Points'!$A$7-'Anchor Points'!$A$6)*('Anchor Points'!$F$7-'Anchor Points'!$F$6),IF(A84&lt;=90,'Anchor Points'!$F$7+(A84-'Anchor Points'!$A$7)/('Anchor Points'!$A$8-'Anchor Points'!$A$7)*('Anchor Points'!$F$8-'Anchor Points'!$F$7),'Anchor Points'!$F$8+(A84-'Anchor Points'!$A$8)/('Anchor Points'!$A$9-'Anchor Points'!$A$8)*('Anchor Points'!$F$9-'Anchor Points'!$F$8)))))))</x:f>
        <x:v>40</x:v>
      </x:c>
      <x:c r="K84" s="36" t="n">
        <x:f>A60</x:f>
        <x:v>58</x:v>
      </x:c>
      <x:c r="L84" s="36" t="n">
        <x:f>E60</x:f>
        <x:v>8</x:v>
      </x:c>
      <x:c r="M84" s="36" t="n">
        <x:f>G60</x:f>
        <x:v>1.8</x:v>
      </x:c>
      <x:c r="N84" s="36" t="n">
        <x:f>I60</x:f>
        <x:v>11.4</x:v>
      </x:c>
    </x:row>
    <x:row r="85">
      <x:c r="A85" s="30" t="n">
        <x:v>83</x:v>
      </x:c>
      <x:c r="B85" s="11" t="str">
        <x:f>IF(A85&lt;=15,"Seedling",IF(A85&lt;=25,"Establishment",IF(A85&lt;=40,"Vegetative Growth",IF(A85&lt;=55,"Flowering &amp; Initial Fruit Set",IF(A85&lt;=80,"Fruit Enlargement",IF(A85&lt;=95,"Ripening","Harvesting"))))))</x:f>
        <x:v>Ripening</x:v>
      </x:c>
      <x:c r="C85" s="28" t="n">
        <x:f>IF(A85&lt;=15,'Anchor Points'!$B$2+(A85-'Anchor Points'!$A$2)/('Anchor Points'!$A$3-'Anchor Points'!$A$2)*('Anchor Points'!$B$3-'Anchor Points'!$B$2),IF(A85&lt;=25,'Anchor Points'!$B$3+(A85-'Anchor Points'!$A$3)/('Anchor Points'!$A$4-'Anchor Points'!$A$3)*('Anchor Points'!$B$4-'Anchor Points'!$B$3),IF(A85&lt;=40,'Anchor Points'!$B$4+(A85-'Anchor Points'!$A$4)/('Anchor Points'!$A$5-'Anchor Points'!$A$4)*('Anchor Points'!$B$5-'Anchor Points'!$B$4),IF(A85&lt;=55,'Anchor Points'!$B$5+(A85-'Anchor Points'!$A$5)/('Anchor Points'!$A$6-'Anchor Points'!$A$5)*('Anchor Points'!$B$6-'Anchor Points'!$B$5),IF(A85&lt;=70,'Anchor Points'!$B$6+(A85-'Anchor Points'!$A$6)/('Anchor Points'!$A$7-'Anchor Points'!$A$6)*('Anchor Points'!$B$7-'Anchor Points'!$B$6),IF(A85&lt;=90,'Anchor Points'!$B$7+(A85-'Anchor Points'!$A$7)/('Anchor Points'!$A$8-'Anchor Points'!$A$7)*('Anchor Points'!$B$8-'Anchor Points'!$B$7),'Anchor Points'!$B$8+(A85-'Anchor Points'!$A$8)/('Anchor Points'!$A$9-'Anchor Points'!$A$8)*('Anchor Points'!$B$9-'Anchor Points'!$B$8)))))))</x:f>
        <x:v>78.5</x:v>
      </x:c>
      <x:c r="D85" s="28" t="n">
        <x:f>IF(A85&lt;=15,'Anchor Points'!$C$2+(A85-'Anchor Points'!$A$2)/('Anchor Points'!$A$3-'Anchor Points'!$A$2)*('Anchor Points'!$C$3-'Anchor Points'!$C$2),IF(A85&lt;=25,'Anchor Points'!$C$3+(A85-'Anchor Points'!$A$3)/('Anchor Points'!$A$4-'Anchor Points'!$A$3)*('Anchor Points'!$C$4-'Anchor Points'!$C$3),IF(A85&lt;=40,'Anchor Points'!$C$4+(A85-'Anchor Points'!$A$4)/('Anchor Points'!$A$5-'Anchor Points'!$A$4)*('Anchor Points'!$C$5-'Anchor Points'!$C$4),IF(A85&lt;=55,'Anchor Points'!$C$5+(A85-'Anchor Points'!$A$5)/('Anchor Points'!$A$6-'Anchor Points'!$A$5)*('Anchor Points'!$C$6-'Anchor Points'!$C$5),IF(A85&lt;=70,'Anchor Points'!$C$6+(A85-'Anchor Points'!$A$6)/('Anchor Points'!$A$7-'Anchor Points'!$A$6)*('Anchor Points'!$C$7-'Anchor Points'!$C$6),IF(A85&lt;=90,'Anchor Points'!$C$7+(A85-'Anchor Points'!$A$7)/('Anchor Points'!$A$8-'Anchor Points'!$A$7)*('Anchor Points'!$C$8-'Anchor Points'!$C$7),'Anchor Points'!$C$8+(A85-'Anchor Points'!$A$8)/('Anchor Points'!$A$9-'Anchor Points'!$A$8)*('Anchor Points'!$C$9-'Anchor Points'!$C$8)))))))</x:f>
        <x:v>78</x:v>
      </x:c>
      <x:c r="E85" s="28" t="n">
        <x:f>IF(A85&lt;=15,'Anchor Points'!$D$2+(A85-'Anchor Points'!$A$2)/('Anchor Points'!$A$3-'Anchor Points'!$A$2)*('Anchor Points'!$D$3-'Anchor Points'!$D$2),IF(A85&lt;=25,'Anchor Points'!$D$3+(A85-'Anchor Points'!$A$3)/('Anchor Points'!$A$4-'Anchor Points'!$A$3)*('Anchor Points'!$D$4-'Anchor Points'!$D$3),IF(A85&lt;=40,'Anchor Points'!$D$4+(A85-'Anchor Points'!$A$4)/('Anchor Points'!$A$5-'Anchor Points'!$A$4)*('Anchor Points'!$D$5-'Anchor Points'!$D$4),IF(A85&lt;=55,'Anchor Points'!$D$5+(A85-'Anchor Points'!$A$5)/('Anchor Points'!$A$6-'Anchor Points'!$A$5)*('Anchor Points'!$D$6-'Anchor Points'!$D$5),IF(A85&lt;=70,'Anchor Points'!$D$6+(A85-'Anchor Points'!$A$6)/('Anchor Points'!$A$7-'Anchor Points'!$A$6)*('Anchor Points'!$D$7-'Anchor Points'!$D$6),IF(A85&lt;=90,'Anchor Points'!$D$7+(A85-'Anchor Points'!$A$7)/('Anchor Points'!$A$8-'Anchor Points'!$A$7)*('Anchor Points'!$D$8-'Anchor Points'!$D$7),'Anchor Points'!$D$8+(A85-'Anchor Points'!$A$8)/('Anchor Points'!$A$9-'Anchor Points'!$A$8)*('Anchor Points'!$D$9-'Anchor Points'!$D$8)))))))</x:f>
        <x:v>9.4</x:v>
      </x:c>
      <x:c r="F85" s="30" t="n">
        <x:f>ROUND(E85,0)</x:f>
        <x:v>9</x:v>
      </x:c>
      <x:c r="G85" s="28" t="n">
        <x:f>IF(A85&lt;=15,'Anchor Points'!$E$2+(A85-'Anchor Points'!$A$2)/('Anchor Points'!$A$3-'Anchor Points'!$A$2)*('Anchor Points'!$E$3-'Anchor Points'!$E$2),IF(A85&lt;=25,'Anchor Points'!$E$3+(A85-'Anchor Points'!$A$3)/('Anchor Points'!$A$4-'Anchor Points'!$A$3)*('Anchor Points'!$E$4-'Anchor Points'!$E$3),IF(A85&lt;=40,'Anchor Points'!$E$4+(A85-'Anchor Points'!$A$4)/('Anchor Points'!$A$5-'Anchor Points'!$A$4)*('Anchor Points'!$E$5-'Anchor Points'!$E$4),IF(A85&lt;=55,'Anchor Points'!$E$5+(A85-'Anchor Points'!$A$5)/('Anchor Points'!$A$6-'Anchor Points'!$A$5)*('Anchor Points'!$E$6-'Anchor Points'!$E$5),IF(A85&lt;=70,'Anchor Points'!$E$6+(A85-'Anchor Points'!$A$6)/('Anchor Points'!$A$7-'Anchor Points'!$A$6)*('Anchor Points'!$E$7-'Anchor Points'!$E$6),IF(A85&lt;=90,'Anchor Points'!$E$7+(A85-'Anchor Points'!$A$7)/('Anchor Points'!$A$8-'Anchor Points'!$A$7)*('Anchor Points'!$E$8-'Anchor Points'!$E$7),'Anchor Points'!$E$8+(A85-'Anchor Points'!$A$8)/('Anchor Points'!$A$9-'Anchor Points'!$A$8)*('Anchor Points'!$E$9-'Anchor Points'!$E$8)))))))</x:f>
        <x:v>8.25</x:v>
      </x:c>
      <x:c r="H85" s="30" t="n">
        <x:f>ROUND(G85,0)</x:f>
        <x:v>8</x:v>
      </x:c>
      <x:c r="I85" s="28" t="n">
        <x:f>IF(A85&lt;=15,'Anchor Points'!$F$2+(A85-'Anchor Points'!$A$2)/('Anchor Points'!$A$3-'Anchor Points'!$A$2)*('Anchor Points'!$F$3-'Anchor Points'!$F$2),IF(A85&lt;=25,'Anchor Points'!$F$3+(A85-'Anchor Points'!$A$3)/('Anchor Points'!$A$4-'Anchor Points'!$A$3)*('Anchor Points'!$F$4-'Anchor Points'!$F$3),IF(A85&lt;=40,'Anchor Points'!$F$4+(A85-'Anchor Points'!$A$4)/('Anchor Points'!$A$5-'Anchor Points'!$A$4)*('Anchor Points'!$F$5-'Anchor Points'!$F$4),IF(A85&lt;=55,'Anchor Points'!$F$5+(A85-'Anchor Points'!$A$5)/('Anchor Points'!$A$6-'Anchor Points'!$A$5)*('Anchor Points'!$F$6-'Anchor Points'!$F$5),IF(A85&lt;=70,'Anchor Points'!$F$6+(A85-'Anchor Points'!$A$6)/('Anchor Points'!$A$7-'Anchor Points'!$A$6)*('Anchor Points'!$F$7-'Anchor Points'!$F$6),IF(A85&lt;=90,'Anchor Points'!$F$7+(A85-'Anchor Points'!$A$7)/('Anchor Points'!$A$8-'Anchor Points'!$A$7)*('Anchor Points'!$F$8-'Anchor Points'!$F$7),'Anchor Points'!$F$8+(A85-'Anchor Points'!$A$8)/('Anchor Points'!$A$9-'Anchor Points'!$A$8)*('Anchor Points'!$F$9-'Anchor Points'!$F$8)))))))</x:f>
        <x:v>41.25</x:v>
      </x:c>
      <x:c r="K85" s="36" t="n">
        <x:f>A61</x:f>
        <x:v>59</x:v>
      </x:c>
      <x:c r="L85" s="36" t="n">
        <x:f>E61</x:f>
        <x:v>8.333333333333334</x:v>
      </x:c>
      <x:c r="M85" s="36" t="n">
        <x:f>G61</x:f>
        <x:v>2.0666666666666664</x:v>
      </x:c>
      <x:c r="N85" s="36" t="n">
        <x:f>I61</x:f>
        <x:v>12.533333333333333</x:v>
      </x:c>
    </x:row>
    <x:row r="86">
      <x:c r="A86" s="30" t="n">
        <x:v>84</x:v>
      </x:c>
      <x:c r="B86" s="11" t="str">
        <x:f>IF(A86&lt;=15,"Seedling",IF(A86&lt;=25,"Establishment",IF(A86&lt;=40,"Vegetative Growth",IF(A86&lt;=55,"Flowering &amp; Initial Fruit Set",IF(A86&lt;=80,"Fruit Enlargement",IF(A86&lt;=95,"Ripening","Harvesting"))))))</x:f>
        <x:v>Ripening</x:v>
      </x:c>
      <x:c r="C86" s="28" t="n">
        <x:f>IF(A86&lt;=15,'Anchor Points'!$B$2+(A86-'Anchor Points'!$A$2)/('Anchor Points'!$A$3-'Anchor Points'!$A$2)*('Anchor Points'!$B$3-'Anchor Points'!$B$2),IF(A86&lt;=25,'Anchor Points'!$B$3+(A86-'Anchor Points'!$A$3)/('Anchor Points'!$A$4-'Anchor Points'!$A$3)*('Anchor Points'!$B$4-'Anchor Points'!$B$3),IF(A86&lt;=40,'Anchor Points'!$B$4+(A86-'Anchor Points'!$A$4)/('Anchor Points'!$A$5-'Anchor Points'!$A$4)*('Anchor Points'!$B$5-'Anchor Points'!$B$4),IF(A86&lt;=55,'Anchor Points'!$B$5+(A86-'Anchor Points'!$A$5)/('Anchor Points'!$A$6-'Anchor Points'!$A$5)*('Anchor Points'!$B$6-'Anchor Points'!$B$5),IF(A86&lt;=70,'Anchor Points'!$B$6+(A86-'Anchor Points'!$A$6)/('Anchor Points'!$A$7-'Anchor Points'!$A$6)*('Anchor Points'!$B$7-'Anchor Points'!$B$6),IF(A86&lt;=90,'Anchor Points'!$B$7+(A86-'Anchor Points'!$A$7)/('Anchor Points'!$A$8-'Anchor Points'!$A$7)*('Anchor Points'!$B$8-'Anchor Points'!$B$7),'Anchor Points'!$B$8+(A86-'Anchor Points'!$A$8)/('Anchor Points'!$A$9-'Anchor Points'!$A$8)*('Anchor Points'!$B$9-'Anchor Points'!$B$8)))))))</x:f>
        <x:v>79</x:v>
      </x:c>
      <x:c r="D86" s="28" t="n">
        <x:f>IF(A86&lt;=15,'Anchor Points'!$C$2+(A86-'Anchor Points'!$A$2)/('Anchor Points'!$A$3-'Anchor Points'!$A$2)*('Anchor Points'!$C$3-'Anchor Points'!$C$2),IF(A86&lt;=25,'Anchor Points'!$C$3+(A86-'Anchor Points'!$A$3)/('Anchor Points'!$A$4-'Anchor Points'!$A$3)*('Anchor Points'!$C$4-'Anchor Points'!$C$3),IF(A86&lt;=40,'Anchor Points'!$C$4+(A86-'Anchor Points'!$A$4)/('Anchor Points'!$A$5-'Anchor Points'!$A$4)*('Anchor Points'!$C$5-'Anchor Points'!$C$4),IF(A86&lt;=55,'Anchor Points'!$C$5+(A86-'Anchor Points'!$A$5)/('Anchor Points'!$A$6-'Anchor Points'!$A$5)*('Anchor Points'!$C$6-'Anchor Points'!$C$5),IF(A86&lt;=70,'Anchor Points'!$C$6+(A86-'Anchor Points'!$A$6)/('Anchor Points'!$A$7-'Anchor Points'!$A$6)*('Anchor Points'!$C$7-'Anchor Points'!$C$6),IF(A86&lt;=90,'Anchor Points'!$C$7+(A86-'Anchor Points'!$A$7)/('Anchor Points'!$A$8-'Anchor Points'!$A$7)*('Anchor Points'!$C$8-'Anchor Points'!$C$7),'Anchor Points'!$C$8+(A86-'Anchor Points'!$A$8)/('Anchor Points'!$A$9-'Anchor Points'!$A$8)*('Anchor Points'!$C$9-'Anchor Points'!$C$8)))))))</x:f>
        <x:v>79</x:v>
      </x:c>
      <x:c r="E86" s="28" t="n">
        <x:f>IF(A86&lt;=15,'Anchor Points'!$D$2+(A86-'Anchor Points'!$A$2)/('Anchor Points'!$A$3-'Anchor Points'!$A$2)*('Anchor Points'!$D$3-'Anchor Points'!$D$2),IF(A86&lt;=25,'Anchor Points'!$D$3+(A86-'Anchor Points'!$A$3)/('Anchor Points'!$A$4-'Anchor Points'!$A$3)*('Anchor Points'!$D$4-'Anchor Points'!$D$3),IF(A86&lt;=40,'Anchor Points'!$D$4+(A86-'Anchor Points'!$A$4)/('Anchor Points'!$A$5-'Anchor Points'!$A$4)*('Anchor Points'!$D$5-'Anchor Points'!$D$4),IF(A86&lt;=55,'Anchor Points'!$D$5+(A86-'Anchor Points'!$A$5)/('Anchor Points'!$A$6-'Anchor Points'!$A$5)*('Anchor Points'!$D$6-'Anchor Points'!$D$5),IF(A86&lt;=70,'Anchor Points'!$D$6+(A86-'Anchor Points'!$A$6)/('Anchor Points'!$A$7-'Anchor Points'!$A$6)*('Anchor Points'!$D$7-'Anchor Points'!$D$6),IF(A86&lt;=90,'Anchor Points'!$D$7+(A86-'Anchor Points'!$A$7)/('Anchor Points'!$A$8-'Anchor Points'!$A$7)*('Anchor Points'!$D$8-'Anchor Points'!$D$7),'Anchor Points'!$D$8+(A86-'Anchor Points'!$A$8)/('Anchor Points'!$A$9-'Anchor Points'!$A$8)*('Anchor Points'!$D$9-'Anchor Points'!$D$8)))))))</x:f>
        <x:v>9.2</x:v>
      </x:c>
      <x:c r="F86" s="30" t="n">
        <x:f>ROUND(E86,0)</x:f>
        <x:v>9</x:v>
      </x:c>
      <x:c r="G86" s="28" t="n">
        <x:f>IF(A86&lt;=15,'Anchor Points'!$E$2+(A86-'Anchor Points'!$A$2)/('Anchor Points'!$A$3-'Anchor Points'!$A$2)*('Anchor Points'!$E$3-'Anchor Points'!$E$2),IF(A86&lt;=25,'Anchor Points'!$E$3+(A86-'Anchor Points'!$A$3)/('Anchor Points'!$A$4-'Anchor Points'!$A$3)*('Anchor Points'!$E$4-'Anchor Points'!$E$3),IF(A86&lt;=40,'Anchor Points'!$E$4+(A86-'Anchor Points'!$A$4)/('Anchor Points'!$A$5-'Anchor Points'!$A$4)*('Anchor Points'!$E$5-'Anchor Points'!$E$4),IF(A86&lt;=55,'Anchor Points'!$E$5+(A86-'Anchor Points'!$A$5)/('Anchor Points'!$A$6-'Anchor Points'!$A$5)*('Anchor Points'!$E$6-'Anchor Points'!$E$5),IF(A86&lt;=70,'Anchor Points'!$E$6+(A86-'Anchor Points'!$A$6)/('Anchor Points'!$A$7-'Anchor Points'!$A$6)*('Anchor Points'!$E$7-'Anchor Points'!$E$6),IF(A86&lt;=90,'Anchor Points'!$E$7+(A86-'Anchor Points'!$A$7)/('Anchor Points'!$A$8-'Anchor Points'!$A$7)*('Anchor Points'!$E$8-'Anchor Points'!$E$7),'Anchor Points'!$E$8+(A86-'Anchor Points'!$A$8)/('Anchor Points'!$A$9-'Anchor Points'!$A$8)*('Anchor Points'!$E$9-'Anchor Points'!$E$8)))))))</x:f>
        <x:v>8.5</x:v>
      </x:c>
      <x:c r="H86" s="30" t="n">
        <x:f>ROUND(G86,0)</x:f>
        <x:v>9</x:v>
      </x:c>
      <x:c r="I86" s="28" t="n">
        <x:f>IF(A86&lt;=15,'Anchor Points'!$F$2+(A86-'Anchor Points'!$A$2)/('Anchor Points'!$A$3-'Anchor Points'!$A$2)*('Anchor Points'!$F$3-'Anchor Points'!$F$2),IF(A86&lt;=25,'Anchor Points'!$F$3+(A86-'Anchor Points'!$A$3)/('Anchor Points'!$A$4-'Anchor Points'!$A$3)*('Anchor Points'!$F$4-'Anchor Points'!$F$3),IF(A86&lt;=40,'Anchor Points'!$F$4+(A86-'Anchor Points'!$A$4)/('Anchor Points'!$A$5-'Anchor Points'!$A$4)*('Anchor Points'!$F$5-'Anchor Points'!$F$4),IF(A86&lt;=55,'Anchor Points'!$F$5+(A86-'Anchor Points'!$A$5)/('Anchor Points'!$A$6-'Anchor Points'!$A$5)*('Anchor Points'!$F$6-'Anchor Points'!$F$5),IF(A86&lt;=70,'Anchor Points'!$F$6+(A86-'Anchor Points'!$A$6)/('Anchor Points'!$A$7-'Anchor Points'!$A$6)*('Anchor Points'!$F$7-'Anchor Points'!$F$6),IF(A86&lt;=90,'Anchor Points'!$F$7+(A86-'Anchor Points'!$A$7)/('Anchor Points'!$A$8-'Anchor Points'!$A$7)*('Anchor Points'!$F$8-'Anchor Points'!$F$7),'Anchor Points'!$F$8+(A86-'Anchor Points'!$A$8)/('Anchor Points'!$A$9-'Anchor Points'!$A$8)*('Anchor Points'!$F$9-'Anchor Points'!$F$8)))))))</x:f>
        <x:v>42.5</x:v>
      </x:c>
      <x:c r="K86" s="36" t="n">
        <x:f>A62</x:f>
        <x:v>60</x:v>
      </x:c>
      <x:c r="L86" s="36" t="n">
        <x:f>E62</x:f>
        <x:v>8.666666666666666</x:v>
      </x:c>
      <x:c r="M86" s="36" t="n">
        <x:f>G62</x:f>
        <x:v>2.333333333333333</x:v>
      </x:c>
      <x:c r="N86" s="36" t="n">
        <x:f>I62</x:f>
        <x:v>13.666666666666666</x:v>
      </x:c>
    </x:row>
    <x:row r="87">
      <x:c r="A87" s="30" t="n">
        <x:v>85</x:v>
      </x:c>
      <x:c r="B87" s="11" t="str">
        <x:f>IF(A87&lt;=15,"Seedling",IF(A87&lt;=25,"Establishment",IF(A87&lt;=40,"Vegetative Growth",IF(A87&lt;=55,"Flowering &amp; Initial Fruit Set",IF(A87&lt;=80,"Fruit Enlargement",IF(A87&lt;=95,"Ripening","Harvesting"))))))</x:f>
        <x:v>Ripening</x:v>
      </x:c>
      <x:c r="C87" s="28" t="n">
        <x:f>IF(A87&lt;=15,'Anchor Points'!$B$2+(A87-'Anchor Points'!$A$2)/('Anchor Points'!$A$3-'Anchor Points'!$A$2)*('Anchor Points'!$B$3-'Anchor Points'!$B$2),IF(A87&lt;=25,'Anchor Points'!$B$3+(A87-'Anchor Points'!$A$3)/('Anchor Points'!$A$4-'Anchor Points'!$A$3)*('Anchor Points'!$B$4-'Anchor Points'!$B$3),IF(A87&lt;=40,'Anchor Points'!$B$4+(A87-'Anchor Points'!$A$4)/('Anchor Points'!$A$5-'Anchor Points'!$A$4)*('Anchor Points'!$B$5-'Anchor Points'!$B$4),IF(A87&lt;=55,'Anchor Points'!$B$5+(A87-'Anchor Points'!$A$5)/('Anchor Points'!$A$6-'Anchor Points'!$A$5)*('Anchor Points'!$B$6-'Anchor Points'!$B$5),IF(A87&lt;=70,'Anchor Points'!$B$6+(A87-'Anchor Points'!$A$6)/('Anchor Points'!$A$7-'Anchor Points'!$A$6)*('Anchor Points'!$B$7-'Anchor Points'!$B$6),IF(A87&lt;=90,'Anchor Points'!$B$7+(A87-'Anchor Points'!$A$7)/('Anchor Points'!$A$8-'Anchor Points'!$A$7)*('Anchor Points'!$B$8-'Anchor Points'!$B$7),'Anchor Points'!$B$8+(A87-'Anchor Points'!$A$8)/('Anchor Points'!$A$9-'Anchor Points'!$A$8)*('Anchor Points'!$B$9-'Anchor Points'!$B$8)))))))</x:f>
        <x:v>79.5</x:v>
      </x:c>
      <x:c r="D87" s="28" t="n">
        <x:f>IF(A87&lt;=15,'Anchor Points'!$C$2+(A87-'Anchor Points'!$A$2)/('Anchor Points'!$A$3-'Anchor Points'!$A$2)*('Anchor Points'!$C$3-'Anchor Points'!$C$2),IF(A87&lt;=25,'Anchor Points'!$C$3+(A87-'Anchor Points'!$A$3)/('Anchor Points'!$A$4-'Anchor Points'!$A$3)*('Anchor Points'!$C$4-'Anchor Points'!$C$3),IF(A87&lt;=40,'Anchor Points'!$C$4+(A87-'Anchor Points'!$A$4)/('Anchor Points'!$A$5-'Anchor Points'!$A$4)*('Anchor Points'!$C$5-'Anchor Points'!$C$4),IF(A87&lt;=55,'Anchor Points'!$C$5+(A87-'Anchor Points'!$A$5)/('Anchor Points'!$A$6-'Anchor Points'!$A$5)*('Anchor Points'!$C$6-'Anchor Points'!$C$5),IF(A87&lt;=70,'Anchor Points'!$C$6+(A87-'Anchor Points'!$A$6)/('Anchor Points'!$A$7-'Anchor Points'!$A$6)*('Anchor Points'!$C$7-'Anchor Points'!$C$6),IF(A87&lt;=90,'Anchor Points'!$C$7+(A87-'Anchor Points'!$A$7)/('Anchor Points'!$A$8-'Anchor Points'!$A$7)*('Anchor Points'!$C$8-'Anchor Points'!$C$7),'Anchor Points'!$C$8+(A87-'Anchor Points'!$A$8)/('Anchor Points'!$A$9-'Anchor Points'!$A$8)*('Anchor Points'!$C$9-'Anchor Points'!$C$8)))))))</x:f>
        <x:v>80</x:v>
      </x:c>
      <x:c r="E87" s="28" t="n">
        <x:f>IF(A87&lt;=15,'Anchor Points'!$D$2+(A87-'Anchor Points'!$A$2)/('Anchor Points'!$A$3-'Anchor Points'!$A$2)*('Anchor Points'!$D$3-'Anchor Points'!$D$2),IF(A87&lt;=25,'Anchor Points'!$D$3+(A87-'Anchor Points'!$A$3)/('Anchor Points'!$A$4-'Anchor Points'!$A$3)*('Anchor Points'!$D$4-'Anchor Points'!$D$3),IF(A87&lt;=40,'Anchor Points'!$D$4+(A87-'Anchor Points'!$A$4)/('Anchor Points'!$A$5-'Anchor Points'!$A$4)*('Anchor Points'!$D$5-'Anchor Points'!$D$4),IF(A87&lt;=55,'Anchor Points'!$D$5+(A87-'Anchor Points'!$A$5)/('Anchor Points'!$A$6-'Anchor Points'!$A$5)*('Anchor Points'!$D$6-'Anchor Points'!$D$5),IF(A87&lt;=70,'Anchor Points'!$D$6+(A87-'Anchor Points'!$A$6)/('Anchor Points'!$A$7-'Anchor Points'!$A$6)*('Anchor Points'!$D$7-'Anchor Points'!$D$6),IF(A87&lt;=90,'Anchor Points'!$D$7+(A87-'Anchor Points'!$A$7)/('Anchor Points'!$A$8-'Anchor Points'!$A$7)*('Anchor Points'!$D$8-'Anchor Points'!$D$7),'Anchor Points'!$D$8+(A87-'Anchor Points'!$A$8)/('Anchor Points'!$A$9-'Anchor Points'!$A$8)*('Anchor Points'!$D$9-'Anchor Points'!$D$8)))))))</x:f>
        <x:v>9</x:v>
      </x:c>
      <x:c r="F87" s="30" t="n">
        <x:f>ROUND(E87,0)</x:f>
        <x:v>9</x:v>
      </x:c>
      <x:c r="G87" s="28" t="n">
        <x:f>IF(A87&lt;=15,'Anchor Points'!$E$2+(A87-'Anchor Points'!$A$2)/('Anchor Points'!$A$3-'Anchor Points'!$A$2)*('Anchor Points'!$E$3-'Anchor Points'!$E$2),IF(A87&lt;=25,'Anchor Points'!$E$3+(A87-'Anchor Points'!$A$3)/('Anchor Points'!$A$4-'Anchor Points'!$A$3)*('Anchor Points'!$E$4-'Anchor Points'!$E$3),IF(A87&lt;=40,'Anchor Points'!$E$4+(A87-'Anchor Points'!$A$4)/('Anchor Points'!$A$5-'Anchor Points'!$A$4)*('Anchor Points'!$E$5-'Anchor Points'!$E$4),IF(A87&lt;=55,'Anchor Points'!$E$5+(A87-'Anchor Points'!$A$5)/('Anchor Points'!$A$6-'Anchor Points'!$A$5)*('Anchor Points'!$E$6-'Anchor Points'!$E$5),IF(A87&lt;=70,'Anchor Points'!$E$6+(A87-'Anchor Points'!$A$6)/('Anchor Points'!$A$7-'Anchor Points'!$A$6)*('Anchor Points'!$E$7-'Anchor Points'!$E$6),IF(A87&lt;=90,'Anchor Points'!$E$7+(A87-'Anchor Points'!$A$7)/('Anchor Points'!$A$8-'Anchor Points'!$A$7)*('Anchor Points'!$E$8-'Anchor Points'!$E$7),'Anchor Points'!$E$8+(A87-'Anchor Points'!$A$8)/('Anchor Points'!$A$9-'Anchor Points'!$A$8)*('Anchor Points'!$E$9-'Anchor Points'!$E$8)))))))</x:f>
        <x:v>8.75</x:v>
      </x:c>
      <x:c r="H87" s="30" t="n">
        <x:f>ROUND(G87,0)</x:f>
        <x:v>9</x:v>
      </x:c>
      <x:c r="I87" s="28" t="n">
        <x:f>IF(A87&lt;=15,'Anchor Points'!$F$2+(A87-'Anchor Points'!$A$2)/('Anchor Points'!$A$3-'Anchor Points'!$A$2)*('Anchor Points'!$F$3-'Anchor Points'!$F$2),IF(A87&lt;=25,'Anchor Points'!$F$3+(A87-'Anchor Points'!$A$3)/('Anchor Points'!$A$4-'Anchor Points'!$A$3)*('Anchor Points'!$F$4-'Anchor Points'!$F$3),IF(A87&lt;=40,'Anchor Points'!$F$4+(A87-'Anchor Points'!$A$4)/('Anchor Points'!$A$5-'Anchor Points'!$A$4)*('Anchor Points'!$F$5-'Anchor Points'!$F$4),IF(A87&lt;=55,'Anchor Points'!$F$5+(A87-'Anchor Points'!$A$5)/('Anchor Points'!$A$6-'Anchor Points'!$A$5)*('Anchor Points'!$F$6-'Anchor Points'!$F$5),IF(A87&lt;=70,'Anchor Points'!$F$6+(A87-'Anchor Points'!$A$6)/('Anchor Points'!$A$7-'Anchor Points'!$A$6)*('Anchor Points'!$F$7-'Anchor Points'!$F$6),IF(A87&lt;=90,'Anchor Points'!$F$7+(A87-'Anchor Points'!$A$7)/('Anchor Points'!$A$8-'Anchor Points'!$A$7)*('Anchor Points'!$F$8-'Anchor Points'!$F$7),'Anchor Points'!$F$8+(A87-'Anchor Points'!$A$8)/('Anchor Points'!$A$9-'Anchor Points'!$A$8)*('Anchor Points'!$F$9-'Anchor Points'!$F$8)))))))</x:f>
        <x:v>43.75</x:v>
      </x:c>
      <x:c r="K87" s="36" t="n">
        <x:f>A63</x:f>
        <x:v>61</x:v>
      </x:c>
      <x:c r="L87" s="36" t="n">
        <x:f>E63</x:f>
        <x:v>9</x:v>
      </x:c>
      <x:c r="M87" s="36" t="n">
        <x:f>G63</x:f>
        <x:v>2.6</x:v>
      </x:c>
      <x:c r="N87" s="36" t="n">
        <x:f>I63</x:f>
        <x:v>14.8</x:v>
      </x:c>
    </x:row>
    <x:row r="88">
      <x:c r="A88" s="30" t="n">
        <x:v>86</x:v>
      </x:c>
      <x:c r="B88" s="11" t="str">
        <x:f>IF(A88&lt;=15,"Seedling",IF(A88&lt;=25,"Establishment",IF(A88&lt;=40,"Vegetative Growth",IF(A88&lt;=55,"Flowering &amp; Initial Fruit Set",IF(A88&lt;=80,"Fruit Enlargement",IF(A88&lt;=95,"Ripening","Harvesting"))))))</x:f>
        <x:v>Ripening</x:v>
      </x:c>
      <x:c r="C88" s="28" t="n">
        <x:f>IF(A88&lt;=15,'Anchor Points'!$B$2+(A88-'Anchor Points'!$A$2)/('Anchor Points'!$A$3-'Anchor Points'!$A$2)*('Anchor Points'!$B$3-'Anchor Points'!$B$2),IF(A88&lt;=25,'Anchor Points'!$B$3+(A88-'Anchor Points'!$A$3)/('Anchor Points'!$A$4-'Anchor Points'!$A$3)*('Anchor Points'!$B$4-'Anchor Points'!$B$3),IF(A88&lt;=40,'Anchor Points'!$B$4+(A88-'Anchor Points'!$A$4)/('Anchor Points'!$A$5-'Anchor Points'!$A$4)*('Anchor Points'!$B$5-'Anchor Points'!$B$4),IF(A88&lt;=55,'Anchor Points'!$B$5+(A88-'Anchor Points'!$A$5)/('Anchor Points'!$A$6-'Anchor Points'!$A$5)*('Anchor Points'!$B$6-'Anchor Points'!$B$5),IF(A88&lt;=70,'Anchor Points'!$B$6+(A88-'Anchor Points'!$A$6)/('Anchor Points'!$A$7-'Anchor Points'!$A$6)*('Anchor Points'!$B$7-'Anchor Points'!$B$6),IF(A88&lt;=90,'Anchor Points'!$B$7+(A88-'Anchor Points'!$A$7)/('Anchor Points'!$A$8-'Anchor Points'!$A$7)*('Anchor Points'!$B$8-'Anchor Points'!$B$7),'Anchor Points'!$B$8+(A88-'Anchor Points'!$A$8)/('Anchor Points'!$A$9-'Anchor Points'!$A$8)*('Anchor Points'!$B$9-'Anchor Points'!$B$8)))))))</x:f>
        <x:v>80</x:v>
      </x:c>
      <x:c r="D88" s="28" t="n">
        <x:f>IF(A88&lt;=15,'Anchor Points'!$C$2+(A88-'Anchor Points'!$A$2)/('Anchor Points'!$A$3-'Anchor Points'!$A$2)*('Anchor Points'!$C$3-'Anchor Points'!$C$2),IF(A88&lt;=25,'Anchor Points'!$C$3+(A88-'Anchor Points'!$A$3)/('Anchor Points'!$A$4-'Anchor Points'!$A$3)*('Anchor Points'!$C$4-'Anchor Points'!$C$3),IF(A88&lt;=40,'Anchor Points'!$C$4+(A88-'Anchor Points'!$A$4)/('Anchor Points'!$A$5-'Anchor Points'!$A$4)*('Anchor Points'!$C$5-'Anchor Points'!$C$4),IF(A88&lt;=55,'Anchor Points'!$C$5+(A88-'Anchor Points'!$A$5)/('Anchor Points'!$A$6-'Anchor Points'!$A$5)*('Anchor Points'!$C$6-'Anchor Points'!$C$5),IF(A88&lt;=70,'Anchor Points'!$C$6+(A88-'Anchor Points'!$A$6)/('Anchor Points'!$A$7-'Anchor Points'!$A$6)*('Anchor Points'!$C$7-'Anchor Points'!$C$6),IF(A88&lt;=90,'Anchor Points'!$C$7+(A88-'Anchor Points'!$A$7)/('Anchor Points'!$A$8-'Anchor Points'!$A$7)*('Anchor Points'!$C$8-'Anchor Points'!$C$7),'Anchor Points'!$C$8+(A88-'Anchor Points'!$A$8)/('Anchor Points'!$A$9-'Anchor Points'!$A$8)*('Anchor Points'!$C$9-'Anchor Points'!$C$8)))))))</x:f>
        <x:v>81</x:v>
      </x:c>
      <x:c r="E88" s="28" t="n">
        <x:f>IF(A88&lt;=15,'Anchor Points'!$D$2+(A88-'Anchor Points'!$A$2)/('Anchor Points'!$A$3-'Anchor Points'!$A$2)*('Anchor Points'!$D$3-'Anchor Points'!$D$2),IF(A88&lt;=25,'Anchor Points'!$D$3+(A88-'Anchor Points'!$A$3)/('Anchor Points'!$A$4-'Anchor Points'!$A$3)*('Anchor Points'!$D$4-'Anchor Points'!$D$3),IF(A88&lt;=40,'Anchor Points'!$D$4+(A88-'Anchor Points'!$A$4)/('Anchor Points'!$A$5-'Anchor Points'!$A$4)*('Anchor Points'!$D$5-'Anchor Points'!$D$4),IF(A88&lt;=55,'Anchor Points'!$D$5+(A88-'Anchor Points'!$A$5)/('Anchor Points'!$A$6-'Anchor Points'!$A$5)*('Anchor Points'!$D$6-'Anchor Points'!$D$5),IF(A88&lt;=70,'Anchor Points'!$D$6+(A88-'Anchor Points'!$A$6)/('Anchor Points'!$A$7-'Anchor Points'!$A$6)*('Anchor Points'!$D$7-'Anchor Points'!$D$6),IF(A88&lt;=90,'Anchor Points'!$D$7+(A88-'Anchor Points'!$A$7)/('Anchor Points'!$A$8-'Anchor Points'!$A$7)*('Anchor Points'!$D$8-'Anchor Points'!$D$7),'Anchor Points'!$D$8+(A88-'Anchor Points'!$A$8)/('Anchor Points'!$A$9-'Anchor Points'!$A$8)*('Anchor Points'!$D$9-'Anchor Points'!$D$8)))))))</x:f>
        <x:v>8.8</x:v>
      </x:c>
      <x:c r="F88" s="30" t="n">
        <x:f>ROUND(E88,0)</x:f>
        <x:v>9</x:v>
      </x:c>
      <x:c r="G88" s="28" t="n">
        <x:f>IF(A88&lt;=15,'Anchor Points'!$E$2+(A88-'Anchor Points'!$A$2)/('Anchor Points'!$A$3-'Anchor Points'!$A$2)*('Anchor Points'!$E$3-'Anchor Points'!$E$2),IF(A88&lt;=25,'Anchor Points'!$E$3+(A88-'Anchor Points'!$A$3)/('Anchor Points'!$A$4-'Anchor Points'!$A$3)*('Anchor Points'!$E$4-'Anchor Points'!$E$3),IF(A88&lt;=40,'Anchor Points'!$E$4+(A88-'Anchor Points'!$A$4)/('Anchor Points'!$A$5-'Anchor Points'!$A$4)*('Anchor Points'!$E$5-'Anchor Points'!$E$4),IF(A88&lt;=55,'Anchor Points'!$E$5+(A88-'Anchor Points'!$A$5)/('Anchor Points'!$A$6-'Anchor Points'!$A$5)*('Anchor Points'!$E$6-'Anchor Points'!$E$5),IF(A88&lt;=70,'Anchor Points'!$E$6+(A88-'Anchor Points'!$A$6)/('Anchor Points'!$A$7-'Anchor Points'!$A$6)*('Anchor Points'!$E$7-'Anchor Points'!$E$6),IF(A88&lt;=90,'Anchor Points'!$E$7+(A88-'Anchor Points'!$A$7)/('Anchor Points'!$A$8-'Anchor Points'!$A$7)*('Anchor Points'!$E$8-'Anchor Points'!$E$7),'Anchor Points'!$E$8+(A88-'Anchor Points'!$A$8)/('Anchor Points'!$A$9-'Anchor Points'!$A$8)*('Anchor Points'!$E$9-'Anchor Points'!$E$8)))))))</x:f>
        <x:v>9</x:v>
      </x:c>
      <x:c r="H88" s="30" t="n">
        <x:f>ROUND(G88,0)</x:f>
        <x:v>9</x:v>
      </x:c>
      <x:c r="I88" s="28" t="n">
        <x:f>IF(A88&lt;=15,'Anchor Points'!$F$2+(A88-'Anchor Points'!$A$2)/('Anchor Points'!$A$3-'Anchor Points'!$A$2)*('Anchor Points'!$F$3-'Anchor Points'!$F$2),IF(A88&lt;=25,'Anchor Points'!$F$3+(A88-'Anchor Points'!$A$3)/('Anchor Points'!$A$4-'Anchor Points'!$A$3)*('Anchor Points'!$F$4-'Anchor Points'!$F$3),IF(A88&lt;=40,'Anchor Points'!$F$4+(A88-'Anchor Points'!$A$4)/('Anchor Points'!$A$5-'Anchor Points'!$A$4)*('Anchor Points'!$F$5-'Anchor Points'!$F$4),IF(A88&lt;=55,'Anchor Points'!$F$5+(A88-'Anchor Points'!$A$5)/('Anchor Points'!$A$6-'Anchor Points'!$A$5)*('Anchor Points'!$F$6-'Anchor Points'!$F$5),IF(A88&lt;=70,'Anchor Points'!$F$6+(A88-'Anchor Points'!$A$6)/('Anchor Points'!$A$7-'Anchor Points'!$A$6)*('Anchor Points'!$F$7-'Anchor Points'!$F$6),IF(A88&lt;=90,'Anchor Points'!$F$7+(A88-'Anchor Points'!$A$7)/('Anchor Points'!$A$8-'Anchor Points'!$A$7)*('Anchor Points'!$F$8-'Anchor Points'!$F$7),'Anchor Points'!$F$8+(A88-'Anchor Points'!$A$8)/('Anchor Points'!$A$9-'Anchor Points'!$A$8)*('Anchor Points'!$F$9-'Anchor Points'!$F$8)))))))</x:f>
        <x:v>45</x:v>
      </x:c>
      <x:c r="K88" s="36" t="n">
        <x:f>A64</x:f>
        <x:v>62</x:v>
      </x:c>
      <x:c r="L88" s="36" t="n">
        <x:f>E64</x:f>
        <x:v>9.333333333333334</x:v>
      </x:c>
      <x:c r="M88" s="36" t="n">
        <x:f>G64</x:f>
        <x:v>2.8666666666666667</x:v>
      </x:c>
      <x:c r="N88" s="36" t="n">
        <x:f>I64</x:f>
        <x:v>15.933333333333334</x:v>
      </x:c>
    </x:row>
    <x:row r="89">
      <x:c r="A89" s="30" t="n">
        <x:v>87</x:v>
      </x:c>
      <x:c r="B89" s="11" t="str">
        <x:f>IF(A89&lt;=15,"Seedling",IF(A89&lt;=25,"Establishment",IF(A89&lt;=40,"Vegetative Growth",IF(A89&lt;=55,"Flowering &amp; Initial Fruit Set",IF(A89&lt;=80,"Fruit Enlargement",IF(A89&lt;=95,"Ripening","Harvesting"))))))</x:f>
        <x:v>Ripening</x:v>
      </x:c>
      <x:c r="C89" s="28" t="n">
        <x:f>IF(A89&lt;=15,'Anchor Points'!$B$2+(A89-'Anchor Points'!$A$2)/('Anchor Points'!$A$3-'Anchor Points'!$A$2)*('Anchor Points'!$B$3-'Anchor Points'!$B$2),IF(A89&lt;=25,'Anchor Points'!$B$3+(A89-'Anchor Points'!$A$3)/('Anchor Points'!$A$4-'Anchor Points'!$A$3)*('Anchor Points'!$B$4-'Anchor Points'!$B$3),IF(A89&lt;=40,'Anchor Points'!$B$4+(A89-'Anchor Points'!$A$4)/('Anchor Points'!$A$5-'Anchor Points'!$A$4)*('Anchor Points'!$B$5-'Anchor Points'!$B$4),IF(A89&lt;=55,'Anchor Points'!$B$5+(A89-'Anchor Points'!$A$5)/('Anchor Points'!$A$6-'Anchor Points'!$A$5)*('Anchor Points'!$B$6-'Anchor Points'!$B$5),IF(A89&lt;=70,'Anchor Points'!$B$6+(A89-'Anchor Points'!$A$6)/('Anchor Points'!$A$7-'Anchor Points'!$A$6)*('Anchor Points'!$B$7-'Anchor Points'!$B$6),IF(A89&lt;=90,'Anchor Points'!$B$7+(A89-'Anchor Points'!$A$7)/('Anchor Points'!$A$8-'Anchor Points'!$A$7)*('Anchor Points'!$B$8-'Anchor Points'!$B$7),'Anchor Points'!$B$8+(A89-'Anchor Points'!$A$8)/('Anchor Points'!$A$9-'Anchor Points'!$A$8)*('Anchor Points'!$B$9-'Anchor Points'!$B$8)))))))</x:f>
        <x:v>80.5</x:v>
      </x:c>
      <x:c r="D89" s="28" t="n">
        <x:f>IF(A89&lt;=15,'Anchor Points'!$C$2+(A89-'Anchor Points'!$A$2)/('Anchor Points'!$A$3-'Anchor Points'!$A$2)*('Anchor Points'!$C$3-'Anchor Points'!$C$2),IF(A89&lt;=25,'Anchor Points'!$C$3+(A89-'Anchor Points'!$A$3)/('Anchor Points'!$A$4-'Anchor Points'!$A$3)*('Anchor Points'!$C$4-'Anchor Points'!$C$3),IF(A89&lt;=40,'Anchor Points'!$C$4+(A89-'Anchor Points'!$A$4)/('Anchor Points'!$A$5-'Anchor Points'!$A$4)*('Anchor Points'!$C$5-'Anchor Points'!$C$4),IF(A89&lt;=55,'Anchor Points'!$C$5+(A89-'Anchor Points'!$A$5)/('Anchor Points'!$A$6-'Anchor Points'!$A$5)*('Anchor Points'!$C$6-'Anchor Points'!$C$5),IF(A89&lt;=70,'Anchor Points'!$C$6+(A89-'Anchor Points'!$A$6)/('Anchor Points'!$A$7-'Anchor Points'!$A$6)*('Anchor Points'!$C$7-'Anchor Points'!$C$6),IF(A89&lt;=90,'Anchor Points'!$C$7+(A89-'Anchor Points'!$A$7)/('Anchor Points'!$A$8-'Anchor Points'!$A$7)*('Anchor Points'!$C$8-'Anchor Points'!$C$7),'Anchor Points'!$C$8+(A89-'Anchor Points'!$A$8)/('Anchor Points'!$A$9-'Anchor Points'!$A$8)*('Anchor Points'!$C$9-'Anchor Points'!$C$8)))))))</x:f>
        <x:v>82</x:v>
      </x:c>
      <x:c r="E89" s="28" t="n">
        <x:f>IF(A89&lt;=15,'Anchor Points'!$D$2+(A89-'Anchor Points'!$A$2)/('Anchor Points'!$A$3-'Anchor Points'!$A$2)*('Anchor Points'!$D$3-'Anchor Points'!$D$2),IF(A89&lt;=25,'Anchor Points'!$D$3+(A89-'Anchor Points'!$A$3)/('Anchor Points'!$A$4-'Anchor Points'!$A$3)*('Anchor Points'!$D$4-'Anchor Points'!$D$3),IF(A89&lt;=40,'Anchor Points'!$D$4+(A89-'Anchor Points'!$A$4)/('Anchor Points'!$A$5-'Anchor Points'!$A$4)*('Anchor Points'!$D$5-'Anchor Points'!$D$4),IF(A89&lt;=55,'Anchor Points'!$D$5+(A89-'Anchor Points'!$A$5)/('Anchor Points'!$A$6-'Anchor Points'!$A$5)*('Anchor Points'!$D$6-'Anchor Points'!$D$5),IF(A89&lt;=70,'Anchor Points'!$D$6+(A89-'Anchor Points'!$A$6)/('Anchor Points'!$A$7-'Anchor Points'!$A$6)*('Anchor Points'!$D$7-'Anchor Points'!$D$6),IF(A89&lt;=90,'Anchor Points'!$D$7+(A89-'Anchor Points'!$A$7)/('Anchor Points'!$A$8-'Anchor Points'!$A$7)*('Anchor Points'!$D$8-'Anchor Points'!$D$7),'Anchor Points'!$D$8+(A89-'Anchor Points'!$A$8)/('Anchor Points'!$A$9-'Anchor Points'!$A$8)*('Anchor Points'!$D$9-'Anchor Points'!$D$8)))))))</x:f>
        <x:v>8.6</x:v>
      </x:c>
      <x:c r="F89" s="30" t="n">
        <x:f>ROUND(E89,0)</x:f>
        <x:v>9</x:v>
      </x:c>
      <x:c r="G89" s="28" t="n">
        <x:f>IF(A89&lt;=15,'Anchor Points'!$E$2+(A89-'Anchor Points'!$A$2)/('Anchor Points'!$A$3-'Anchor Points'!$A$2)*('Anchor Points'!$E$3-'Anchor Points'!$E$2),IF(A89&lt;=25,'Anchor Points'!$E$3+(A89-'Anchor Points'!$A$3)/('Anchor Points'!$A$4-'Anchor Points'!$A$3)*('Anchor Points'!$E$4-'Anchor Points'!$E$3),IF(A89&lt;=40,'Anchor Points'!$E$4+(A89-'Anchor Points'!$A$4)/('Anchor Points'!$A$5-'Anchor Points'!$A$4)*('Anchor Points'!$E$5-'Anchor Points'!$E$4),IF(A89&lt;=55,'Anchor Points'!$E$5+(A89-'Anchor Points'!$A$5)/('Anchor Points'!$A$6-'Anchor Points'!$A$5)*('Anchor Points'!$E$6-'Anchor Points'!$E$5),IF(A89&lt;=70,'Anchor Points'!$E$6+(A89-'Anchor Points'!$A$6)/('Anchor Points'!$A$7-'Anchor Points'!$A$6)*('Anchor Points'!$E$7-'Anchor Points'!$E$6),IF(A89&lt;=90,'Anchor Points'!$E$7+(A89-'Anchor Points'!$A$7)/('Anchor Points'!$A$8-'Anchor Points'!$A$7)*('Anchor Points'!$E$8-'Anchor Points'!$E$7),'Anchor Points'!$E$8+(A89-'Anchor Points'!$A$8)/('Anchor Points'!$A$9-'Anchor Points'!$A$8)*('Anchor Points'!$E$9-'Anchor Points'!$E$8)))))))</x:f>
        <x:v>9.25</x:v>
      </x:c>
      <x:c r="H89" s="30" t="n">
        <x:f>ROUND(G89,0)</x:f>
        <x:v>9</x:v>
      </x:c>
      <x:c r="I89" s="28" t="n">
        <x:f>IF(A89&lt;=15,'Anchor Points'!$F$2+(A89-'Anchor Points'!$A$2)/('Anchor Points'!$A$3-'Anchor Points'!$A$2)*('Anchor Points'!$F$3-'Anchor Points'!$F$2),IF(A89&lt;=25,'Anchor Points'!$F$3+(A89-'Anchor Points'!$A$3)/('Anchor Points'!$A$4-'Anchor Points'!$A$3)*('Anchor Points'!$F$4-'Anchor Points'!$F$3),IF(A89&lt;=40,'Anchor Points'!$F$4+(A89-'Anchor Points'!$A$4)/('Anchor Points'!$A$5-'Anchor Points'!$A$4)*('Anchor Points'!$F$5-'Anchor Points'!$F$4),IF(A89&lt;=55,'Anchor Points'!$F$5+(A89-'Anchor Points'!$A$5)/('Anchor Points'!$A$6-'Anchor Points'!$A$5)*('Anchor Points'!$F$6-'Anchor Points'!$F$5),IF(A89&lt;=70,'Anchor Points'!$F$6+(A89-'Anchor Points'!$A$6)/('Anchor Points'!$A$7-'Anchor Points'!$A$6)*('Anchor Points'!$F$7-'Anchor Points'!$F$6),IF(A89&lt;=90,'Anchor Points'!$F$7+(A89-'Anchor Points'!$A$7)/('Anchor Points'!$A$8-'Anchor Points'!$A$7)*('Anchor Points'!$F$8-'Anchor Points'!$F$7),'Anchor Points'!$F$8+(A89-'Anchor Points'!$A$8)/('Anchor Points'!$A$9-'Anchor Points'!$A$8)*('Anchor Points'!$F$9-'Anchor Points'!$F$8)))))))</x:f>
        <x:v>46.25</x:v>
      </x:c>
      <x:c r="K89" s="36" t="n">
        <x:f>A65</x:f>
        <x:v>63</x:v>
      </x:c>
      <x:c r="L89" s="36" t="n">
        <x:f>E65</x:f>
        <x:v>9.666666666666666</x:v>
      </x:c>
      <x:c r="M89" s="36" t="n">
        <x:f>G65</x:f>
        <x:v>3.1333333333333333</x:v>
      </x:c>
      <x:c r="N89" s="36" t="n">
        <x:f>I65</x:f>
        <x:v>17.066666666666666</x:v>
      </x:c>
    </x:row>
    <x:row r="90">
      <x:c r="A90" s="30" t="n">
        <x:v>88</x:v>
      </x:c>
      <x:c r="B90" s="11" t="str">
        <x:f>IF(A90&lt;=15,"Seedling",IF(A90&lt;=25,"Establishment",IF(A90&lt;=40,"Vegetative Growth",IF(A90&lt;=55,"Flowering &amp; Initial Fruit Set",IF(A90&lt;=80,"Fruit Enlargement",IF(A90&lt;=95,"Ripening","Harvesting"))))))</x:f>
        <x:v>Ripening</x:v>
      </x:c>
      <x:c r="C90" s="28" t="n">
        <x:f>IF(A90&lt;=15,'Anchor Points'!$B$2+(A90-'Anchor Points'!$A$2)/('Anchor Points'!$A$3-'Anchor Points'!$A$2)*('Anchor Points'!$B$3-'Anchor Points'!$B$2),IF(A90&lt;=25,'Anchor Points'!$B$3+(A90-'Anchor Points'!$A$3)/('Anchor Points'!$A$4-'Anchor Points'!$A$3)*('Anchor Points'!$B$4-'Anchor Points'!$B$3),IF(A90&lt;=40,'Anchor Points'!$B$4+(A90-'Anchor Points'!$A$4)/('Anchor Points'!$A$5-'Anchor Points'!$A$4)*('Anchor Points'!$B$5-'Anchor Points'!$B$4),IF(A90&lt;=55,'Anchor Points'!$B$5+(A90-'Anchor Points'!$A$5)/('Anchor Points'!$A$6-'Anchor Points'!$A$5)*('Anchor Points'!$B$6-'Anchor Points'!$B$5),IF(A90&lt;=70,'Anchor Points'!$B$6+(A90-'Anchor Points'!$A$6)/('Anchor Points'!$A$7-'Anchor Points'!$A$6)*('Anchor Points'!$B$7-'Anchor Points'!$B$6),IF(A90&lt;=90,'Anchor Points'!$B$7+(A90-'Anchor Points'!$A$7)/('Anchor Points'!$A$8-'Anchor Points'!$A$7)*('Anchor Points'!$B$8-'Anchor Points'!$B$7),'Anchor Points'!$B$8+(A90-'Anchor Points'!$A$8)/('Anchor Points'!$A$9-'Anchor Points'!$A$8)*('Anchor Points'!$B$9-'Anchor Points'!$B$8)))))))</x:f>
        <x:v>81</x:v>
      </x:c>
      <x:c r="D90" s="28" t="n">
        <x:f>IF(A90&lt;=15,'Anchor Points'!$C$2+(A90-'Anchor Points'!$A$2)/('Anchor Points'!$A$3-'Anchor Points'!$A$2)*('Anchor Points'!$C$3-'Anchor Points'!$C$2),IF(A90&lt;=25,'Anchor Points'!$C$3+(A90-'Anchor Points'!$A$3)/('Anchor Points'!$A$4-'Anchor Points'!$A$3)*('Anchor Points'!$C$4-'Anchor Points'!$C$3),IF(A90&lt;=40,'Anchor Points'!$C$4+(A90-'Anchor Points'!$A$4)/('Anchor Points'!$A$5-'Anchor Points'!$A$4)*('Anchor Points'!$C$5-'Anchor Points'!$C$4),IF(A90&lt;=55,'Anchor Points'!$C$5+(A90-'Anchor Points'!$A$5)/('Anchor Points'!$A$6-'Anchor Points'!$A$5)*('Anchor Points'!$C$6-'Anchor Points'!$C$5),IF(A90&lt;=70,'Anchor Points'!$C$6+(A90-'Anchor Points'!$A$6)/('Anchor Points'!$A$7-'Anchor Points'!$A$6)*('Anchor Points'!$C$7-'Anchor Points'!$C$6),IF(A90&lt;=90,'Anchor Points'!$C$7+(A90-'Anchor Points'!$A$7)/('Anchor Points'!$A$8-'Anchor Points'!$A$7)*('Anchor Points'!$C$8-'Anchor Points'!$C$7),'Anchor Points'!$C$8+(A90-'Anchor Points'!$A$8)/('Anchor Points'!$A$9-'Anchor Points'!$A$8)*('Anchor Points'!$C$9-'Anchor Points'!$C$8)))))))</x:f>
        <x:v>83</x:v>
      </x:c>
      <x:c r="E90" s="28" t="n">
        <x:f>IF(A90&lt;=15,'Anchor Points'!$D$2+(A90-'Anchor Points'!$A$2)/('Anchor Points'!$A$3-'Anchor Points'!$A$2)*('Anchor Points'!$D$3-'Anchor Points'!$D$2),IF(A90&lt;=25,'Anchor Points'!$D$3+(A90-'Anchor Points'!$A$3)/('Anchor Points'!$A$4-'Anchor Points'!$A$3)*('Anchor Points'!$D$4-'Anchor Points'!$D$3),IF(A90&lt;=40,'Anchor Points'!$D$4+(A90-'Anchor Points'!$A$4)/('Anchor Points'!$A$5-'Anchor Points'!$A$4)*('Anchor Points'!$D$5-'Anchor Points'!$D$4),IF(A90&lt;=55,'Anchor Points'!$D$5+(A90-'Anchor Points'!$A$5)/('Anchor Points'!$A$6-'Anchor Points'!$A$5)*('Anchor Points'!$D$6-'Anchor Points'!$D$5),IF(A90&lt;=70,'Anchor Points'!$D$6+(A90-'Anchor Points'!$A$6)/('Anchor Points'!$A$7-'Anchor Points'!$A$6)*('Anchor Points'!$D$7-'Anchor Points'!$D$6),IF(A90&lt;=90,'Anchor Points'!$D$7+(A90-'Anchor Points'!$A$7)/('Anchor Points'!$A$8-'Anchor Points'!$A$7)*('Anchor Points'!$D$8-'Anchor Points'!$D$7),'Anchor Points'!$D$8+(A90-'Anchor Points'!$A$8)/('Anchor Points'!$A$9-'Anchor Points'!$A$8)*('Anchor Points'!$D$9-'Anchor Points'!$D$8)))))))</x:f>
        <x:v>8.4</x:v>
      </x:c>
      <x:c r="F90" s="30" t="n">
        <x:f>ROUND(E90,0)</x:f>
        <x:v>8</x:v>
      </x:c>
      <x:c r="G90" s="28" t="n">
        <x:f>IF(A90&lt;=15,'Anchor Points'!$E$2+(A90-'Anchor Points'!$A$2)/('Anchor Points'!$A$3-'Anchor Points'!$A$2)*('Anchor Points'!$E$3-'Anchor Points'!$E$2),IF(A90&lt;=25,'Anchor Points'!$E$3+(A90-'Anchor Points'!$A$3)/('Anchor Points'!$A$4-'Anchor Points'!$A$3)*('Anchor Points'!$E$4-'Anchor Points'!$E$3),IF(A90&lt;=40,'Anchor Points'!$E$4+(A90-'Anchor Points'!$A$4)/('Anchor Points'!$A$5-'Anchor Points'!$A$4)*('Anchor Points'!$E$5-'Anchor Points'!$E$4),IF(A90&lt;=55,'Anchor Points'!$E$5+(A90-'Anchor Points'!$A$5)/('Anchor Points'!$A$6-'Anchor Points'!$A$5)*('Anchor Points'!$E$6-'Anchor Points'!$E$5),IF(A90&lt;=70,'Anchor Points'!$E$6+(A90-'Anchor Points'!$A$6)/('Anchor Points'!$A$7-'Anchor Points'!$A$6)*('Anchor Points'!$E$7-'Anchor Points'!$E$6),IF(A90&lt;=90,'Anchor Points'!$E$7+(A90-'Anchor Points'!$A$7)/('Anchor Points'!$A$8-'Anchor Points'!$A$7)*('Anchor Points'!$E$8-'Anchor Points'!$E$7),'Anchor Points'!$E$8+(A90-'Anchor Points'!$A$8)/('Anchor Points'!$A$9-'Anchor Points'!$A$8)*('Anchor Points'!$E$9-'Anchor Points'!$E$8)))))))</x:f>
        <x:v>9.5</x:v>
      </x:c>
      <x:c r="H90" s="30" t="n">
        <x:f>ROUND(G90,0)</x:f>
        <x:v>10</x:v>
      </x:c>
      <x:c r="I90" s="28" t="n">
        <x:f>IF(A90&lt;=15,'Anchor Points'!$F$2+(A90-'Anchor Points'!$A$2)/('Anchor Points'!$A$3-'Anchor Points'!$A$2)*('Anchor Points'!$F$3-'Anchor Points'!$F$2),IF(A90&lt;=25,'Anchor Points'!$F$3+(A90-'Anchor Points'!$A$3)/('Anchor Points'!$A$4-'Anchor Points'!$A$3)*('Anchor Points'!$F$4-'Anchor Points'!$F$3),IF(A90&lt;=40,'Anchor Points'!$F$4+(A90-'Anchor Points'!$A$4)/('Anchor Points'!$A$5-'Anchor Points'!$A$4)*('Anchor Points'!$F$5-'Anchor Points'!$F$4),IF(A90&lt;=55,'Anchor Points'!$F$5+(A90-'Anchor Points'!$A$5)/('Anchor Points'!$A$6-'Anchor Points'!$A$5)*('Anchor Points'!$F$6-'Anchor Points'!$F$5),IF(A90&lt;=70,'Anchor Points'!$F$6+(A90-'Anchor Points'!$A$6)/('Anchor Points'!$A$7-'Anchor Points'!$A$6)*('Anchor Points'!$F$7-'Anchor Points'!$F$6),IF(A90&lt;=90,'Anchor Points'!$F$7+(A90-'Anchor Points'!$A$7)/('Anchor Points'!$A$8-'Anchor Points'!$A$7)*('Anchor Points'!$F$8-'Anchor Points'!$F$7),'Anchor Points'!$F$8+(A90-'Anchor Points'!$A$8)/('Anchor Points'!$A$9-'Anchor Points'!$A$8)*('Anchor Points'!$F$9-'Anchor Points'!$F$8)))))))</x:f>
        <x:v>47.5</x:v>
      </x:c>
      <x:c r="K90" s="36" t="n">
        <x:f>A66</x:f>
        <x:v>64</x:v>
      </x:c>
      <x:c r="L90" s="36" t="n">
        <x:f>E66</x:f>
        <x:v>10</x:v>
      </x:c>
      <x:c r="M90" s="36" t="n">
        <x:f>G66</x:f>
        <x:v>3.4</x:v>
      </x:c>
      <x:c r="N90" s="36" t="n">
        <x:f>I66</x:f>
        <x:v>18.2</x:v>
      </x:c>
    </x:row>
    <x:row r="91">
      <x:c r="A91" s="30" t="n">
        <x:v>89</x:v>
      </x:c>
      <x:c r="B91" s="11" t="str">
        <x:f>IF(A91&lt;=15,"Seedling",IF(A91&lt;=25,"Establishment",IF(A91&lt;=40,"Vegetative Growth",IF(A91&lt;=55,"Flowering &amp; Initial Fruit Set",IF(A91&lt;=80,"Fruit Enlargement",IF(A91&lt;=95,"Ripening","Harvesting"))))))</x:f>
        <x:v>Ripening</x:v>
      </x:c>
      <x:c r="C91" s="28" t="n">
        <x:f>IF(A91&lt;=15,'Anchor Points'!$B$2+(A91-'Anchor Points'!$A$2)/('Anchor Points'!$A$3-'Anchor Points'!$A$2)*('Anchor Points'!$B$3-'Anchor Points'!$B$2),IF(A91&lt;=25,'Anchor Points'!$B$3+(A91-'Anchor Points'!$A$3)/('Anchor Points'!$A$4-'Anchor Points'!$A$3)*('Anchor Points'!$B$4-'Anchor Points'!$B$3),IF(A91&lt;=40,'Anchor Points'!$B$4+(A91-'Anchor Points'!$A$4)/('Anchor Points'!$A$5-'Anchor Points'!$A$4)*('Anchor Points'!$B$5-'Anchor Points'!$B$4),IF(A91&lt;=55,'Anchor Points'!$B$5+(A91-'Anchor Points'!$A$5)/('Anchor Points'!$A$6-'Anchor Points'!$A$5)*('Anchor Points'!$B$6-'Anchor Points'!$B$5),IF(A91&lt;=70,'Anchor Points'!$B$6+(A91-'Anchor Points'!$A$6)/('Anchor Points'!$A$7-'Anchor Points'!$A$6)*('Anchor Points'!$B$7-'Anchor Points'!$B$6),IF(A91&lt;=90,'Anchor Points'!$B$7+(A91-'Anchor Points'!$A$7)/('Anchor Points'!$A$8-'Anchor Points'!$A$7)*('Anchor Points'!$B$8-'Anchor Points'!$B$7),'Anchor Points'!$B$8+(A91-'Anchor Points'!$A$8)/('Anchor Points'!$A$9-'Anchor Points'!$A$8)*('Anchor Points'!$B$9-'Anchor Points'!$B$8)))))))</x:f>
        <x:v>81.5</x:v>
      </x:c>
      <x:c r="D91" s="28" t="n">
        <x:f>IF(A91&lt;=15,'Anchor Points'!$C$2+(A91-'Anchor Points'!$A$2)/('Anchor Points'!$A$3-'Anchor Points'!$A$2)*('Anchor Points'!$C$3-'Anchor Points'!$C$2),IF(A91&lt;=25,'Anchor Points'!$C$3+(A91-'Anchor Points'!$A$3)/('Anchor Points'!$A$4-'Anchor Points'!$A$3)*('Anchor Points'!$C$4-'Anchor Points'!$C$3),IF(A91&lt;=40,'Anchor Points'!$C$4+(A91-'Anchor Points'!$A$4)/('Anchor Points'!$A$5-'Anchor Points'!$A$4)*('Anchor Points'!$C$5-'Anchor Points'!$C$4),IF(A91&lt;=55,'Anchor Points'!$C$5+(A91-'Anchor Points'!$A$5)/('Anchor Points'!$A$6-'Anchor Points'!$A$5)*('Anchor Points'!$C$6-'Anchor Points'!$C$5),IF(A91&lt;=70,'Anchor Points'!$C$6+(A91-'Anchor Points'!$A$6)/('Anchor Points'!$A$7-'Anchor Points'!$A$6)*('Anchor Points'!$C$7-'Anchor Points'!$C$6),IF(A91&lt;=90,'Anchor Points'!$C$7+(A91-'Anchor Points'!$A$7)/('Anchor Points'!$A$8-'Anchor Points'!$A$7)*('Anchor Points'!$C$8-'Anchor Points'!$C$7),'Anchor Points'!$C$8+(A91-'Anchor Points'!$A$8)/('Anchor Points'!$A$9-'Anchor Points'!$A$8)*('Anchor Points'!$C$9-'Anchor Points'!$C$8)))))))</x:f>
        <x:v>84</x:v>
      </x:c>
      <x:c r="E91" s="28" t="n">
        <x:f>IF(A91&lt;=15,'Anchor Points'!$D$2+(A91-'Anchor Points'!$A$2)/('Anchor Points'!$A$3-'Anchor Points'!$A$2)*('Anchor Points'!$D$3-'Anchor Points'!$D$2),IF(A91&lt;=25,'Anchor Points'!$D$3+(A91-'Anchor Points'!$A$3)/('Anchor Points'!$A$4-'Anchor Points'!$A$3)*('Anchor Points'!$D$4-'Anchor Points'!$D$3),IF(A91&lt;=40,'Anchor Points'!$D$4+(A91-'Anchor Points'!$A$4)/('Anchor Points'!$A$5-'Anchor Points'!$A$4)*('Anchor Points'!$D$5-'Anchor Points'!$D$4),IF(A91&lt;=55,'Anchor Points'!$D$5+(A91-'Anchor Points'!$A$5)/('Anchor Points'!$A$6-'Anchor Points'!$A$5)*('Anchor Points'!$D$6-'Anchor Points'!$D$5),IF(A91&lt;=70,'Anchor Points'!$D$6+(A91-'Anchor Points'!$A$6)/('Anchor Points'!$A$7-'Anchor Points'!$A$6)*('Anchor Points'!$D$7-'Anchor Points'!$D$6),IF(A91&lt;=90,'Anchor Points'!$D$7+(A91-'Anchor Points'!$A$7)/('Anchor Points'!$A$8-'Anchor Points'!$A$7)*('Anchor Points'!$D$8-'Anchor Points'!$D$7),'Anchor Points'!$D$8+(A91-'Anchor Points'!$A$8)/('Anchor Points'!$A$9-'Anchor Points'!$A$8)*('Anchor Points'!$D$9-'Anchor Points'!$D$8)))))))</x:f>
        <x:v>8.2</x:v>
      </x:c>
      <x:c r="F91" s="30" t="n">
        <x:f>ROUND(E91,0)</x:f>
        <x:v>8</x:v>
      </x:c>
      <x:c r="G91" s="28" t="n">
        <x:f>IF(A91&lt;=15,'Anchor Points'!$E$2+(A91-'Anchor Points'!$A$2)/('Anchor Points'!$A$3-'Anchor Points'!$A$2)*('Anchor Points'!$E$3-'Anchor Points'!$E$2),IF(A91&lt;=25,'Anchor Points'!$E$3+(A91-'Anchor Points'!$A$3)/('Anchor Points'!$A$4-'Anchor Points'!$A$3)*('Anchor Points'!$E$4-'Anchor Points'!$E$3),IF(A91&lt;=40,'Anchor Points'!$E$4+(A91-'Anchor Points'!$A$4)/('Anchor Points'!$A$5-'Anchor Points'!$A$4)*('Anchor Points'!$E$5-'Anchor Points'!$E$4),IF(A91&lt;=55,'Anchor Points'!$E$5+(A91-'Anchor Points'!$A$5)/('Anchor Points'!$A$6-'Anchor Points'!$A$5)*('Anchor Points'!$E$6-'Anchor Points'!$E$5),IF(A91&lt;=70,'Anchor Points'!$E$6+(A91-'Anchor Points'!$A$6)/('Anchor Points'!$A$7-'Anchor Points'!$A$6)*('Anchor Points'!$E$7-'Anchor Points'!$E$6),IF(A91&lt;=90,'Anchor Points'!$E$7+(A91-'Anchor Points'!$A$7)/('Anchor Points'!$A$8-'Anchor Points'!$A$7)*('Anchor Points'!$E$8-'Anchor Points'!$E$7),'Anchor Points'!$E$8+(A91-'Anchor Points'!$A$8)/('Anchor Points'!$A$9-'Anchor Points'!$A$8)*('Anchor Points'!$E$9-'Anchor Points'!$E$8)))))))</x:f>
        <x:v>9.75</x:v>
      </x:c>
      <x:c r="H91" s="30" t="n">
        <x:f>ROUND(G91,0)</x:f>
        <x:v>10</x:v>
      </x:c>
      <x:c r="I91" s="28" t="n">
        <x:f>IF(A91&lt;=15,'Anchor Points'!$F$2+(A91-'Anchor Points'!$A$2)/('Anchor Points'!$A$3-'Anchor Points'!$A$2)*('Anchor Points'!$F$3-'Anchor Points'!$F$2),IF(A91&lt;=25,'Anchor Points'!$F$3+(A91-'Anchor Points'!$A$3)/('Anchor Points'!$A$4-'Anchor Points'!$A$3)*('Anchor Points'!$F$4-'Anchor Points'!$F$3),IF(A91&lt;=40,'Anchor Points'!$F$4+(A91-'Anchor Points'!$A$4)/('Anchor Points'!$A$5-'Anchor Points'!$A$4)*('Anchor Points'!$F$5-'Anchor Points'!$F$4),IF(A91&lt;=55,'Anchor Points'!$F$5+(A91-'Anchor Points'!$A$5)/('Anchor Points'!$A$6-'Anchor Points'!$A$5)*('Anchor Points'!$F$6-'Anchor Points'!$F$5),IF(A91&lt;=70,'Anchor Points'!$F$6+(A91-'Anchor Points'!$A$6)/('Anchor Points'!$A$7-'Anchor Points'!$A$6)*('Anchor Points'!$F$7-'Anchor Points'!$F$6),IF(A91&lt;=90,'Anchor Points'!$F$7+(A91-'Anchor Points'!$A$7)/('Anchor Points'!$A$8-'Anchor Points'!$A$7)*('Anchor Points'!$F$8-'Anchor Points'!$F$7),'Anchor Points'!$F$8+(A91-'Anchor Points'!$A$8)/('Anchor Points'!$A$9-'Anchor Points'!$A$8)*('Anchor Points'!$F$9-'Anchor Points'!$F$8)))))))</x:f>
        <x:v>48.75</x:v>
      </x:c>
      <x:c r="K91" s="36" t="n">
        <x:f>A67</x:f>
        <x:v>65</x:v>
      </x:c>
      <x:c r="L91" s="36" t="n">
        <x:f>E67</x:f>
        <x:v>10.333333333333332</x:v>
      </x:c>
      <x:c r="M91" s="36" t="n">
        <x:f>G67</x:f>
        <x:v>3.6666666666666665</x:v>
      </x:c>
      <x:c r="N91" s="36" t="n">
        <x:f>I67</x:f>
        <x:v>19.333333333333332</x:v>
      </x:c>
    </x:row>
    <x:row r="92">
      <x:c r="A92" s="30" t="n">
        <x:v>90</x:v>
      </x:c>
      <x:c r="B92" s="11" t="str">
        <x:f>IF(A92&lt;=15,"Seedling",IF(A92&lt;=25,"Establishment",IF(A92&lt;=40,"Vegetative Growth",IF(A92&lt;=55,"Flowering &amp; Initial Fruit Set",IF(A92&lt;=80,"Fruit Enlargement",IF(A92&lt;=95,"Ripening","Harvesting"))))))</x:f>
        <x:v>Ripening</x:v>
      </x:c>
      <x:c r="C92" s="28" t="n">
        <x:f>IF(A92&lt;=15,'Anchor Points'!$B$2+(A92-'Anchor Points'!$A$2)/('Anchor Points'!$A$3-'Anchor Points'!$A$2)*('Anchor Points'!$B$3-'Anchor Points'!$B$2),IF(A92&lt;=25,'Anchor Points'!$B$3+(A92-'Anchor Points'!$A$3)/('Anchor Points'!$A$4-'Anchor Points'!$A$3)*('Anchor Points'!$B$4-'Anchor Points'!$B$3),IF(A92&lt;=40,'Anchor Points'!$B$4+(A92-'Anchor Points'!$A$4)/('Anchor Points'!$A$5-'Anchor Points'!$A$4)*('Anchor Points'!$B$5-'Anchor Points'!$B$4),IF(A92&lt;=55,'Anchor Points'!$B$5+(A92-'Anchor Points'!$A$5)/('Anchor Points'!$A$6-'Anchor Points'!$A$5)*('Anchor Points'!$B$6-'Anchor Points'!$B$5),IF(A92&lt;=70,'Anchor Points'!$B$6+(A92-'Anchor Points'!$A$6)/('Anchor Points'!$A$7-'Anchor Points'!$A$6)*('Anchor Points'!$B$7-'Anchor Points'!$B$6),IF(A92&lt;=90,'Anchor Points'!$B$7+(A92-'Anchor Points'!$A$7)/('Anchor Points'!$A$8-'Anchor Points'!$A$7)*('Anchor Points'!$B$8-'Anchor Points'!$B$7),'Anchor Points'!$B$8+(A92-'Anchor Points'!$A$8)/('Anchor Points'!$A$9-'Anchor Points'!$A$8)*('Anchor Points'!$B$9-'Anchor Points'!$B$8)))))))</x:f>
        <x:v>82</x:v>
      </x:c>
      <x:c r="D92" s="28" t="n">
        <x:f>IF(A92&lt;=15,'Anchor Points'!$C$2+(A92-'Anchor Points'!$A$2)/('Anchor Points'!$A$3-'Anchor Points'!$A$2)*('Anchor Points'!$C$3-'Anchor Points'!$C$2),IF(A92&lt;=25,'Anchor Points'!$C$3+(A92-'Anchor Points'!$A$3)/('Anchor Points'!$A$4-'Anchor Points'!$A$3)*('Anchor Points'!$C$4-'Anchor Points'!$C$3),IF(A92&lt;=40,'Anchor Points'!$C$4+(A92-'Anchor Points'!$A$4)/('Anchor Points'!$A$5-'Anchor Points'!$A$4)*('Anchor Points'!$C$5-'Anchor Points'!$C$4),IF(A92&lt;=55,'Anchor Points'!$C$5+(A92-'Anchor Points'!$A$5)/('Anchor Points'!$A$6-'Anchor Points'!$A$5)*('Anchor Points'!$C$6-'Anchor Points'!$C$5),IF(A92&lt;=70,'Anchor Points'!$C$6+(A92-'Anchor Points'!$A$6)/('Anchor Points'!$A$7-'Anchor Points'!$A$6)*('Anchor Points'!$C$7-'Anchor Points'!$C$6),IF(A92&lt;=90,'Anchor Points'!$C$7+(A92-'Anchor Points'!$A$7)/('Anchor Points'!$A$8-'Anchor Points'!$A$7)*('Anchor Points'!$C$8-'Anchor Points'!$C$7),'Anchor Points'!$C$8+(A92-'Anchor Points'!$A$8)/('Anchor Points'!$A$9-'Anchor Points'!$A$8)*('Anchor Points'!$C$9-'Anchor Points'!$C$8)))))))</x:f>
        <x:v>85</x:v>
      </x:c>
      <x:c r="E92" s="28" t="n">
        <x:f>IF(A92&lt;=15,'Anchor Points'!$D$2+(A92-'Anchor Points'!$A$2)/('Anchor Points'!$A$3-'Anchor Points'!$A$2)*('Anchor Points'!$D$3-'Anchor Points'!$D$2),IF(A92&lt;=25,'Anchor Points'!$D$3+(A92-'Anchor Points'!$A$3)/('Anchor Points'!$A$4-'Anchor Points'!$A$3)*('Anchor Points'!$D$4-'Anchor Points'!$D$3),IF(A92&lt;=40,'Anchor Points'!$D$4+(A92-'Anchor Points'!$A$4)/('Anchor Points'!$A$5-'Anchor Points'!$A$4)*('Anchor Points'!$D$5-'Anchor Points'!$D$4),IF(A92&lt;=55,'Anchor Points'!$D$5+(A92-'Anchor Points'!$A$5)/('Anchor Points'!$A$6-'Anchor Points'!$A$5)*('Anchor Points'!$D$6-'Anchor Points'!$D$5),IF(A92&lt;=70,'Anchor Points'!$D$6+(A92-'Anchor Points'!$A$6)/('Anchor Points'!$A$7-'Anchor Points'!$A$6)*('Anchor Points'!$D$7-'Anchor Points'!$D$6),IF(A92&lt;=90,'Anchor Points'!$D$7+(A92-'Anchor Points'!$A$7)/('Anchor Points'!$A$8-'Anchor Points'!$A$7)*('Anchor Points'!$D$8-'Anchor Points'!$D$7),'Anchor Points'!$D$8+(A92-'Anchor Points'!$A$8)/('Anchor Points'!$A$9-'Anchor Points'!$A$8)*('Anchor Points'!$D$9-'Anchor Points'!$D$8)))))))</x:f>
        <x:v>8</x:v>
      </x:c>
      <x:c r="F92" s="30" t="n">
        <x:f>ROUND(E92,0)</x:f>
        <x:v>8</x:v>
      </x:c>
      <x:c r="G92" s="28" t="n">
        <x:f>IF(A92&lt;=15,'Anchor Points'!$E$2+(A92-'Anchor Points'!$A$2)/('Anchor Points'!$A$3-'Anchor Points'!$A$2)*('Anchor Points'!$E$3-'Anchor Points'!$E$2),IF(A92&lt;=25,'Anchor Points'!$E$3+(A92-'Anchor Points'!$A$3)/('Anchor Points'!$A$4-'Anchor Points'!$A$3)*('Anchor Points'!$E$4-'Anchor Points'!$E$3),IF(A92&lt;=40,'Anchor Points'!$E$4+(A92-'Anchor Points'!$A$4)/('Anchor Points'!$A$5-'Anchor Points'!$A$4)*('Anchor Points'!$E$5-'Anchor Points'!$E$4),IF(A92&lt;=55,'Anchor Points'!$E$5+(A92-'Anchor Points'!$A$5)/('Anchor Points'!$A$6-'Anchor Points'!$A$5)*('Anchor Points'!$E$6-'Anchor Points'!$E$5),IF(A92&lt;=70,'Anchor Points'!$E$6+(A92-'Anchor Points'!$A$6)/('Anchor Points'!$A$7-'Anchor Points'!$A$6)*('Anchor Points'!$E$7-'Anchor Points'!$E$6),IF(A92&lt;=90,'Anchor Points'!$E$7+(A92-'Anchor Points'!$A$7)/('Anchor Points'!$A$8-'Anchor Points'!$A$7)*('Anchor Points'!$E$8-'Anchor Points'!$E$7),'Anchor Points'!$E$8+(A92-'Anchor Points'!$A$8)/('Anchor Points'!$A$9-'Anchor Points'!$A$8)*('Anchor Points'!$E$9-'Anchor Points'!$E$8)))))))</x:f>
        <x:v>10</x:v>
      </x:c>
      <x:c r="H92" s="30" t="n">
        <x:f>ROUND(G92,0)</x:f>
        <x:v>10</x:v>
      </x:c>
      <x:c r="I92" s="28" t="n">
        <x:f>IF(A92&lt;=15,'Anchor Points'!$F$2+(A92-'Anchor Points'!$A$2)/('Anchor Points'!$A$3-'Anchor Points'!$A$2)*('Anchor Points'!$F$3-'Anchor Points'!$F$2),IF(A92&lt;=25,'Anchor Points'!$F$3+(A92-'Anchor Points'!$A$3)/('Anchor Points'!$A$4-'Anchor Points'!$A$3)*('Anchor Points'!$F$4-'Anchor Points'!$F$3),IF(A92&lt;=40,'Anchor Points'!$F$4+(A92-'Anchor Points'!$A$4)/('Anchor Points'!$A$5-'Anchor Points'!$A$4)*('Anchor Points'!$F$5-'Anchor Points'!$F$4),IF(A92&lt;=55,'Anchor Points'!$F$5+(A92-'Anchor Points'!$A$5)/('Anchor Points'!$A$6-'Anchor Points'!$A$5)*('Anchor Points'!$F$6-'Anchor Points'!$F$5),IF(A92&lt;=70,'Anchor Points'!$F$6+(A92-'Anchor Points'!$A$6)/('Anchor Points'!$A$7-'Anchor Points'!$A$6)*('Anchor Points'!$F$7-'Anchor Points'!$F$6),IF(A92&lt;=90,'Anchor Points'!$F$7+(A92-'Anchor Points'!$A$7)/('Anchor Points'!$A$8-'Anchor Points'!$A$7)*('Anchor Points'!$F$8-'Anchor Points'!$F$7),'Anchor Points'!$F$8+(A92-'Anchor Points'!$A$8)/('Anchor Points'!$A$9-'Anchor Points'!$A$8)*('Anchor Points'!$F$9-'Anchor Points'!$F$8)))))))</x:f>
        <x:v>50</x:v>
      </x:c>
      <x:c r="K92" s="36" t="n">
        <x:f>A68</x:f>
        <x:v>66</x:v>
      </x:c>
      <x:c r="L92" s="36" t="n">
        <x:f>E68</x:f>
        <x:v>10.666666666666666</x:v>
      </x:c>
      <x:c r="M92" s="36" t="n">
        <x:f>G68</x:f>
        <x:v>3.933333333333333</x:v>
      </x:c>
      <x:c r="N92" s="36" t="n">
        <x:f>I68</x:f>
        <x:v>20.466666666666665</x:v>
      </x:c>
    </x:row>
    <x:row r="93">
      <x:c r="A93" s="30" t="n">
        <x:v>91</x:v>
      </x:c>
      <x:c r="B93" s="11" t="str">
        <x:f>IF(A93&lt;=15,"Seedling",IF(A93&lt;=25,"Establishment",IF(A93&lt;=40,"Vegetative Growth",IF(A93&lt;=55,"Flowering &amp; Initial Fruit Set",IF(A93&lt;=80,"Fruit Enlargement",IF(A93&lt;=95,"Ripening","Harvesting"))))))</x:f>
        <x:v>Ripening</x:v>
      </x:c>
      <x:c r="C93" s="28" t="n">
        <x:f>IF(A93&lt;=15,'Anchor Points'!$B$2+(A93-'Anchor Points'!$A$2)/('Anchor Points'!$A$3-'Anchor Points'!$A$2)*('Anchor Points'!$B$3-'Anchor Points'!$B$2),IF(A93&lt;=25,'Anchor Points'!$B$3+(A93-'Anchor Points'!$A$3)/('Anchor Points'!$A$4-'Anchor Points'!$A$3)*('Anchor Points'!$B$4-'Anchor Points'!$B$3),IF(A93&lt;=40,'Anchor Points'!$B$4+(A93-'Anchor Points'!$A$4)/('Anchor Points'!$A$5-'Anchor Points'!$A$4)*('Anchor Points'!$B$5-'Anchor Points'!$B$4),IF(A93&lt;=55,'Anchor Points'!$B$5+(A93-'Anchor Points'!$A$5)/('Anchor Points'!$A$6-'Anchor Points'!$A$5)*('Anchor Points'!$B$6-'Anchor Points'!$B$5),IF(A93&lt;=70,'Anchor Points'!$B$6+(A93-'Anchor Points'!$A$6)/('Anchor Points'!$A$7-'Anchor Points'!$A$6)*('Anchor Points'!$B$7-'Anchor Points'!$B$6),IF(A93&lt;=90,'Anchor Points'!$B$7+(A93-'Anchor Points'!$A$7)/('Anchor Points'!$A$8-'Anchor Points'!$A$7)*('Anchor Points'!$B$8-'Anchor Points'!$B$7),'Anchor Points'!$B$8+(A93-'Anchor Points'!$A$8)/('Anchor Points'!$A$9-'Anchor Points'!$A$8)*('Anchor Points'!$B$9-'Anchor Points'!$B$8)))))))</x:f>
        <x:v>82.26666666666667</x:v>
      </x:c>
      <x:c r="D93" s="28" t="n">
        <x:f>IF(A93&lt;=15,'Anchor Points'!$C$2+(A93-'Anchor Points'!$A$2)/('Anchor Points'!$A$3-'Anchor Points'!$A$2)*('Anchor Points'!$C$3-'Anchor Points'!$C$2),IF(A93&lt;=25,'Anchor Points'!$C$3+(A93-'Anchor Points'!$A$3)/('Anchor Points'!$A$4-'Anchor Points'!$A$3)*('Anchor Points'!$C$4-'Anchor Points'!$C$3),IF(A93&lt;=40,'Anchor Points'!$C$4+(A93-'Anchor Points'!$A$4)/('Anchor Points'!$A$5-'Anchor Points'!$A$4)*('Anchor Points'!$C$5-'Anchor Points'!$C$4),IF(A93&lt;=55,'Anchor Points'!$C$5+(A93-'Anchor Points'!$A$5)/('Anchor Points'!$A$6-'Anchor Points'!$A$5)*('Anchor Points'!$C$6-'Anchor Points'!$C$5),IF(A93&lt;=70,'Anchor Points'!$C$6+(A93-'Anchor Points'!$A$6)/('Anchor Points'!$A$7-'Anchor Points'!$A$6)*('Anchor Points'!$C$7-'Anchor Points'!$C$6),IF(A93&lt;=90,'Anchor Points'!$C$7+(A93-'Anchor Points'!$A$7)/('Anchor Points'!$A$8-'Anchor Points'!$A$7)*('Anchor Points'!$C$8-'Anchor Points'!$C$7),'Anchor Points'!$C$8+(A93-'Anchor Points'!$A$8)/('Anchor Points'!$A$9-'Anchor Points'!$A$8)*('Anchor Points'!$C$9-'Anchor Points'!$C$8)))))))</x:f>
        <x:v>85.5</x:v>
      </x:c>
      <x:c r="E93" s="28" t="n">
        <x:f>IF(A93&lt;=15,'Anchor Points'!$D$2+(A93-'Anchor Points'!$A$2)/('Anchor Points'!$A$3-'Anchor Points'!$A$2)*('Anchor Points'!$D$3-'Anchor Points'!$D$2),IF(A93&lt;=25,'Anchor Points'!$D$3+(A93-'Anchor Points'!$A$3)/('Anchor Points'!$A$4-'Anchor Points'!$A$3)*('Anchor Points'!$D$4-'Anchor Points'!$D$3),IF(A93&lt;=40,'Anchor Points'!$D$4+(A93-'Anchor Points'!$A$4)/('Anchor Points'!$A$5-'Anchor Points'!$A$4)*('Anchor Points'!$D$5-'Anchor Points'!$D$4),IF(A93&lt;=55,'Anchor Points'!$D$5+(A93-'Anchor Points'!$A$5)/('Anchor Points'!$A$6-'Anchor Points'!$A$5)*('Anchor Points'!$D$6-'Anchor Points'!$D$5),IF(A93&lt;=70,'Anchor Points'!$D$6+(A93-'Anchor Points'!$A$6)/('Anchor Points'!$A$7-'Anchor Points'!$A$6)*('Anchor Points'!$D$7-'Anchor Points'!$D$6),IF(A93&lt;=90,'Anchor Points'!$D$7+(A93-'Anchor Points'!$A$7)/('Anchor Points'!$A$8-'Anchor Points'!$A$7)*('Anchor Points'!$D$8-'Anchor Points'!$D$7),'Anchor Points'!$D$8+(A93-'Anchor Points'!$A$8)/('Anchor Points'!$A$9-'Anchor Points'!$A$8)*('Anchor Points'!$D$9-'Anchor Points'!$D$8)))))))</x:f>
        <x:v>7.9</x:v>
      </x:c>
      <x:c r="F93" s="30" t="n">
        <x:f>ROUND(E93,0)</x:f>
        <x:v>8</x:v>
      </x:c>
      <x:c r="G93" s="28" t="n">
        <x:f>IF(A93&lt;=15,'Anchor Points'!$E$2+(A93-'Anchor Points'!$A$2)/('Anchor Points'!$A$3-'Anchor Points'!$A$2)*('Anchor Points'!$E$3-'Anchor Points'!$E$2),IF(A93&lt;=25,'Anchor Points'!$E$3+(A93-'Anchor Points'!$A$3)/('Anchor Points'!$A$4-'Anchor Points'!$A$3)*('Anchor Points'!$E$4-'Anchor Points'!$E$3),IF(A93&lt;=40,'Anchor Points'!$E$4+(A93-'Anchor Points'!$A$4)/('Anchor Points'!$A$5-'Anchor Points'!$A$4)*('Anchor Points'!$E$5-'Anchor Points'!$E$4),IF(A93&lt;=55,'Anchor Points'!$E$5+(A93-'Anchor Points'!$A$5)/('Anchor Points'!$A$6-'Anchor Points'!$A$5)*('Anchor Points'!$E$6-'Anchor Points'!$E$5),IF(A93&lt;=70,'Anchor Points'!$E$6+(A93-'Anchor Points'!$A$6)/('Anchor Points'!$A$7-'Anchor Points'!$A$6)*('Anchor Points'!$E$7-'Anchor Points'!$E$6),IF(A93&lt;=90,'Anchor Points'!$E$7+(A93-'Anchor Points'!$A$7)/('Anchor Points'!$A$8-'Anchor Points'!$A$7)*('Anchor Points'!$E$8-'Anchor Points'!$E$7),'Anchor Points'!$E$8+(A93-'Anchor Points'!$A$8)/('Anchor Points'!$A$9-'Anchor Points'!$A$8)*('Anchor Points'!$E$9-'Anchor Points'!$E$8)))))))</x:f>
        <x:v>10.066666666666666</x:v>
      </x:c>
      <x:c r="H93" s="30" t="n">
        <x:f>ROUND(G93,0)</x:f>
        <x:v>10</x:v>
      </x:c>
      <x:c r="I93" s="28" t="n">
        <x:f>IF(A93&lt;=15,'Anchor Points'!$F$2+(A93-'Anchor Points'!$A$2)/('Anchor Points'!$A$3-'Anchor Points'!$A$2)*('Anchor Points'!$F$3-'Anchor Points'!$F$2),IF(A93&lt;=25,'Anchor Points'!$F$3+(A93-'Anchor Points'!$A$3)/('Anchor Points'!$A$4-'Anchor Points'!$A$3)*('Anchor Points'!$F$4-'Anchor Points'!$F$3),IF(A93&lt;=40,'Anchor Points'!$F$4+(A93-'Anchor Points'!$A$4)/('Anchor Points'!$A$5-'Anchor Points'!$A$4)*('Anchor Points'!$F$5-'Anchor Points'!$F$4),IF(A93&lt;=55,'Anchor Points'!$F$5+(A93-'Anchor Points'!$A$5)/('Anchor Points'!$A$6-'Anchor Points'!$A$5)*('Anchor Points'!$F$6-'Anchor Points'!$F$5),IF(A93&lt;=70,'Anchor Points'!$F$6+(A93-'Anchor Points'!$A$6)/('Anchor Points'!$A$7-'Anchor Points'!$A$6)*('Anchor Points'!$F$7-'Anchor Points'!$F$6),IF(A93&lt;=90,'Anchor Points'!$F$7+(A93-'Anchor Points'!$A$7)/('Anchor Points'!$A$8-'Anchor Points'!$A$7)*('Anchor Points'!$F$8-'Anchor Points'!$F$7),'Anchor Points'!$F$8+(A93-'Anchor Points'!$A$8)/('Anchor Points'!$A$9-'Anchor Points'!$A$8)*('Anchor Points'!$F$9-'Anchor Points'!$F$8)))))))</x:f>
        <x:v>50.166666666666664</x:v>
      </x:c>
      <x:c r="K93" s="36" t="n">
        <x:f>A69</x:f>
        <x:v>67</x:v>
      </x:c>
      <x:c r="L93" s="36" t="n">
        <x:f>E69</x:f>
        <x:v>11</x:v>
      </x:c>
      <x:c r="M93" s="36" t="n">
        <x:f>G69</x:f>
        <x:v>4.2</x:v>
      </x:c>
      <x:c r="N93" s="36" t="n">
        <x:f>I69</x:f>
        <x:v>21.6</x:v>
      </x:c>
    </x:row>
    <x:row r="94">
      <x:c r="A94" s="30" t="n">
        <x:v>92</x:v>
      </x:c>
      <x:c r="B94" s="11" t="str">
        <x:f>IF(A94&lt;=15,"Seedling",IF(A94&lt;=25,"Establishment",IF(A94&lt;=40,"Vegetative Growth",IF(A94&lt;=55,"Flowering &amp; Initial Fruit Set",IF(A94&lt;=80,"Fruit Enlargement",IF(A94&lt;=95,"Ripening","Harvesting"))))))</x:f>
        <x:v>Ripening</x:v>
      </x:c>
      <x:c r="C94" s="28" t="n">
        <x:f>IF(A94&lt;=15,'Anchor Points'!$B$2+(A94-'Anchor Points'!$A$2)/('Anchor Points'!$A$3-'Anchor Points'!$A$2)*('Anchor Points'!$B$3-'Anchor Points'!$B$2),IF(A94&lt;=25,'Anchor Points'!$B$3+(A94-'Anchor Points'!$A$3)/('Anchor Points'!$A$4-'Anchor Points'!$A$3)*('Anchor Points'!$B$4-'Anchor Points'!$B$3),IF(A94&lt;=40,'Anchor Points'!$B$4+(A94-'Anchor Points'!$A$4)/('Anchor Points'!$A$5-'Anchor Points'!$A$4)*('Anchor Points'!$B$5-'Anchor Points'!$B$4),IF(A94&lt;=55,'Anchor Points'!$B$5+(A94-'Anchor Points'!$A$5)/('Anchor Points'!$A$6-'Anchor Points'!$A$5)*('Anchor Points'!$B$6-'Anchor Points'!$B$5),IF(A94&lt;=70,'Anchor Points'!$B$6+(A94-'Anchor Points'!$A$6)/('Anchor Points'!$A$7-'Anchor Points'!$A$6)*('Anchor Points'!$B$7-'Anchor Points'!$B$6),IF(A94&lt;=90,'Anchor Points'!$B$7+(A94-'Anchor Points'!$A$7)/('Anchor Points'!$A$8-'Anchor Points'!$A$7)*('Anchor Points'!$B$8-'Anchor Points'!$B$7),'Anchor Points'!$B$8+(A94-'Anchor Points'!$A$8)/('Anchor Points'!$A$9-'Anchor Points'!$A$8)*('Anchor Points'!$B$9-'Anchor Points'!$B$8)))))))</x:f>
        <x:v>82.53333333333333</x:v>
      </x:c>
      <x:c r="D94" s="28" t="n">
        <x:f>IF(A94&lt;=15,'Anchor Points'!$C$2+(A94-'Anchor Points'!$A$2)/('Anchor Points'!$A$3-'Anchor Points'!$A$2)*('Anchor Points'!$C$3-'Anchor Points'!$C$2),IF(A94&lt;=25,'Anchor Points'!$C$3+(A94-'Anchor Points'!$A$3)/('Anchor Points'!$A$4-'Anchor Points'!$A$3)*('Anchor Points'!$C$4-'Anchor Points'!$C$3),IF(A94&lt;=40,'Anchor Points'!$C$4+(A94-'Anchor Points'!$A$4)/('Anchor Points'!$A$5-'Anchor Points'!$A$4)*('Anchor Points'!$C$5-'Anchor Points'!$C$4),IF(A94&lt;=55,'Anchor Points'!$C$5+(A94-'Anchor Points'!$A$5)/('Anchor Points'!$A$6-'Anchor Points'!$A$5)*('Anchor Points'!$C$6-'Anchor Points'!$C$5),IF(A94&lt;=70,'Anchor Points'!$C$6+(A94-'Anchor Points'!$A$6)/('Anchor Points'!$A$7-'Anchor Points'!$A$6)*('Anchor Points'!$C$7-'Anchor Points'!$C$6),IF(A94&lt;=90,'Anchor Points'!$C$7+(A94-'Anchor Points'!$A$7)/('Anchor Points'!$A$8-'Anchor Points'!$A$7)*('Anchor Points'!$C$8-'Anchor Points'!$C$7),'Anchor Points'!$C$8+(A94-'Anchor Points'!$A$8)/('Anchor Points'!$A$9-'Anchor Points'!$A$8)*('Anchor Points'!$C$9-'Anchor Points'!$C$8)))))))</x:f>
        <x:v>86</x:v>
      </x:c>
      <x:c r="E94" s="28" t="n">
        <x:f>IF(A94&lt;=15,'Anchor Points'!$D$2+(A94-'Anchor Points'!$A$2)/('Anchor Points'!$A$3-'Anchor Points'!$A$2)*('Anchor Points'!$D$3-'Anchor Points'!$D$2),IF(A94&lt;=25,'Anchor Points'!$D$3+(A94-'Anchor Points'!$A$3)/('Anchor Points'!$A$4-'Anchor Points'!$A$3)*('Anchor Points'!$D$4-'Anchor Points'!$D$3),IF(A94&lt;=40,'Anchor Points'!$D$4+(A94-'Anchor Points'!$A$4)/('Anchor Points'!$A$5-'Anchor Points'!$A$4)*('Anchor Points'!$D$5-'Anchor Points'!$D$4),IF(A94&lt;=55,'Anchor Points'!$D$5+(A94-'Anchor Points'!$A$5)/('Anchor Points'!$A$6-'Anchor Points'!$A$5)*('Anchor Points'!$D$6-'Anchor Points'!$D$5),IF(A94&lt;=70,'Anchor Points'!$D$6+(A94-'Anchor Points'!$A$6)/('Anchor Points'!$A$7-'Anchor Points'!$A$6)*('Anchor Points'!$D$7-'Anchor Points'!$D$6),IF(A94&lt;=90,'Anchor Points'!$D$7+(A94-'Anchor Points'!$A$7)/('Anchor Points'!$A$8-'Anchor Points'!$A$7)*('Anchor Points'!$D$8-'Anchor Points'!$D$7),'Anchor Points'!$D$8+(A94-'Anchor Points'!$A$8)/('Anchor Points'!$A$9-'Anchor Points'!$A$8)*('Anchor Points'!$D$9-'Anchor Points'!$D$8)))))))</x:f>
        <x:v>7.8</x:v>
      </x:c>
      <x:c r="F94" s="30" t="n">
        <x:f>ROUND(E94,0)</x:f>
        <x:v>8</x:v>
      </x:c>
      <x:c r="G94" s="28" t="n">
        <x:f>IF(A94&lt;=15,'Anchor Points'!$E$2+(A94-'Anchor Points'!$A$2)/('Anchor Points'!$A$3-'Anchor Points'!$A$2)*('Anchor Points'!$E$3-'Anchor Points'!$E$2),IF(A94&lt;=25,'Anchor Points'!$E$3+(A94-'Anchor Points'!$A$3)/('Anchor Points'!$A$4-'Anchor Points'!$A$3)*('Anchor Points'!$E$4-'Anchor Points'!$E$3),IF(A94&lt;=40,'Anchor Points'!$E$4+(A94-'Anchor Points'!$A$4)/('Anchor Points'!$A$5-'Anchor Points'!$A$4)*('Anchor Points'!$E$5-'Anchor Points'!$E$4),IF(A94&lt;=55,'Anchor Points'!$E$5+(A94-'Anchor Points'!$A$5)/('Anchor Points'!$A$6-'Anchor Points'!$A$5)*('Anchor Points'!$E$6-'Anchor Points'!$E$5),IF(A94&lt;=70,'Anchor Points'!$E$6+(A94-'Anchor Points'!$A$6)/('Anchor Points'!$A$7-'Anchor Points'!$A$6)*('Anchor Points'!$E$7-'Anchor Points'!$E$6),IF(A94&lt;=90,'Anchor Points'!$E$7+(A94-'Anchor Points'!$A$7)/('Anchor Points'!$A$8-'Anchor Points'!$A$7)*('Anchor Points'!$E$8-'Anchor Points'!$E$7),'Anchor Points'!$E$8+(A94-'Anchor Points'!$A$8)/('Anchor Points'!$A$9-'Anchor Points'!$A$8)*('Anchor Points'!$E$9-'Anchor Points'!$E$8)))))))</x:f>
        <x:v>10.133333333333333</x:v>
      </x:c>
      <x:c r="H94" s="30" t="n">
        <x:f>ROUND(G94,0)</x:f>
        <x:v>10</x:v>
      </x:c>
      <x:c r="I94" s="28" t="n">
        <x:f>IF(A94&lt;=15,'Anchor Points'!$F$2+(A94-'Anchor Points'!$A$2)/('Anchor Points'!$A$3-'Anchor Points'!$A$2)*('Anchor Points'!$F$3-'Anchor Points'!$F$2),IF(A94&lt;=25,'Anchor Points'!$F$3+(A94-'Anchor Points'!$A$3)/('Anchor Points'!$A$4-'Anchor Points'!$A$3)*('Anchor Points'!$F$4-'Anchor Points'!$F$3),IF(A94&lt;=40,'Anchor Points'!$F$4+(A94-'Anchor Points'!$A$4)/('Anchor Points'!$A$5-'Anchor Points'!$A$4)*('Anchor Points'!$F$5-'Anchor Points'!$F$4),IF(A94&lt;=55,'Anchor Points'!$F$5+(A94-'Anchor Points'!$A$5)/('Anchor Points'!$A$6-'Anchor Points'!$A$5)*('Anchor Points'!$F$6-'Anchor Points'!$F$5),IF(A94&lt;=70,'Anchor Points'!$F$6+(A94-'Anchor Points'!$A$6)/('Anchor Points'!$A$7-'Anchor Points'!$A$6)*('Anchor Points'!$F$7-'Anchor Points'!$F$6),IF(A94&lt;=90,'Anchor Points'!$F$7+(A94-'Anchor Points'!$A$7)/('Anchor Points'!$A$8-'Anchor Points'!$A$7)*('Anchor Points'!$F$8-'Anchor Points'!$F$7),'Anchor Points'!$F$8+(A94-'Anchor Points'!$A$8)/('Anchor Points'!$A$9-'Anchor Points'!$A$8)*('Anchor Points'!$F$9-'Anchor Points'!$F$8)))))))</x:f>
        <x:v>50.333333333333336</x:v>
      </x:c>
      <x:c r="K94" s="36" t="n">
        <x:f>A70</x:f>
        <x:v>68</x:v>
      </x:c>
      <x:c r="L94" s="36" t="n">
        <x:f>E70</x:f>
        <x:v>11.333333333333334</x:v>
      </x:c>
      <x:c r="M94" s="36" t="n">
        <x:f>G70</x:f>
        <x:v>4.466666666666667</x:v>
      </x:c>
      <x:c r="N94" s="36" t="n">
        <x:f>I70</x:f>
        <x:v>22.733333333333334</x:v>
      </x:c>
    </x:row>
    <x:row r="95">
      <x:c r="A95" s="30" t="n">
        <x:v>93</x:v>
      </x:c>
      <x:c r="B95" s="11" t="str">
        <x:f>IF(A95&lt;=15,"Seedling",IF(A95&lt;=25,"Establishment",IF(A95&lt;=40,"Vegetative Growth",IF(A95&lt;=55,"Flowering &amp; Initial Fruit Set",IF(A95&lt;=80,"Fruit Enlargement",IF(A95&lt;=95,"Ripening","Harvesting"))))))</x:f>
        <x:v>Ripening</x:v>
      </x:c>
      <x:c r="C95" s="28" t="n">
        <x:f>IF(A95&lt;=15,'Anchor Points'!$B$2+(A95-'Anchor Points'!$A$2)/('Anchor Points'!$A$3-'Anchor Points'!$A$2)*('Anchor Points'!$B$3-'Anchor Points'!$B$2),IF(A95&lt;=25,'Anchor Points'!$B$3+(A95-'Anchor Points'!$A$3)/('Anchor Points'!$A$4-'Anchor Points'!$A$3)*('Anchor Points'!$B$4-'Anchor Points'!$B$3),IF(A95&lt;=40,'Anchor Points'!$B$4+(A95-'Anchor Points'!$A$4)/('Anchor Points'!$A$5-'Anchor Points'!$A$4)*('Anchor Points'!$B$5-'Anchor Points'!$B$4),IF(A95&lt;=55,'Anchor Points'!$B$5+(A95-'Anchor Points'!$A$5)/('Anchor Points'!$A$6-'Anchor Points'!$A$5)*('Anchor Points'!$B$6-'Anchor Points'!$B$5),IF(A95&lt;=70,'Anchor Points'!$B$6+(A95-'Anchor Points'!$A$6)/('Anchor Points'!$A$7-'Anchor Points'!$A$6)*('Anchor Points'!$B$7-'Anchor Points'!$B$6),IF(A95&lt;=90,'Anchor Points'!$B$7+(A95-'Anchor Points'!$A$7)/('Anchor Points'!$A$8-'Anchor Points'!$A$7)*('Anchor Points'!$B$8-'Anchor Points'!$B$7),'Anchor Points'!$B$8+(A95-'Anchor Points'!$A$8)/('Anchor Points'!$A$9-'Anchor Points'!$A$8)*('Anchor Points'!$B$9-'Anchor Points'!$B$8)))))))</x:f>
        <x:v>82.8</x:v>
      </x:c>
      <x:c r="D95" s="28" t="n">
        <x:f>IF(A95&lt;=15,'Anchor Points'!$C$2+(A95-'Anchor Points'!$A$2)/('Anchor Points'!$A$3-'Anchor Points'!$A$2)*('Anchor Points'!$C$3-'Anchor Points'!$C$2),IF(A95&lt;=25,'Anchor Points'!$C$3+(A95-'Anchor Points'!$A$3)/('Anchor Points'!$A$4-'Anchor Points'!$A$3)*('Anchor Points'!$C$4-'Anchor Points'!$C$3),IF(A95&lt;=40,'Anchor Points'!$C$4+(A95-'Anchor Points'!$A$4)/('Anchor Points'!$A$5-'Anchor Points'!$A$4)*('Anchor Points'!$C$5-'Anchor Points'!$C$4),IF(A95&lt;=55,'Anchor Points'!$C$5+(A95-'Anchor Points'!$A$5)/('Anchor Points'!$A$6-'Anchor Points'!$A$5)*('Anchor Points'!$C$6-'Anchor Points'!$C$5),IF(A95&lt;=70,'Anchor Points'!$C$6+(A95-'Anchor Points'!$A$6)/('Anchor Points'!$A$7-'Anchor Points'!$A$6)*('Anchor Points'!$C$7-'Anchor Points'!$C$6),IF(A95&lt;=90,'Anchor Points'!$C$7+(A95-'Anchor Points'!$A$7)/('Anchor Points'!$A$8-'Anchor Points'!$A$7)*('Anchor Points'!$C$8-'Anchor Points'!$C$7),'Anchor Points'!$C$8+(A95-'Anchor Points'!$A$8)/('Anchor Points'!$A$9-'Anchor Points'!$A$8)*('Anchor Points'!$C$9-'Anchor Points'!$C$8)))))))</x:f>
        <x:v>86.5</x:v>
      </x:c>
      <x:c r="E95" s="28" t="n">
        <x:f>IF(A95&lt;=15,'Anchor Points'!$D$2+(A95-'Anchor Points'!$A$2)/('Anchor Points'!$A$3-'Anchor Points'!$A$2)*('Anchor Points'!$D$3-'Anchor Points'!$D$2),IF(A95&lt;=25,'Anchor Points'!$D$3+(A95-'Anchor Points'!$A$3)/('Anchor Points'!$A$4-'Anchor Points'!$A$3)*('Anchor Points'!$D$4-'Anchor Points'!$D$3),IF(A95&lt;=40,'Anchor Points'!$D$4+(A95-'Anchor Points'!$A$4)/('Anchor Points'!$A$5-'Anchor Points'!$A$4)*('Anchor Points'!$D$5-'Anchor Points'!$D$4),IF(A95&lt;=55,'Anchor Points'!$D$5+(A95-'Anchor Points'!$A$5)/('Anchor Points'!$A$6-'Anchor Points'!$A$5)*('Anchor Points'!$D$6-'Anchor Points'!$D$5),IF(A95&lt;=70,'Anchor Points'!$D$6+(A95-'Anchor Points'!$A$6)/('Anchor Points'!$A$7-'Anchor Points'!$A$6)*('Anchor Points'!$D$7-'Anchor Points'!$D$6),IF(A95&lt;=90,'Anchor Points'!$D$7+(A95-'Anchor Points'!$A$7)/('Anchor Points'!$A$8-'Anchor Points'!$A$7)*('Anchor Points'!$D$8-'Anchor Points'!$D$7),'Anchor Points'!$D$8+(A95-'Anchor Points'!$A$8)/('Anchor Points'!$A$9-'Anchor Points'!$A$8)*('Anchor Points'!$D$9-'Anchor Points'!$D$8)))))))</x:f>
        <x:v>7.7</x:v>
      </x:c>
      <x:c r="F95" s="30" t="n">
        <x:f>ROUND(E95,0)</x:f>
        <x:v>8</x:v>
      </x:c>
      <x:c r="G95" s="28" t="n">
        <x:f>IF(A95&lt;=15,'Anchor Points'!$E$2+(A95-'Anchor Points'!$A$2)/('Anchor Points'!$A$3-'Anchor Points'!$A$2)*('Anchor Points'!$E$3-'Anchor Points'!$E$2),IF(A95&lt;=25,'Anchor Points'!$E$3+(A95-'Anchor Points'!$A$3)/('Anchor Points'!$A$4-'Anchor Points'!$A$3)*('Anchor Points'!$E$4-'Anchor Points'!$E$3),IF(A95&lt;=40,'Anchor Points'!$E$4+(A95-'Anchor Points'!$A$4)/('Anchor Points'!$A$5-'Anchor Points'!$A$4)*('Anchor Points'!$E$5-'Anchor Points'!$E$4),IF(A95&lt;=55,'Anchor Points'!$E$5+(A95-'Anchor Points'!$A$5)/('Anchor Points'!$A$6-'Anchor Points'!$A$5)*('Anchor Points'!$E$6-'Anchor Points'!$E$5),IF(A95&lt;=70,'Anchor Points'!$E$6+(A95-'Anchor Points'!$A$6)/('Anchor Points'!$A$7-'Anchor Points'!$A$6)*('Anchor Points'!$E$7-'Anchor Points'!$E$6),IF(A95&lt;=90,'Anchor Points'!$E$7+(A95-'Anchor Points'!$A$7)/('Anchor Points'!$A$8-'Anchor Points'!$A$7)*('Anchor Points'!$E$8-'Anchor Points'!$E$7),'Anchor Points'!$E$8+(A95-'Anchor Points'!$A$8)/('Anchor Points'!$A$9-'Anchor Points'!$A$8)*('Anchor Points'!$E$9-'Anchor Points'!$E$8)))))))</x:f>
        <x:v>10.2</x:v>
      </x:c>
      <x:c r="H95" s="30" t="n">
        <x:f>ROUND(G95,0)</x:f>
        <x:v>10</x:v>
      </x:c>
      <x:c r="I95" s="28" t="n">
        <x:f>IF(A95&lt;=15,'Anchor Points'!$F$2+(A95-'Anchor Points'!$A$2)/('Anchor Points'!$A$3-'Anchor Points'!$A$2)*('Anchor Points'!$F$3-'Anchor Points'!$F$2),IF(A95&lt;=25,'Anchor Points'!$F$3+(A95-'Anchor Points'!$A$3)/('Anchor Points'!$A$4-'Anchor Points'!$A$3)*('Anchor Points'!$F$4-'Anchor Points'!$F$3),IF(A95&lt;=40,'Anchor Points'!$F$4+(A95-'Anchor Points'!$A$4)/('Anchor Points'!$A$5-'Anchor Points'!$A$4)*('Anchor Points'!$F$5-'Anchor Points'!$F$4),IF(A95&lt;=55,'Anchor Points'!$F$5+(A95-'Anchor Points'!$A$5)/('Anchor Points'!$A$6-'Anchor Points'!$A$5)*('Anchor Points'!$F$6-'Anchor Points'!$F$5),IF(A95&lt;=70,'Anchor Points'!$F$6+(A95-'Anchor Points'!$A$6)/('Anchor Points'!$A$7-'Anchor Points'!$A$6)*('Anchor Points'!$F$7-'Anchor Points'!$F$6),IF(A95&lt;=90,'Anchor Points'!$F$7+(A95-'Anchor Points'!$A$7)/('Anchor Points'!$A$8-'Anchor Points'!$A$7)*('Anchor Points'!$F$8-'Anchor Points'!$F$7),'Anchor Points'!$F$8+(A95-'Anchor Points'!$A$8)/('Anchor Points'!$A$9-'Anchor Points'!$A$8)*('Anchor Points'!$F$9-'Anchor Points'!$F$8)))))))</x:f>
        <x:v>50.5</x:v>
      </x:c>
      <x:c r="K95" s="36" t="n">
        <x:f>A71</x:f>
        <x:v>69</x:v>
      </x:c>
      <x:c r="L95" s="36" t="n">
        <x:f>E71</x:f>
        <x:v>11.666666666666668</x:v>
      </x:c>
      <x:c r="M95" s="36" t="n">
        <x:f>G71</x:f>
        <x:v>4.733333333333333</x:v>
      </x:c>
      <x:c r="N95" s="36" t="n">
        <x:f>I71</x:f>
        <x:v>23.866666666666667</x:v>
      </x:c>
    </x:row>
    <x:row r="96">
      <x:c r="A96" s="30" t="n">
        <x:v>94</x:v>
      </x:c>
      <x:c r="B96" s="11" t="str">
        <x:f>IF(A96&lt;=15,"Seedling",IF(A96&lt;=25,"Establishment",IF(A96&lt;=40,"Vegetative Growth",IF(A96&lt;=55,"Flowering &amp; Initial Fruit Set",IF(A96&lt;=80,"Fruit Enlargement",IF(A96&lt;=95,"Ripening","Harvesting"))))))</x:f>
        <x:v>Ripening</x:v>
      </x:c>
      <x:c r="C96" s="28" t="n">
        <x:f>IF(A96&lt;=15,'Anchor Points'!$B$2+(A96-'Anchor Points'!$A$2)/('Anchor Points'!$A$3-'Anchor Points'!$A$2)*('Anchor Points'!$B$3-'Anchor Points'!$B$2),IF(A96&lt;=25,'Anchor Points'!$B$3+(A96-'Anchor Points'!$A$3)/('Anchor Points'!$A$4-'Anchor Points'!$A$3)*('Anchor Points'!$B$4-'Anchor Points'!$B$3),IF(A96&lt;=40,'Anchor Points'!$B$4+(A96-'Anchor Points'!$A$4)/('Anchor Points'!$A$5-'Anchor Points'!$A$4)*('Anchor Points'!$B$5-'Anchor Points'!$B$4),IF(A96&lt;=55,'Anchor Points'!$B$5+(A96-'Anchor Points'!$A$5)/('Anchor Points'!$A$6-'Anchor Points'!$A$5)*('Anchor Points'!$B$6-'Anchor Points'!$B$5),IF(A96&lt;=70,'Anchor Points'!$B$6+(A96-'Anchor Points'!$A$6)/('Anchor Points'!$A$7-'Anchor Points'!$A$6)*('Anchor Points'!$B$7-'Anchor Points'!$B$6),IF(A96&lt;=90,'Anchor Points'!$B$7+(A96-'Anchor Points'!$A$7)/('Anchor Points'!$A$8-'Anchor Points'!$A$7)*('Anchor Points'!$B$8-'Anchor Points'!$B$7),'Anchor Points'!$B$8+(A96-'Anchor Points'!$A$8)/('Anchor Points'!$A$9-'Anchor Points'!$A$8)*('Anchor Points'!$B$9-'Anchor Points'!$B$8)))))))</x:f>
        <x:v>83.06666666666666</x:v>
      </x:c>
      <x:c r="D96" s="28" t="n">
        <x:f>IF(A96&lt;=15,'Anchor Points'!$C$2+(A96-'Anchor Points'!$A$2)/('Anchor Points'!$A$3-'Anchor Points'!$A$2)*('Anchor Points'!$C$3-'Anchor Points'!$C$2),IF(A96&lt;=25,'Anchor Points'!$C$3+(A96-'Anchor Points'!$A$3)/('Anchor Points'!$A$4-'Anchor Points'!$A$3)*('Anchor Points'!$C$4-'Anchor Points'!$C$3),IF(A96&lt;=40,'Anchor Points'!$C$4+(A96-'Anchor Points'!$A$4)/('Anchor Points'!$A$5-'Anchor Points'!$A$4)*('Anchor Points'!$C$5-'Anchor Points'!$C$4),IF(A96&lt;=55,'Anchor Points'!$C$5+(A96-'Anchor Points'!$A$5)/('Anchor Points'!$A$6-'Anchor Points'!$A$5)*('Anchor Points'!$C$6-'Anchor Points'!$C$5),IF(A96&lt;=70,'Anchor Points'!$C$6+(A96-'Anchor Points'!$A$6)/('Anchor Points'!$A$7-'Anchor Points'!$A$6)*('Anchor Points'!$C$7-'Anchor Points'!$C$6),IF(A96&lt;=90,'Anchor Points'!$C$7+(A96-'Anchor Points'!$A$7)/('Anchor Points'!$A$8-'Anchor Points'!$A$7)*('Anchor Points'!$C$8-'Anchor Points'!$C$7),'Anchor Points'!$C$8+(A96-'Anchor Points'!$A$8)/('Anchor Points'!$A$9-'Anchor Points'!$A$8)*('Anchor Points'!$C$9-'Anchor Points'!$C$8)))))))</x:f>
        <x:v>87</x:v>
      </x:c>
      <x:c r="E96" s="28" t="n">
        <x:f>IF(A96&lt;=15,'Anchor Points'!$D$2+(A96-'Anchor Points'!$A$2)/('Anchor Points'!$A$3-'Anchor Points'!$A$2)*('Anchor Points'!$D$3-'Anchor Points'!$D$2),IF(A96&lt;=25,'Anchor Points'!$D$3+(A96-'Anchor Points'!$A$3)/('Anchor Points'!$A$4-'Anchor Points'!$A$3)*('Anchor Points'!$D$4-'Anchor Points'!$D$3),IF(A96&lt;=40,'Anchor Points'!$D$4+(A96-'Anchor Points'!$A$4)/('Anchor Points'!$A$5-'Anchor Points'!$A$4)*('Anchor Points'!$D$5-'Anchor Points'!$D$4),IF(A96&lt;=55,'Anchor Points'!$D$5+(A96-'Anchor Points'!$A$5)/('Anchor Points'!$A$6-'Anchor Points'!$A$5)*('Anchor Points'!$D$6-'Anchor Points'!$D$5),IF(A96&lt;=70,'Anchor Points'!$D$6+(A96-'Anchor Points'!$A$6)/('Anchor Points'!$A$7-'Anchor Points'!$A$6)*('Anchor Points'!$D$7-'Anchor Points'!$D$6),IF(A96&lt;=90,'Anchor Points'!$D$7+(A96-'Anchor Points'!$A$7)/('Anchor Points'!$A$8-'Anchor Points'!$A$7)*('Anchor Points'!$D$8-'Anchor Points'!$D$7),'Anchor Points'!$D$8+(A96-'Anchor Points'!$A$8)/('Anchor Points'!$A$9-'Anchor Points'!$A$8)*('Anchor Points'!$D$9-'Anchor Points'!$D$8)))))))</x:f>
        <x:v>7.6</x:v>
      </x:c>
      <x:c r="F96" s="30" t="n">
        <x:f>ROUND(E96,0)</x:f>
        <x:v>8</x:v>
      </x:c>
      <x:c r="G96" s="28" t="n">
        <x:f>IF(A96&lt;=15,'Anchor Points'!$E$2+(A96-'Anchor Points'!$A$2)/('Anchor Points'!$A$3-'Anchor Points'!$A$2)*('Anchor Points'!$E$3-'Anchor Points'!$E$2),IF(A96&lt;=25,'Anchor Points'!$E$3+(A96-'Anchor Points'!$A$3)/('Anchor Points'!$A$4-'Anchor Points'!$A$3)*('Anchor Points'!$E$4-'Anchor Points'!$E$3),IF(A96&lt;=40,'Anchor Points'!$E$4+(A96-'Anchor Points'!$A$4)/('Anchor Points'!$A$5-'Anchor Points'!$A$4)*('Anchor Points'!$E$5-'Anchor Points'!$E$4),IF(A96&lt;=55,'Anchor Points'!$E$5+(A96-'Anchor Points'!$A$5)/('Anchor Points'!$A$6-'Anchor Points'!$A$5)*('Anchor Points'!$E$6-'Anchor Points'!$E$5),IF(A96&lt;=70,'Anchor Points'!$E$6+(A96-'Anchor Points'!$A$6)/('Anchor Points'!$A$7-'Anchor Points'!$A$6)*('Anchor Points'!$E$7-'Anchor Points'!$E$6),IF(A96&lt;=90,'Anchor Points'!$E$7+(A96-'Anchor Points'!$A$7)/('Anchor Points'!$A$8-'Anchor Points'!$A$7)*('Anchor Points'!$E$8-'Anchor Points'!$E$7),'Anchor Points'!$E$8+(A96-'Anchor Points'!$A$8)/('Anchor Points'!$A$9-'Anchor Points'!$A$8)*('Anchor Points'!$E$9-'Anchor Points'!$E$8)))))))</x:f>
        <x:v>10.266666666666667</x:v>
      </x:c>
      <x:c r="H96" s="30" t="n">
        <x:f>ROUND(G96,0)</x:f>
        <x:v>10</x:v>
      </x:c>
      <x:c r="I96" s="28" t="n">
        <x:f>IF(A96&lt;=15,'Anchor Points'!$F$2+(A96-'Anchor Points'!$A$2)/('Anchor Points'!$A$3-'Anchor Points'!$A$2)*('Anchor Points'!$F$3-'Anchor Points'!$F$2),IF(A96&lt;=25,'Anchor Points'!$F$3+(A96-'Anchor Points'!$A$3)/('Anchor Points'!$A$4-'Anchor Points'!$A$3)*('Anchor Points'!$F$4-'Anchor Points'!$F$3),IF(A96&lt;=40,'Anchor Points'!$F$4+(A96-'Anchor Points'!$A$4)/('Anchor Points'!$A$5-'Anchor Points'!$A$4)*('Anchor Points'!$F$5-'Anchor Points'!$F$4),IF(A96&lt;=55,'Anchor Points'!$F$5+(A96-'Anchor Points'!$A$5)/('Anchor Points'!$A$6-'Anchor Points'!$A$5)*('Anchor Points'!$F$6-'Anchor Points'!$F$5),IF(A96&lt;=70,'Anchor Points'!$F$6+(A96-'Anchor Points'!$A$6)/('Anchor Points'!$A$7-'Anchor Points'!$A$6)*('Anchor Points'!$F$7-'Anchor Points'!$F$6),IF(A96&lt;=90,'Anchor Points'!$F$7+(A96-'Anchor Points'!$A$7)/('Anchor Points'!$A$8-'Anchor Points'!$A$7)*('Anchor Points'!$F$8-'Anchor Points'!$F$7),'Anchor Points'!$F$8+(A96-'Anchor Points'!$A$8)/('Anchor Points'!$A$9-'Anchor Points'!$A$8)*('Anchor Points'!$F$9-'Anchor Points'!$F$8)))))))</x:f>
        <x:v>50.666666666666664</x:v>
      </x:c>
      <x:c r="K96" s="36" t="n">
        <x:f>A72</x:f>
        <x:v>70</x:v>
      </x:c>
      <x:c r="L96" s="36" t="n">
        <x:f>E72</x:f>
        <x:v>12</x:v>
      </x:c>
      <x:c r="M96" s="36" t="n">
        <x:f>G72</x:f>
        <x:v>5</x:v>
      </x:c>
      <x:c r="N96" s="36" t="n">
        <x:f>I72</x:f>
        <x:v>25</x:v>
      </x:c>
    </x:row>
    <x:row r="97">
      <x:c r="A97" s="30" t="n">
        <x:v>95</x:v>
      </x:c>
      <x:c r="B97" s="11" t="str">
        <x:f>IF(A97&lt;=15,"Seedling",IF(A97&lt;=25,"Establishment",IF(A97&lt;=40,"Vegetative Growth",IF(A97&lt;=55,"Flowering &amp; Initial Fruit Set",IF(A97&lt;=80,"Fruit Enlargement",IF(A97&lt;=95,"Ripening","Harvesting"))))))</x:f>
        <x:v>Ripening</x:v>
      </x:c>
      <x:c r="C97" s="28" t="n">
        <x:f>IF(A97&lt;=15,'Anchor Points'!$B$2+(A97-'Anchor Points'!$A$2)/('Anchor Points'!$A$3-'Anchor Points'!$A$2)*('Anchor Points'!$B$3-'Anchor Points'!$B$2),IF(A97&lt;=25,'Anchor Points'!$B$3+(A97-'Anchor Points'!$A$3)/('Anchor Points'!$A$4-'Anchor Points'!$A$3)*('Anchor Points'!$B$4-'Anchor Points'!$B$3),IF(A97&lt;=40,'Anchor Points'!$B$4+(A97-'Anchor Points'!$A$4)/('Anchor Points'!$A$5-'Anchor Points'!$A$4)*('Anchor Points'!$B$5-'Anchor Points'!$B$4),IF(A97&lt;=55,'Anchor Points'!$B$5+(A97-'Anchor Points'!$A$5)/('Anchor Points'!$A$6-'Anchor Points'!$A$5)*('Anchor Points'!$B$6-'Anchor Points'!$B$5),IF(A97&lt;=70,'Anchor Points'!$B$6+(A97-'Anchor Points'!$A$6)/('Anchor Points'!$A$7-'Anchor Points'!$A$6)*('Anchor Points'!$B$7-'Anchor Points'!$B$6),IF(A97&lt;=90,'Anchor Points'!$B$7+(A97-'Anchor Points'!$A$7)/('Anchor Points'!$A$8-'Anchor Points'!$A$7)*('Anchor Points'!$B$8-'Anchor Points'!$B$7),'Anchor Points'!$B$8+(A97-'Anchor Points'!$A$8)/('Anchor Points'!$A$9-'Anchor Points'!$A$8)*('Anchor Points'!$B$9-'Anchor Points'!$B$8)))))))</x:f>
        <x:v>83.33333333333333</x:v>
      </x:c>
      <x:c r="D97" s="28" t="n">
        <x:f>IF(A97&lt;=15,'Anchor Points'!$C$2+(A97-'Anchor Points'!$A$2)/('Anchor Points'!$A$3-'Anchor Points'!$A$2)*('Anchor Points'!$C$3-'Anchor Points'!$C$2),IF(A97&lt;=25,'Anchor Points'!$C$3+(A97-'Anchor Points'!$A$3)/('Anchor Points'!$A$4-'Anchor Points'!$A$3)*('Anchor Points'!$C$4-'Anchor Points'!$C$3),IF(A97&lt;=40,'Anchor Points'!$C$4+(A97-'Anchor Points'!$A$4)/('Anchor Points'!$A$5-'Anchor Points'!$A$4)*('Anchor Points'!$C$5-'Anchor Points'!$C$4),IF(A97&lt;=55,'Anchor Points'!$C$5+(A97-'Anchor Points'!$A$5)/('Anchor Points'!$A$6-'Anchor Points'!$A$5)*('Anchor Points'!$C$6-'Anchor Points'!$C$5),IF(A97&lt;=70,'Anchor Points'!$C$6+(A97-'Anchor Points'!$A$6)/('Anchor Points'!$A$7-'Anchor Points'!$A$6)*('Anchor Points'!$C$7-'Anchor Points'!$C$6),IF(A97&lt;=90,'Anchor Points'!$C$7+(A97-'Anchor Points'!$A$7)/('Anchor Points'!$A$8-'Anchor Points'!$A$7)*('Anchor Points'!$C$8-'Anchor Points'!$C$7),'Anchor Points'!$C$8+(A97-'Anchor Points'!$A$8)/('Anchor Points'!$A$9-'Anchor Points'!$A$8)*('Anchor Points'!$C$9-'Anchor Points'!$C$8)))))))</x:f>
        <x:v>87.5</x:v>
      </x:c>
      <x:c r="E97" s="28" t="n">
        <x:f>IF(A97&lt;=15,'Anchor Points'!$D$2+(A97-'Anchor Points'!$A$2)/('Anchor Points'!$A$3-'Anchor Points'!$A$2)*('Anchor Points'!$D$3-'Anchor Points'!$D$2),IF(A97&lt;=25,'Anchor Points'!$D$3+(A97-'Anchor Points'!$A$3)/('Anchor Points'!$A$4-'Anchor Points'!$A$3)*('Anchor Points'!$D$4-'Anchor Points'!$D$3),IF(A97&lt;=40,'Anchor Points'!$D$4+(A97-'Anchor Points'!$A$4)/('Anchor Points'!$A$5-'Anchor Points'!$A$4)*('Anchor Points'!$D$5-'Anchor Points'!$D$4),IF(A97&lt;=55,'Anchor Points'!$D$5+(A97-'Anchor Points'!$A$5)/('Anchor Points'!$A$6-'Anchor Points'!$A$5)*('Anchor Points'!$D$6-'Anchor Points'!$D$5),IF(A97&lt;=70,'Anchor Points'!$D$6+(A97-'Anchor Points'!$A$6)/('Anchor Points'!$A$7-'Anchor Points'!$A$6)*('Anchor Points'!$D$7-'Anchor Points'!$D$6),IF(A97&lt;=90,'Anchor Points'!$D$7+(A97-'Anchor Points'!$A$7)/('Anchor Points'!$A$8-'Anchor Points'!$A$7)*('Anchor Points'!$D$8-'Anchor Points'!$D$7),'Anchor Points'!$D$8+(A97-'Anchor Points'!$A$8)/('Anchor Points'!$A$9-'Anchor Points'!$A$8)*('Anchor Points'!$D$9-'Anchor Points'!$D$8)))))))</x:f>
        <x:v>7.5</x:v>
      </x:c>
      <x:c r="F97" s="30" t="n">
        <x:f>ROUND(E97,0)</x:f>
        <x:v>8</x:v>
      </x:c>
      <x:c r="G97" s="28" t="n">
        <x:f>IF(A97&lt;=15,'Anchor Points'!$E$2+(A97-'Anchor Points'!$A$2)/('Anchor Points'!$A$3-'Anchor Points'!$A$2)*('Anchor Points'!$E$3-'Anchor Points'!$E$2),IF(A97&lt;=25,'Anchor Points'!$E$3+(A97-'Anchor Points'!$A$3)/('Anchor Points'!$A$4-'Anchor Points'!$A$3)*('Anchor Points'!$E$4-'Anchor Points'!$E$3),IF(A97&lt;=40,'Anchor Points'!$E$4+(A97-'Anchor Points'!$A$4)/('Anchor Points'!$A$5-'Anchor Points'!$A$4)*('Anchor Points'!$E$5-'Anchor Points'!$E$4),IF(A97&lt;=55,'Anchor Points'!$E$5+(A97-'Anchor Points'!$A$5)/('Anchor Points'!$A$6-'Anchor Points'!$A$5)*('Anchor Points'!$E$6-'Anchor Points'!$E$5),IF(A97&lt;=70,'Anchor Points'!$E$6+(A97-'Anchor Points'!$A$6)/('Anchor Points'!$A$7-'Anchor Points'!$A$6)*('Anchor Points'!$E$7-'Anchor Points'!$E$6),IF(A97&lt;=90,'Anchor Points'!$E$7+(A97-'Anchor Points'!$A$7)/('Anchor Points'!$A$8-'Anchor Points'!$A$7)*('Anchor Points'!$E$8-'Anchor Points'!$E$7),'Anchor Points'!$E$8+(A97-'Anchor Points'!$A$8)/('Anchor Points'!$A$9-'Anchor Points'!$A$8)*('Anchor Points'!$E$9-'Anchor Points'!$E$8)))))))</x:f>
        <x:v>10.333333333333334</x:v>
      </x:c>
      <x:c r="H97" s="30" t="n">
        <x:f>ROUND(G97,0)</x:f>
        <x:v>10</x:v>
      </x:c>
      <x:c r="I97" s="28" t="n">
        <x:f>IF(A97&lt;=15,'Anchor Points'!$F$2+(A97-'Anchor Points'!$A$2)/('Anchor Points'!$A$3-'Anchor Points'!$A$2)*('Anchor Points'!$F$3-'Anchor Points'!$F$2),IF(A97&lt;=25,'Anchor Points'!$F$3+(A97-'Anchor Points'!$A$3)/('Anchor Points'!$A$4-'Anchor Points'!$A$3)*('Anchor Points'!$F$4-'Anchor Points'!$F$3),IF(A97&lt;=40,'Anchor Points'!$F$4+(A97-'Anchor Points'!$A$4)/('Anchor Points'!$A$5-'Anchor Points'!$A$4)*('Anchor Points'!$F$5-'Anchor Points'!$F$4),IF(A97&lt;=55,'Anchor Points'!$F$5+(A97-'Anchor Points'!$A$5)/('Anchor Points'!$A$6-'Anchor Points'!$A$5)*('Anchor Points'!$F$6-'Anchor Points'!$F$5),IF(A97&lt;=70,'Anchor Points'!$F$6+(A97-'Anchor Points'!$A$6)/('Anchor Points'!$A$7-'Anchor Points'!$A$6)*('Anchor Points'!$F$7-'Anchor Points'!$F$6),IF(A97&lt;=90,'Anchor Points'!$F$7+(A97-'Anchor Points'!$A$7)/('Anchor Points'!$A$8-'Anchor Points'!$A$7)*('Anchor Points'!$F$8-'Anchor Points'!$F$7),'Anchor Points'!$F$8+(A97-'Anchor Points'!$A$8)/('Anchor Points'!$A$9-'Anchor Points'!$A$8)*('Anchor Points'!$F$9-'Anchor Points'!$F$8)))))))</x:f>
        <x:v>50.833333333333336</x:v>
      </x:c>
      <x:c r="K97" s="36" t="n">
        <x:f>A73</x:f>
        <x:v>71</x:v>
      </x:c>
      <x:c r="L97" s="36" t="n">
        <x:f>E73</x:f>
        <x:v>11.8</x:v>
      </x:c>
      <x:c r="M97" s="36" t="n">
        <x:f>G73</x:f>
        <x:v>5.25</x:v>
      </x:c>
      <x:c r="N97" s="36" t="n">
        <x:f>I73</x:f>
        <x:v>26.25</x:v>
      </x:c>
    </x:row>
    <x:row r="98">
      <x:c r="A98" s="30" t="n">
        <x:v>96</x:v>
      </x:c>
      <x:c r="B98" s="11" t="str">
        <x:f>IF(A98&lt;=15,"Seedling",IF(A98&lt;=25,"Establishment",IF(A98&lt;=40,"Vegetative Growth",IF(A98&lt;=55,"Flowering &amp; Initial Fruit Set",IF(A98&lt;=80,"Fruit Enlargement",IF(A98&lt;=95,"Ripening","Harvesting"))))))</x:f>
        <x:v>Harvesting</x:v>
      </x:c>
      <x:c r="C98" s="28" t="n">
        <x:f>IF(A98&lt;=15,'Anchor Points'!$B$2+(A98-'Anchor Points'!$A$2)/('Anchor Points'!$A$3-'Anchor Points'!$A$2)*('Anchor Points'!$B$3-'Anchor Points'!$B$2),IF(A98&lt;=25,'Anchor Points'!$B$3+(A98-'Anchor Points'!$A$3)/('Anchor Points'!$A$4-'Anchor Points'!$A$3)*('Anchor Points'!$B$4-'Anchor Points'!$B$3),IF(A98&lt;=40,'Anchor Points'!$B$4+(A98-'Anchor Points'!$A$4)/('Anchor Points'!$A$5-'Anchor Points'!$A$4)*('Anchor Points'!$B$5-'Anchor Points'!$B$4),IF(A98&lt;=55,'Anchor Points'!$B$5+(A98-'Anchor Points'!$A$5)/('Anchor Points'!$A$6-'Anchor Points'!$A$5)*('Anchor Points'!$B$6-'Anchor Points'!$B$5),IF(A98&lt;=70,'Anchor Points'!$B$6+(A98-'Anchor Points'!$A$6)/('Anchor Points'!$A$7-'Anchor Points'!$A$6)*('Anchor Points'!$B$7-'Anchor Points'!$B$6),IF(A98&lt;=90,'Anchor Points'!$B$7+(A98-'Anchor Points'!$A$7)/('Anchor Points'!$A$8-'Anchor Points'!$A$7)*('Anchor Points'!$B$8-'Anchor Points'!$B$7),'Anchor Points'!$B$8+(A98-'Anchor Points'!$A$8)/('Anchor Points'!$A$9-'Anchor Points'!$A$8)*('Anchor Points'!$B$9-'Anchor Points'!$B$8)))))))</x:f>
        <x:v>83.6</x:v>
      </x:c>
      <x:c r="D98" s="28" t="n">
        <x:f>IF(A98&lt;=15,'Anchor Points'!$C$2+(A98-'Anchor Points'!$A$2)/('Anchor Points'!$A$3-'Anchor Points'!$A$2)*('Anchor Points'!$C$3-'Anchor Points'!$C$2),IF(A98&lt;=25,'Anchor Points'!$C$3+(A98-'Anchor Points'!$A$3)/('Anchor Points'!$A$4-'Anchor Points'!$A$3)*('Anchor Points'!$C$4-'Anchor Points'!$C$3),IF(A98&lt;=40,'Anchor Points'!$C$4+(A98-'Anchor Points'!$A$4)/('Anchor Points'!$A$5-'Anchor Points'!$A$4)*('Anchor Points'!$C$5-'Anchor Points'!$C$4),IF(A98&lt;=55,'Anchor Points'!$C$5+(A98-'Anchor Points'!$A$5)/('Anchor Points'!$A$6-'Anchor Points'!$A$5)*('Anchor Points'!$C$6-'Anchor Points'!$C$5),IF(A98&lt;=70,'Anchor Points'!$C$6+(A98-'Anchor Points'!$A$6)/('Anchor Points'!$A$7-'Anchor Points'!$A$6)*('Anchor Points'!$C$7-'Anchor Points'!$C$6),IF(A98&lt;=90,'Anchor Points'!$C$7+(A98-'Anchor Points'!$A$7)/('Anchor Points'!$A$8-'Anchor Points'!$A$7)*('Anchor Points'!$C$8-'Anchor Points'!$C$7),'Anchor Points'!$C$8+(A98-'Anchor Points'!$A$8)/('Anchor Points'!$A$9-'Anchor Points'!$A$8)*('Anchor Points'!$C$9-'Anchor Points'!$C$8)))))))</x:f>
        <x:v>88</x:v>
      </x:c>
      <x:c r="E98" s="28" t="n">
        <x:f>IF(A98&lt;=15,'Anchor Points'!$D$2+(A98-'Anchor Points'!$A$2)/('Anchor Points'!$A$3-'Anchor Points'!$A$2)*('Anchor Points'!$D$3-'Anchor Points'!$D$2),IF(A98&lt;=25,'Anchor Points'!$D$3+(A98-'Anchor Points'!$A$3)/('Anchor Points'!$A$4-'Anchor Points'!$A$3)*('Anchor Points'!$D$4-'Anchor Points'!$D$3),IF(A98&lt;=40,'Anchor Points'!$D$4+(A98-'Anchor Points'!$A$4)/('Anchor Points'!$A$5-'Anchor Points'!$A$4)*('Anchor Points'!$D$5-'Anchor Points'!$D$4),IF(A98&lt;=55,'Anchor Points'!$D$5+(A98-'Anchor Points'!$A$5)/('Anchor Points'!$A$6-'Anchor Points'!$A$5)*('Anchor Points'!$D$6-'Anchor Points'!$D$5),IF(A98&lt;=70,'Anchor Points'!$D$6+(A98-'Anchor Points'!$A$6)/('Anchor Points'!$A$7-'Anchor Points'!$A$6)*('Anchor Points'!$D$7-'Anchor Points'!$D$6),IF(A98&lt;=90,'Anchor Points'!$D$7+(A98-'Anchor Points'!$A$7)/('Anchor Points'!$A$8-'Anchor Points'!$A$7)*('Anchor Points'!$D$8-'Anchor Points'!$D$7),'Anchor Points'!$D$8+(A98-'Anchor Points'!$A$8)/('Anchor Points'!$A$9-'Anchor Points'!$A$8)*('Anchor Points'!$D$9-'Anchor Points'!$D$8)))))))</x:f>
        <x:v>7.4</x:v>
      </x:c>
      <x:c r="F98" s="30" t="n">
        <x:f>ROUND(E98,0)</x:f>
        <x:v>7</x:v>
      </x:c>
      <x:c r="G98" s="28" t="n">
        <x:f>IF(A98&lt;=15,'Anchor Points'!$E$2+(A98-'Anchor Points'!$A$2)/('Anchor Points'!$A$3-'Anchor Points'!$A$2)*('Anchor Points'!$E$3-'Anchor Points'!$E$2),IF(A98&lt;=25,'Anchor Points'!$E$3+(A98-'Anchor Points'!$A$3)/('Anchor Points'!$A$4-'Anchor Points'!$A$3)*('Anchor Points'!$E$4-'Anchor Points'!$E$3),IF(A98&lt;=40,'Anchor Points'!$E$4+(A98-'Anchor Points'!$A$4)/('Anchor Points'!$A$5-'Anchor Points'!$A$4)*('Anchor Points'!$E$5-'Anchor Points'!$E$4),IF(A98&lt;=55,'Anchor Points'!$E$5+(A98-'Anchor Points'!$A$5)/('Anchor Points'!$A$6-'Anchor Points'!$A$5)*('Anchor Points'!$E$6-'Anchor Points'!$E$5),IF(A98&lt;=70,'Anchor Points'!$E$6+(A98-'Anchor Points'!$A$6)/('Anchor Points'!$A$7-'Anchor Points'!$A$6)*('Anchor Points'!$E$7-'Anchor Points'!$E$6),IF(A98&lt;=90,'Anchor Points'!$E$7+(A98-'Anchor Points'!$A$7)/('Anchor Points'!$A$8-'Anchor Points'!$A$7)*('Anchor Points'!$E$8-'Anchor Points'!$E$7),'Anchor Points'!$E$8+(A98-'Anchor Points'!$A$8)/('Anchor Points'!$A$9-'Anchor Points'!$A$8)*('Anchor Points'!$E$9-'Anchor Points'!$E$8)))))))</x:f>
        <x:v>10.4</x:v>
      </x:c>
      <x:c r="H98" s="30" t="n">
        <x:f>ROUND(G98,0)</x:f>
        <x:v>10</x:v>
      </x:c>
      <x:c r="I98" s="28" t="n">
        <x:f>IF(A98&lt;=15,'Anchor Points'!$F$2+(A98-'Anchor Points'!$A$2)/('Anchor Points'!$A$3-'Anchor Points'!$A$2)*('Anchor Points'!$F$3-'Anchor Points'!$F$2),IF(A98&lt;=25,'Anchor Points'!$F$3+(A98-'Anchor Points'!$A$3)/('Anchor Points'!$A$4-'Anchor Points'!$A$3)*('Anchor Points'!$F$4-'Anchor Points'!$F$3),IF(A98&lt;=40,'Anchor Points'!$F$4+(A98-'Anchor Points'!$A$4)/('Anchor Points'!$A$5-'Anchor Points'!$A$4)*('Anchor Points'!$F$5-'Anchor Points'!$F$4),IF(A98&lt;=55,'Anchor Points'!$F$5+(A98-'Anchor Points'!$A$5)/('Anchor Points'!$A$6-'Anchor Points'!$A$5)*('Anchor Points'!$F$6-'Anchor Points'!$F$5),IF(A98&lt;=70,'Anchor Points'!$F$6+(A98-'Anchor Points'!$A$6)/('Anchor Points'!$A$7-'Anchor Points'!$A$6)*('Anchor Points'!$F$7-'Anchor Points'!$F$6),IF(A98&lt;=90,'Anchor Points'!$F$7+(A98-'Anchor Points'!$A$7)/('Anchor Points'!$A$8-'Anchor Points'!$A$7)*('Anchor Points'!$F$8-'Anchor Points'!$F$7),'Anchor Points'!$F$8+(A98-'Anchor Points'!$A$8)/('Anchor Points'!$A$9-'Anchor Points'!$A$8)*('Anchor Points'!$F$9-'Anchor Points'!$F$8)))))))</x:f>
        <x:v>51</x:v>
      </x:c>
      <x:c r="K98" s="36" t="n">
        <x:f>A74</x:f>
        <x:v>72</x:v>
      </x:c>
      <x:c r="L98" s="36" t="n">
        <x:f>E74</x:f>
        <x:v>11.6</x:v>
      </x:c>
      <x:c r="M98" s="36" t="n">
        <x:f>G74</x:f>
        <x:v>5.5</x:v>
      </x:c>
      <x:c r="N98" s="36" t="n">
        <x:f>I74</x:f>
        <x:v>27.5</x:v>
      </x:c>
    </x:row>
    <x:row r="99">
      <x:c r="A99" s="30" t="n">
        <x:v>97</x:v>
      </x:c>
      <x:c r="B99" s="11" t="str">
        <x:f>IF(A99&lt;=15,"Seedling",IF(A99&lt;=25,"Establishment",IF(A99&lt;=40,"Vegetative Growth",IF(A99&lt;=55,"Flowering &amp; Initial Fruit Set",IF(A99&lt;=80,"Fruit Enlargement",IF(A99&lt;=95,"Ripening","Harvesting"))))))</x:f>
        <x:v>Harvesting</x:v>
      </x:c>
      <x:c r="C99" s="28" t="n">
        <x:f>IF(A99&lt;=15,'Anchor Points'!$B$2+(A99-'Anchor Points'!$A$2)/('Anchor Points'!$A$3-'Anchor Points'!$A$2)*('Anchor Points'!$B$3-'Anchor Points'!$B$2),IF(A99&lt;=25,'Anchor Points'!$B$3+(A99-'Anchor Points'!$A$3)/('Anchor Points'!$A$4-'Anchor Points'!$A$3)*('Anchor Points'!$B$4-'Anchor Points'!$B$3),IF(A99&lt;=40,'Anchor Points'!$B$4+(A99-'Anchor Points'!$A$4)/('Anchor Points'!$A$5-'Anchor Points'!$A$4)*('Anchor Points'!$B$5-'Anchor Points'!$B$4),IF(A99&lt;=55,'Anchor Points'!$B$5+(A99-'Anchor Points'!$A$5)/('Anchor Points'!$A$6-'Anchor Points'!$A$5)*('Anchor Points'!$B$6-'Anchor Points'!$B$5),IF(A99&lt;=70,'Anchor Points'!$B$6+(A99-'Anchor Points'!$A$6)/('Anchor Points'!$A$7-'Anchor Points'!$A$6)*('Anchor Points'!$B$7-'Anchor Points'!$B$6),IF(A99&lt;=90,'Anchor Points'!$B$7+(A99-'Anchor Points'!$A$7)/('Anchor Points'!$A$8-'Anchor Points'!$A$7)*('Anchor Points'!$B$8-'Anchor Points'!$B$7),'Anchor Points'!$B$8+(A99-'Anchor Points'!$A$8)/('Anchor Points'!$A$9-'Anchor Points'!$A$8)*('Anchor Points'!$B$9-'Anchor Points'!$B$8)))))))</x:f>
        <x:v>83.86666666666666</x:v>
      </x:c>
      <x:c r="D99" s="28" t="n">
        <x:f>IF(A99&lt;=15,'Anchor Points'!$C$2+(A99-'Anchor Points'!$A$2)/('Anchor Points'!$A$3-'Anchor Points'!$A$2)*('Anchor Points'!$C$3-'Anchor Points'!$C$2),IF(A99&lt;=25,'Anchor Points'!$C$3+(A99-'Anchor Points'!$A$3)/('Anchor Points'!$A$4-'Anchor Points'!$A$3)*('Anchor Points'!$C$4-'Anchor Points'!$C$3),IF(A99&lt;=40,'Anchor Points'!$C$4+(A99-'Anchor Points'!$A$4)/('Anchor Points'!$A$5-'Anchor Points'!$A$4)*('Anchor Points'!$C$5-'Anchor Points'!$C$4),IF(A99&lt;=55,'Anchor Points'!$C$5+(A99-'Anchor Points'!$A$5)/('Anchor Points'!$A$6-'Anchor Points'!$A$5)*('Anchor Points'!$C$6-'Anchor Points'!$C$5),IF(A99&lt;=70,'Anchor Points'!$C$6+(A99-'Anchor Points'!$A$6)/('Anchor Points'!$A$7-'Anchor Points'!$A$6)*('Anchor Points'!$C$7-'Anchor Points'!$C$6),IF(A99&lt;=90,'Anchor Points'!$C$7+(A99-'Anchor Points'!$A$7)/('Anchor Points'!$A$8-'Anchor Points'!$A$7)*('Anchor Points'!$C$8-'Anchor Points'!$C$7),'Anchor Points'!$C$8+(A99-'Anchor Points'!$A$8)/('Anchor Points'!$A$9-'Anchor Points'!$A$8)*('Anchor Points'!$C$9-'Anchor Points'!$C$8)))))))</x:f>
        <x:v>88.5</x:v>
      </x:c>
      <x:c r="E99" s="28" t="n">
        <x:f>IF(A99&lt;=15,'Anchor Points'!$D$2+(A99-'Anchor Points'!$A$2)/('Anchor Points'!$A$3-'Anchor Points'!$A$2)*('Anchor Points'!$D$3-'Anchor Points'!$D$2),IF(A99&lt;=25,'Anchor Points'!$D$3+(A99-'Anchor Points'!$A$3)/('Anchor Points'!$A$4-'Anchor Points'!$A$3)*('Anchor Points'!$D$4-'Anchor Points'!$D$3),IF(A99&lt;=40,'Anchor Points'!$D$4+(A99-'Anchor Points'!$A$4)/('Anchor Points'!$A$5-'Anchor Points'!$A$4)*('Anchor Points'!$D$5-'Anchor Points'!$D$4),IF(A99&lt;=55,'Anchor Points'!$D$5+(A99-'Anchor Points'!$A$5)/('Anchor Points'!$A$6-'Anchor Points'!$A$5)*('Anchor Points'!$D$6-'Anchor Points'!$D$5),IF(A99&lt;=70,'Anchor Points'!$D$6+(A99-'Anchor Points'!$A$6)/('Anchor Points'!$A$7-'Anchor Points'!$A$6)*('Anchor Points'!$D$7-'Anchor Points'!$D$6),IF(A99&lt;=90,'Anchor Points'!$D$7+(A99-'Anchor Points'!$A$7)/('Anchor Points'!$A$8-'Anchor Points'!$A$7)*('Anchor Points'!$D$8-'Anchor Points'!$D$7),'Anchor Points'!$D$8+(A99-'Anchor Points'!$A$8)/('Anchor Points'!$A$9-'Anchor Points'!$A$8)*('Anchor Points'!$D$9-'Anchor Points'!$D$8)))))))</x:f>
        <x:v>7.3</x:v>
      </x:c>
      <x:c r="F99" s="30" t="n">
        <x:f>ROUND(E99,0)</x:f>
        <x:v>7</x:v>
      </x:c>
      <x:c r="G99" s="28" t="n">
        <x:f>IF(A99&lt;=15,'Anchor Points'!$E$2+(A99-'Anchor Points'!$A$2)/('Anchor Points'!$A$3-'Anchor Points'!$A$2)*('Anchor Points'!$E$3-'Anchor Points'!$E$2),IF(A99&lt;=25,'Anchor Points'!$E$3+(A99-'Anchor Points'!$A$3)/('Anchor Points'!$A$4-'Anchor Points'!$A$3)*('Anchor Points'!$E$4-'Anchor Points'!$E$3),IF(A99&lt;=40,'Anchor Points'!$E$4+(A99-'Anchor Points'!$A$4)/('Anchor Points'!$A$5-'Anchor Points'!$A$4)*('Anchor Points'!$E$5-'Anchor Points'!$E$4),IF(A99&lt;=55,'Anchor Points'!$E$5+(A99-'Anchor Points'!$A$5)/('Anchor Points'!$A$6-'Anchor Points'!$A$5)*('Anchor Points'!$E$6-'Anchor Points'!$E$5),IF(A99&lt;=70,'Anchor Points'!$E$6+(A99-'Anchor Points'!$A$6)/('Anchor Points'!$A$7-'Anchor Points'!$A$6)*('Anchor Points'!$E$7-'Anchor Points'!$E$6),IF(A99&lt;=90,'Anchor Points'!$E$7+(A99-'Anchor Points'!$A$7)/('Anchor Points'!$A$8-'Anchor Points'!$A$7)*('Anchor Points'!$E$8-'Anchor Points'!$E$7),'Anchor Points'!$E$8+(A99-'Anchor Points'!$A$8)/('Anchor Points'!$A$9-'Anchor Points'!$A$8)*('Anchor Points'!$E$9-'Anchor Points'!$E$8)))))))</x:f>
        <x:v>10.466666666666667</x:v>
      </x:c>
      <x:c r="H99" s="30" t="n">
        <x:f>ROUND(G99,0)</x:f>
        <x:v>10</x:v>
      </x:c>
      <x:c r="I99" s="28" t="n">
        <x:f>IF(A99&lt;=15,'Anchor Points'!$F$2+(A99-'Anchor Points'!$A$2)/('Anchor Points'!$A$3-'Anchor Points'!$A$2)*('Anchor Points'!$F$3-'Anchor Points'!$F$2),IF(A99&lt;=25,'Anchor Points'!$F$3+(A99-'Anchor Points'!$A$3)/('Anchor Points'!$A$4-'Anchor Points'!$A$3)*('Anchor Points'!$F$4-'Anchor Points'!$F$3),IF(A99&lt;=40,'Anchor Points'!$F$4+(A99-'Anchor Points'!$A$4)/('Anchor Points'!$A$5-'Anchor Points'!$A$4)*('Anchor Points'!$F$5-'Anchor Points'!$F$4),IF(A99&lt;=55,'Anchor Points'!$F$5+(A99-'Anchor Points'!$A$5)/('Anchor Points'!$A$6-'Anchor Points'!$A$5)*('Anchor Points'!$F$6-'Anchor Points'!$F$5),IF(A99&lt;=70,'Anchor Points'!$F$6+(A99-'Anchor Points'!$A$6)/('Anchor Points'!$A$7-'Anchor Points'!$A$6)*('Anchor Points'!$F$7-'Anchor Points'!$F$6),IF(A99&lt;=90,'Anchor Points'!$F$7+(A99-'Anchor Points'!$A$7)/('Anchor Points'!$A$8-'Anchor Points'!$A$7)*('Anchor Points'!$F$8-'Anchor Points'!$F$7),'Anchor Points'!$F$8+(A99-'Anchor Points'!$A$8)/('Anchor Points'!$A$9-'Anchor Points'!$A$8)*('Anchor Points'!$F$9-'Anchor Points'!$F$8)))))))</x:f>
        <x:v>51.166666666666664</x:v>
      </x:c>
      <x:c r="K99" s="36" t="n">
        <x:f>A75</x:f>
        <x:v>73</x:v>
      </x:c>
      <x:c r="L99" s="36" t="n">
        <x:f>E75</x:f>
        <x:v>11.4</x:v>
      </x:c>
      <x:c r="M99" s="36" t="n">
        <x:f>G75</x:f>
        <x:v>5.75</x:v>
      </x:c>
      <x:c r="N99" s="36" t="n">
        <x:f>I75</x:f>
        <x:v>28.75</x:v>
      </x:c>
    </x:row>
    <x:row r="100">
      <x:c r="A100" s="30" t="n">
        <x:v>98</x:v>
      </x:c>
      <x:c r="B100" s="11" t="str">
        <x:f>IF(A100&lt;=15,"Seedling",IF(A100&lt;=25,"Establishment",IF(A100&lt;=40,"Vegetative Growth",IF(A100&lt;=55,"Flowering &amp; Initial Fruit Set",IF(A100&lt;=80,"Fruit Enlargement",IF(A100&lt;=95,"Ripening","Harvesting"))))))</x:f>
        <x:v>Harvesting</x:v>
      </x:c>
      <x:c r="C100" s="28" t="n">
        <x:f>IF(A100&lt;=15,'Anchor Points'!$B$2+(A100-'Anchor Points'!$A$2)/('Anchor Points'!$A$3-'Anchor Points'!$A$2)*('Anchor Points'!$B$3-'Anchor Points'!$B$2),IF(A100&lt;=25,'Anchor Points'!$B$3+(A100-'Anchor Points'!$A$3)/('Anchor Points'!$A$4-'Anchor Points'!$A$3)*('Anchor Points'!$B$4-'Anchor Points'!$B$3),IF(A100&lt;=40,'Anchor Points'!$B$4+(A100-'Anchor Points'!$A$4)/('Anchor Points'!$A$5-'Anchor Points'!$A$4)*('Anchor Points'!$B$5-'Anchor Points'!$B$4),IF(A100&lt;=55,'Anchor Points'!$B$5+(A100-'Anchor Points'!$A$5)/('Anchor Points'!$A$6-'Anchor Points'!$A$5)*('Anchor Points'!$B$6-'Anchor Points'!$B$5),IF(A100&lt;=70,'Anchor Points'!$B$6+(A100-'Anchor Points'!$A$6)/('Anchor Points'!$A$7-'Anchor Points'!$A$6)*('Anchor Points'!$B$7-'Anchor Points'!$B$6),IF(A100&lt;=90,'Anchor Points'!$B$7+(A100-'Anchor Points'!$A$7)/('Anchor Points'!$A$8-'Anchor Points'!$A$7)*('Anchor Points'!$B$8-'Anchor Points'!$B$7),'Anchor Points'!$B$8+(A100-'Anchor Points'!$A$8)/('Anchor Points'!$A$9-'Anchor Points'!$A$8)*('Anchor Points'!$B$9-'Anchor Points'!$B$8)))))))</x:f>
        <x:v>84.13333333333334</x:v>
      </x:c>
      <x:c r="D100" s="28" t="n">
        <x:f>IF(A100&lt;=15,'Anchor Points'!$C$2+(A100-'Anchor Points'!$A$2)/('Anchor Points'!$A$3-'Anchor Points'!$A$2)*('Anchor Points'!$C$3-'Anchor Points'!$C$2),IF(A100&lt;=25,'Anchor Points'!$C$3+(A100-'Anchor Points'!$A$3)/('Anchor Points'!$A$4-'Anchor Points'!$A$3)*('Anchor Points'!$C$4-'Anchor Points'!$C$3),IF(A100&lt;=40,'Anchor Points'!$C$4+(A100-'Anchor Points'!$A$4)/('Anchor Points'!$A$5-'Anchor Points'!$A$4)*('Anchor Points'!$C$5-'Anchor Points'!$C$4),IF(A100&lt;=55,'Anchor Points'!$C$5+(A100-'Anchor Points'!$A$5)/('Anchor Points'!$A$6-'Anchor Points'!$A$5)*('Anchor Points'!$C$6-'Anchor Points'!$C$5),IF(A100&lt;=70,'Anchor Points'!$C$6+(A100-'Anchor Points'!$A$6)/('Anchor Points'!$A$7-'Anchor Points'!$A$6)*('Anchor Points'!$C$7-'Anchor Points'!$C$6),IF(A100&lt;=90,'Anchor Points'!$C$7+(A100-'Anchor Points'!$A$7)/('Anchor Points'!$A$8-'Anchor Points'!$A$7)*('Anchor Points'!$C$8-'Anchor Points'!$C$7),'Anchor Points'!$C$8+(A100-'Anchor Points'!$A$8)/('Anchor Points'!$A$9-'Anchor Points'!$A$8)*('Anchor Points'!$C$9-'Anchor Points'!$C$8)))))))</x:f>
        <x:v>89</x:v>
      </x:c>
      <x:c r="E100" s="28" t="n">
        <x:f>IF(A100&lt;=15,'Anchor Points'!$D$2+(A100-'Anchor Points'!$A$2)/('Anchor Points'!$A$3-'Anchor Points'!$A$2)*('Anchor Points'!$D$3-'Anchor Points'!$D$2),IF(A100&lt;=25,'Anchor Points'!$D$3+(A100-'Anchor Points'!$A$3)/('Anchor Points'!$A$4-'Anchor Points'!$A$3)*('Anchor Points'!$D$4-'Anchor Points'!$D$3),IF(A100&lt;=40,'Anchor Points'!$D$4+(A100-'Anchor Points'!$A$4)/('Anchor Points'!$A$5-'Anchor Points'!$A$4)*('Anchor Points'!$D$5-'Anchor Points'!$D$4),IF(A100&lt;=55,'Anchor Points'!$D$5+(A100-'Anchor Points'!$A$5)/('Anchor Points'!$A$6-'Anchor Points'!$A$5)*('Anchor Points'!$D$6-'Anchor Points'!$D$5),IF(A100&lt;=70,'Anchor Points'!$D$6+(A100-'Anchor Points'!$A$6)/('Anchor Points'!$A$7-'Anchor Points'!$A$6)*('Anchor Points'!$D$7-'Anchor Points'!$D$6),IF(A100&lt;=90,'Anchor Points'!$D$7+(A100-'Anchor Points'!$A$7)/('Anchor Points'!$A$8-'Anchor Points'!$A$7)*('Anchor Points'!$D$8-'Anchor Points'!$D$7),'Anchor Points'!$D$8+(A100-'Anchor Points'!$A$8)/('Anchor Points'!$A$9-'Anchor Points'!$A$8)*('Anchor Points'!$D$9-'Anchor Points'!$D$8)))))))</x:f>
        <x:v>7.2</x:v>
      </x:c>
      <x:c r="F100" s="30" t="n">
        <x:f>ROUND(E100,0)</x:f>
        <x:v>7</x:v>
      </x:c>
      <x:c r="G100" s="28" t="n">
        <x:f>IF(A100&lt;=15,'Anchor Points'!$E$2+(A100-'Anchor Points'!$A$2)/('Anchor Points'!$A$3-'Anchor Points'!$A$2)*('Anchor Points'!$E$3-'Anchor Points'!$E$2),IF(A100&lt;=25,'Anchor Points'!$E$3+(A100-'Anchor Points'!$A$3)/('Anchor Points'!$A$4-'Anchor Points'!$A$3)*('Anchor Points'!$E$4-'Anchor Points'!$E$3),IF(A100&lt;=40,'Anchor Points'!$E$4+(A100-'Anchor Points'!$A$4)/('Anchor Points'!$A$5-'Anchor Points'!$A$4)*('Anchor Points'!$E$5-'Anchor Points'!$E$4),IF(A100&lt;=55,'Anchor Points'!$E$5+(A100-'Anchor Points'!$A$5)/('Anchor Points'!$A$6-'Anchor Points'!$A$5)*('Anchor Points'!$E$6-'Anchor Points'!$E$5),IF(A100&lt;=70,'Anchor Points'!$E$6+(A100-'Anchor Points'!$A$6)/('Anchor Points'!$A$7-'Anchor Points'!$A$6)*('Anchor Points'!$E$7-'Anchor Points'!$E$6),IF(A100&lt;=90,'Anchor Points'!$E$7+(A100-'Anchor Points'!$A$7)/('Anchor Points'!$A$8-'Anchor Points'!$A$7)*('Anchor Points'!$E$8-'Anchor Points'!$E$7),'Anchor Points'!$E$8+(A100-'Anchor Points'!$A$8)/('Anchor Points'!$A$9-'Anchor Points'!$A$8)*('Anchor Points'!$E$9-'Anchor Points'!$E$8)))))))</x:f>
        <x:v>10.533333333333333</x:v>
      </x:c>
      <x:c r="H100" s="30" t="n">
        <x:f>ROUND(G100,0)</x:f>
        <x:v>11</x:v>
      </x:c>
      <x:c r="I100" s="28" t="n">
        <x:f>IF(A100&lt;=15,'Anchor Points'!$F$2+(A100-'Anchor Points'!$A$2)/('Anchor Points'!$A$3-'Anchor Points'!$A$2)*('Anchor Points'!$F$3-'Anchor Points'!$F$2),IF(A100&lt;=25,'Anchor Points'!$F$3+(A100-'Anchor Points'!$A$3)/('Anchor Points'!$A$4-'Anchor Points'!$A$3)*('Anchor Points'!$F$4-'Anchor Points'!$F$3),IF(A100&lt;=40,'Anchor Points'!$F$4+(A100-'Anchor Points'!$A$4)/('Anchor Points'!$A$5-'Anchor Points'!$A$4)*('Anchor Points'!$F$5-'Anchor Points'!$F$4),IF(A100&lt;=55,'Anchor Points'!$F$5+(A100-'Anchor Points'!$A$5)/('Anchor Points'!$A$6-'Anchor Points'!$A$5)*('Anchor Points'!$F$6-'Anchor Points'!$F$5),IF(A100&lt;=70,'Anchor Points'!$F$6+(A100-'Anchor Points'!$A$6)/('Anchor Points'!$A$7-'Anchor Points'!$A$6)*('Anchor Points'!$F$7-'Anchor Points'!$F$6),IF(A100&lt;=90,'Anchor Points'!$F$7+(A100-'Anchor Points'!$A$7)/('Anchor Points'!$A$8-'Anchor Points'!$A$7)*('Anchor Points'!$F$8-'Anchor Points'!$F$7),'Anchor Points'!$F$8+(A100-'Anchor Points'!$A$8)/('Anchor Points'!$A$9-'Anchor Points'!$A$8)*('Anchor Points'!$F$9-'Anchor Points'!$F$8)))))))</x:f>
        <x:v>51.333333333333336</x:v>
      </x:c>
      <x:c r="K100" s="36" t="n">
        <x:f>A76</x:f>
        <x:v>74</x:v>
      </x:c>
      <x:c r="L100" s="36" t="n">
        <x:f>E76</x:f>
        <x:v>11.2</x:v>
      </x:c>
      <x:c r="M100" s="36" t="n">
        <x:f>G76</x:f>
        <x:v>6</x:v>
      </x:c>
      <x:c r="N100" s="36" t="n">
        <x:f>I76</x:f>
        <x:v>30</x:v>
      </x:c>
    </x:row>
    <x:row r="101">
      <x:c r="A101" s="30" t="n">
        <x:v>99</x:v>
      </x:c>
      <x:c r="B101" s="11" t="str">
        <x:f>IF(A101&lt;=15,"Seedling",IF(A101&lt;=25,"Establishment",IF(A101&lt;=40,"Vegetative Growth",IF(A101&lt;=55,"Flowering &amp; Initial Fruit Set",IF(A101&lt;=80,"Fruit Enlargement",IF(A101&lt;=95,"Ripening","Harvesting"))))))</x:f>
        <x:v>Harvesting</x:v>
      </x:c>
      <x:c r="C101" s="28" t="n">
        <x:f>IF(A101&lt;=15,'Anchor Points'!$B$2+(A101-'Anchor Points'!$A$2)/('Anchor Points'!$A$3-'Anchor Points'!$A$2)*('Anchor Points'!$B$3-'Anchor Points'!$B$2),IF(A101&lt;=25,'Anchor Points'!$B$3+(A101-'Anchor Points'!$A$3)/('Anchor Points'!$A$4-'Anchor Points'!$A$3)*('Anchor Points'!$B$4-'Anchor Points'!$B$3),IF(A101&lt;=40,'Anchor Points'!$B$4+(A101-'Anchor Points'!$A$4)/('Anchor Points'!$A$5-'Anchor Points'!$A$4)*('Anchor Points'!$B$5-'Anchor Points'!$B$4),IF(A101&lt;=55,'Anchor Points'!$B$5+(A101-'Anchor Points'!$A$5)/('Anchor Points'!$A$6-'Anchor Points'!$A$5)*('Anchor Points'!$B$6-'Anchor Points'!$B$5),IF(A101&lt;=70,'Anchor Points'!$B$6+(A101-'Anchor Points'!$A$6)/('Anchor Points'!$A$7-'Anchor Points'!$A$6)*('Anchor Points'!$B$7-'Anchor Points'!$B$6),IF(A101&lt;=90,'Anchor Points'!$B$7+(A101-'Anchor Points'!$A$7)/('Anchor Points'!$A$8-'Anchor Points'!$A$7)*('Anchor Points'!$B$8-'Anchor Points'!$B$7),'Anchor Points'!$B$8+(A101-'Anchor Points'!$A$8)/('Anchor Points'!$A$9-'Anchor Points'!$A$8)*('Anchor Points'!$B$9-'Anchor Points'!$B$8)))))))</x:f>
        <x:v>84.4</x:v>
      </x:c>
      <x:c r="D101" s="28" t="n">
        <x:f>IF(A101&lt;=15,'Anchor Points'!$C$2+(A101-'Anchor Points'!$A$2)/('Anchor Points'!$A$3-'Anchor Points'!$A$2)*('Anchor Points'!$C$3-'Anchor Points'!$C$2),IF(A101&lt;=25,'Anchor Points'!$C$3+(A101-'Anchor Points'!$A$3)/('Anchor Points'!$A$4-'Anchor Points'!$A$3)*('Anchor Points'!$C$4-'Anchor Points'!$C$3),IF(A101&lt;=40,'Anchor Points'!$C$4+(A101-'Anchor Points'!$A$4)/('Anchor Points'!$A$5-'Anchor Points'!$A$4)*('Anchor Points'!$C$5-'Anchor Points'!$C$4),IF(A101&lt;=55,'Anchor Points'!$C$5+(A101-'Anchor Points'!$A$5)/('Anchor Points'!$A$6-'Anchor Points'!$A$5)*('Anchor Points'!$C$6-'Anchor Points'!$C$5),IF(A101&lt;=70,'Anchor Points'!$C$6+(A101-'Anchor Points'!$A$6)/('Anchor Points'!$A$7-'Anchor Points'!$A$6)*('Anchor Points'!$C$7-'Anchor Points'!$C$6),IF(A101&lt;=90,'Anchor Points'!$C$7+(A101-'Anchor Points'!$A$7)/('Anchor Points'!$A$8-'Anchor Points'!$A$7)*('Anchor Points'!$C$8-'Anchor Points'!$C$7),'Anchor Points'!$C$8+(A101-'Anchor Points'!$A$8)/('Anchor Points'!$A$9-'Anchor Points'!$A$8)*('Anchor Points'!$C$9-'Anchor Points'!$C$8)))))))</x:f>
        <x:v>89.5</x:v>
      </x:c>
      <x:c r="E101" s="28" t="n">
        <x:f>IF(A101&lt;=15,'Anchor Points'!$D$2+(A101-'Anchor Points'!$A$2)/('Anchor Points'!$A$3-'Anchor Points'!$A$2)*('Anchor Points'!$D$3-'Anchor Points'!$D$2),IF(A101&lt;=25,'Anchor Points'!$D$3+(A101-'Anchor Points'!$A$3)/('Anchor Points'!$A$4-'Anchor Points'!$A$3)*('Anchor Points'!$D$4-'Anchor Points'!$D$3),IF(A101&lt;=40,'Anchor Points'!$D$4+(A101-'Anchor Points'!$A$4)/('Anchor Points'!$A$5-'Anchor Points'!$A$4)*('Anchor Points'!$D$5-'Anchor Points'!$D$4),IF(A101&lt;=55,'Anchor Points'!$D$5+(A101-'Anchor Points'!$A$5)/('Anchor Points'!$A$6-'Anchor Points'!$A$5)*('Anchor Points'!$D$6-'Anchor Points'!$D$5),IF(A101&lt;=70,'Anchor Points'!$D$6+(A101-'Anchor Points'!$A$6)/('Anchor Points'!$A$7-'Anchor Points'!$A$6)*('Anchor Points'!$D$7-'Anchor Points'!$D$6),IF(A101&lt;=90,'Anchor Points'!$D$7+(A101-'Anchor Points'!$A$7)/('Anchor Points'!$A$8-'Anchor Points'!$A$7)*('Anchor Points'!$D$8-'Anchor Points'!$D$7),'Anchor Points'!$D$8+(A101-'Anchor Points'!$A$8)/('Anchor Points'!$A$9-'Anchor Points'!$A$8)*('Anchor Points'!$D$9-'Anchor Points'!$D$8)))))))</x:f>
        <x:v>7.1</x:v>
      </x:c>
      <x:c r="F101" s="30" t="n">
        <x:f>ROUND(E101,0)</x:f>
        <x:v>7</x:v>
      </x:c>
      <x:c r="G101" s="28" t="n">
        <x:f>IF(A101&lt;=15,'Anchor Points'!$E$2+(A101-'Anchor Points'!$A$2)/('Anchor Points'!$A$3-'Anchor Points'!$A$2)*('Anchor Points'!$E$3-'Anchor Points'!$E$2),IF(A101&lt;=25,'Anchor Points'!$E$3+(A101-'Anchor Points'!$A$3)/('Anchor Points'!$A$4-'Anchor Points'!$A$3)*('Anchor Points'!$E$4-'Anchor Points'!$E$3),IF(A101&lt;=40,'Anchor Points'!$E$4+(A101-'Anchor Points'!$A$4)/('Anchor Points'!$A$5-'Anchor Points'!$A$4)*('Anchor Points'!$E$5-'Anchor Points'!$E$4),IF(A101&lt;=55,'Anchor Points'!$E$5+(A101-'Anchor Points'!$A$5)/('Anchor Points'!$A$6-'Anchor Points'!$A$5)*('Anchor Points'!$E$6-'Anchor Points'!$E$5),IF(A101&lt;=70,'Anchor Points'!$E$6+(A101-'Anchor Points'!$A$6)/('Anchor Points'!$A$7-'Anchor Points'!$A$6)*('Anchor Points'!$E$7-'Anchor Points'!$E$6),IF(A101&lt;=90,'Anchor Points'!$E$7+(A101-'Anchor Points'!$A$7)/('Anchor Points'!$A$8-'Anchor Points'!$A$7)*('Anchor Points'!$E$8-'Anchor Points'!$E$7),'Anchor Points'!$E$8+(A101-'Anchor Points'!$A$8)/('Anchor Points'!$A$9-'Anchor Points'!$A$8)*('Anchor Points'!$E$9-'Anchor Points'!$E$8)))))))</x:f>
        <x:v>10.6</x:v>
      </x:c>
      <x:c r="H101" s="30" t="n">
        <x:f>ROUND(G101,0)</x:f>
        <x:v>11</x:v>
      </x:c>
      <x:c r="I101" s="28" t="n">
        <x:f>IF(A101&lt;=15,'Anchor Points'!$F$2+(A101-'Anchor Points'!$A$2)/('Anchor Points'!$A$3-'Anchor Points'!$A$2)*('Anchor Points'!$F$3-'Anchor Points'!$F$2),IF(A101&lt;=25,'Anchor Points'!$F$3+(A101-'Anchor Points'!$A$3)/('Anchor Points'!$A$4-'Anchor Points'!$A$3)*('Anchor Points'!$F$4-'Anchor Points'!$F$3),IF(A101&lt;=40,'Anchor Points'!$F$4+(A101-'Anchor Points'!$A$4)/('Anchor Points'!$A$5-'Anchor Points'!$A$4)*('Anchor Points'!$F$5-'Anchor Points'!$F$4),IF(A101&lt;=55,'Anchor Points'!$F$5+(A101-'Anchor Points'!$A$5)/('Anchor Points'!$A$6-'Anchor Points'!$A$5)*('Anchor Points'!$F$6-'Anchor Points'!$F$5),IF(A101&lt;=70,'Anchor Points'!$F$6+(A101-'Anchor Points'!$A$6)/('Anchor Points'!$A$7-'Anchor Points'!$A$6)*('Anchor Points'!$F$7-'Anchor Points'!$F$6),IF(A101&lt;=90,'Anchor Points'!$F$7+(A101-'Anchor Points'!$A$7)/('Anchor Points'!$A$8-'Anchor Points'!$A$7)*('Anchor Points'!$F$8-'Anchor Points'!$F$7),'Anchor Points'!$F$8+(A101-'Anchor Points'!$A$8)/('Anchor Points'!$A$9-'Anchor Points'!$A$8)*('Anchor Points'!$F$9-'Anchor Points'!$F$8)))))))</x:f>
        <x:v>51.5</x:v>
      </x:c>
      <x:c r="K101" s="36" t="n">
        <x:f>A77</x:f>
        <x:v>75</x:v>
      </x:c>
      <x:c r="L101" s="36" t="n">
        <x:f>E77</x:f>
        <x:v>11</x:v>
      </x:c>
      <x:c r="M101" s="36" t="n">
        <x:f>G77</x:f>
        <x:v>6.25</x:v>
      </x:c>
      <x:c r="N101" s="36" t="n">
        <x:f>I77</x:f>
        <x:v>31.25</x:v>
      </x:c>
    </x:row>
    <x:row r="102">
      <x:c r="A102" s="30" t="n">
        <x:v>100</x:v>
      </x:c>
      <x:c r="B102" s="11" t="str">
        <x:f>IF(A102&lt;=15,"Seedling",IF(A102&lt;=25,"Establishment",IF(A102&lt;=40,"Vegetative Growth",IF(A102&lt;=55,"Flowering &amp; Initial Fruit Set",IF(A102&lt;=80,"Fruit Enlargement",IF(A102&lt;=95,"Ripening","Harvesting"))))))</x:f>
        <x:v>Harvesting</x:v>
      </x:c>
      <x:c r="C102" s="28" t="n">
        <x:f>IF(A102&lt;=15,'Anchor Points'!$B$2+(A102-'Anchor Points'!$A$2)/('Anchor Points'!$A$3-'Anchor Points'!$A$2)*('Anchor Points'!$B$3-'Anchor Points'!$B$2),IF(A102&lt;=25,'Anchor Points'!$B$3+(A102-'Anchor Points'!$A$3)/('Anchor Points'!$A$4-'Anchor Points'!$A$3)*('Anchor Points'!$B$4-'Anchor Points'!$B$3),IF(A102&lt;=40,'Anchor Points'!$B$4+(A102-'Anchor Points'!$A$4)/('Anchor Points'!$A$5-'Anchor Points'!$A$4)*('Anchor Points'!$B$5-'Anchor Points'!$B$4),IF(A102&lt;=55,'Anchor Points'!$B$5+(A102-'Anchor Points'!$A$5)/('Anchor Points'!$A$6-'Anchor Points'!$A$5)*('Anchor Points'!$B$6-'Anchor Points'!$B$5),IF(A102&lt;=70,'Anchor Points'!$B$6+(A102-'Anchor Points'!$A$6)/('Anchor Points'!$A$7-'Anchor Points'!$A$6)*('Anchor Points'!$B$7-'Anchor Points'!$B$6),IF(A102&lt;=90,'Anchor Points'!$B$7+(A102-'Anchor Points'!$A$7)/('Anchor Points'!$A$8-'Anchor Points'!$A$7)*('Anchor Points'!$B$8-'Anchor Points'!$B$7),'Anchor Points'!$B$8+(A102-'Anchor Points'!$A$8)/('Anchor Points'!$A$9-'Anchor Points'!$A$8)*('Anchor Points'!$B$9-'Anchor Points'!$B$8)))))))</x:f>
        <x:v>84.66666666666667</x:v>
      </x:c>
      <x:c r="D102" s="28" t="n">
        <x:f>IF(A102&lt;=15,'Anchor Points'!$C$2+(A102-'Anchor Points'!$A$2)/('Anchor Points'!$A$3-'Anchor Points'!$A$2)*('Anchor Points'!$C$3-'Anchor Points'!$C$2),IF(A102&lt;=25,'Anchor Points'!$C$3+(A102-'Anchor Points'!$A$3)/('Anchor Points'!$A$4-'Anchor Points'!$A$3)*('Anchor Points'!$C$4-'Anchor Points'!$C$3),IF(A102&lt;=40,'Anchor Points'!$C$4+(A102-'Anchor Points'!$A$4)/('Anchor Points'!$A$5-'Anchor Points'!$A$4)*('Anchor Points'!$C$5-'Anchor Points'!$C$4),IF(A102&lt;=55,'Anchor Points'!$C$5+(A102-'Anchor Points'!$A$5)/('Anchor Points'!$A$6-'Anchor Points'!$A$5)*('Anchor Points'!$C$6-'Anchor Points'!$C$5),IF(A102&lt;=70,'Anchor Points'!$C$6+(A102-'Anchor Points'!$A$6)/('Anchor Points'!$A$7-'Anchor Points'!$A$6)*('Anchor Points'!$C$7-'Anchor Points'!$C$6),IF(A102&lt;=90,'Anchor Points'!$C$7+(A102-'Anchor Points'!$A$7)/('Anchor Points'!$A$8-'Anchor Points'!$A$7)*('Anchor Points'!$C$8-'Anchor Points'!$C$7),'Anchor Points'!$C$8+(A102-'Anchor Points'!$A$8)/('Anchor Points'!$A$9-'Anchor Points'!$A$8)*('Anchor Points'!$C$9-'Anchor Points'!$C$8)))))))</x:f>
        <x:v>90</x:v>
      </x:c>
      <x:c r="E102" s="28" t="n">
        <x:f>IF(A102&lt;=15,'Anchor Points'!$D$2+(A102-'Anchor Points'!$A$2)/('Anchor Points'!$A$3-'Anchor Points'!$A$2)*('Anchor Points'!$D$3-'Anchor Points'!$D$2),IF(A102&lt;=25,'Anchor Points'!$D$3+(A102-'Anchor Points'!$A$3)/('Anchor Points'!$A$4-'Anchor Points'!$A$3)*('Anchor Points'!$D$4-'Anchor Points'!$D$3),IF(A102&lt;=40,'Anchor Points'!$D$4+(A102-'Anchor Points'!$A$4)/('Anchor Points'!$A$5-'Anchor Points'!$A$4)*('Anchor Points'!$D$5-'Anchor Points'!$D$4),IF(A102&lt;=55,'Anchor Points'!$D$5+(A102-'Anchor Points'!$A$5)/('Anchor Points'!$A$6-'Anchor Points'!$A$5)*('Anchor Points'!$D$6-'Anchor Points'!$D$5),IF(A102&lt;=70,'Anchor Points'!$D$6+(A102-'Anchor Points'!$A$6)/('Anchor Points'!$A$7-'Anchor Points'!$A$6)*('Anchor Points'!$D$7-'Anchor Points'!$D$6),IF(A102&lt;=90,'Anchor Points'!$D$7+(A102-'Anchor Points'!$A$7)/('Anchor Points'!$A$8-'Anchor Points'!$A$7)*('Anchor Points'!$D$8-'Anchor Points'!$D$7),'Anchor Points'!$D$8+(A102-'Anchor Points'!$A$8)/('Anchor Points'!$A$9-'Anchor Points'!$A$8)*('Anchor Points'!$D$9-'Anchor Points'!$D$8)))))))</x:f>
        <x:v>7</x:v>
      </x:c>
      <x:c r="F102" s="30" t="n">
        <x:f>ROUND(E102,0)</x:f>
        <x:v>7</x:v>
      </x:c>
      <x:c r="G102" s="28" t="n">
        <x:f>IF(A102&lt;=15,'Anchor Points'!$E$2+(A102-'Anchor Points'!$A$2)/('Anchor Points'!$A$3-'Anchor Points'!$A$2)*('Anchor Points'!$E$3-'Anchor Points'!$E$2),IF(A102&lt;=25,'Anchor Points'!$E$3+(A102-'Anchor Points'!$A$3)/('Anchor Points'!$A$4-'Anchor Points'!$A$3)*('Anchor Points'!$E$4-'Anchor Points'!$E$3),IF(A102&lt;=40,'Anchor Points'!$E$4+(A102-'Anchor Points'!$A$4)/('Anchor Points'!$A$5-'Anchor Points'!$A$4)*('Anchor Points'!$E$5-'Anchor Points'!$E$4),IF(A102&lt;=55,'Anchor Points'!$E$5+(A102-'Anchor Points'!$A$5)/('Anchor Points'!$A$6-'Anchor Points'!$A$5)*('Anchor Points'!$E$6-'Anchor Points'!$E$5),IF(A102&lt;=70,'Anchor Points'!$E$6+(A102-'Anchor Points'!$A$6)/('Anchor Points'!$A$7-'Anchor Points'!$A$6)*('Anchor Points'!$E$7-'Anchor Points'!$E$6),IF(A102&lt;=90,'Anchor Points'!$E$7+(A102-'Anchor Points'!$A$7)/('Anchor Points'!$A$8-'Anchor Points'!$A$7)*('Anchor Points'!$E$8-'Anchor Points'!$E$7),'Anchor Points'!$E$8+(A102-'Anchor Points'!$A$8)/('Anchor Points'!$A$9-'Anchor Points'!$A$8)*('Anchor Points'!$E$9-'Anchor Points'!$E$8)))))))</x:f>
        <x:v>10.666666666666666</x:v>
      </x:c>
      <x:c r="H102" s="30" t="n">
        <x:f>ROUND(G102,0)</x:f>
        <x:v>11</x:v>
      </x:c>
      <x:c r="I102" s="28" t="n">
        <x:f>IF(A102&lt;=15,'Anchor Points'!$F$2+(A102-'Anchor Points'!$A$2)/('Anchor Points'!$A$3-'Anchor Points'!$A$2)*('Anchor Points'!$F$3-'Anchor Points'!$F$2),IF(A102&lt;=25,'Anchor Points'!$F$3+(A102-'Anchor Points'!$A$3)/('Anchor Points'!$A$4-'Anchor Points'!$A$3)*('Anchor Points'!$F$4-'Anchor Points'!$F$3),IF(A102&lt;=40,'Anchor Points'!$F$4+(A102-'Anchor Points'!$A$4)/('Anchor Points'!$A$5-'Anchor Points'!$A$4)*('Anchor Points'!$F$5-'Anchor Points'!$F$4),IF(A102&lt;=55,'Anchor Points'!$F$5+(A102-'Anchor Points'!$A$5)/('Anchor Points'!$A$6-'Anchor Points'!$A$5)*('Anchor Points'!$F$6-'Anchor Points'!$F$5),IF(A102&lt;=70,'Anchor Points'!$F$6+(A102-'Anchor Points'!$A$6)/('Anchor Points'!$A$7-'Anchor Points'!$A$6)*('Anchor Points'!$F$7-'Anchor Points'!$F$6),IF(A102&lt;=90,'Anchor Points'!$F$7+(A102-'Anchor Points'!$A$7)/('Anchor Points'!$A$8-'Anchor Points'!$A$7)*('Anchor Points'!$F$8-'Anchor Points'!$F$7),'Anchor Points'!$F$8+(A102-'Anchor Points'!$A$8)/('Anchor Points'!$A$9-'Anchor Points'!$A$8)*('Anchor Points'!$F$9-'Anchor Points'!$F$8)))))))</x:f>
        <x:v>51.666666666666664</x:v>
      </x:c>
      <x:c r="K102" s="36" t="n">
        <x:f>A78</x:f>
        <x:v>76</x:v>
      </x:c>
      <x:c r="L102" s="36" t="n">
        <x:f>E78</x:f>
        <x:v>10.8</x:v>
      </x:c>
      <x:c r="M102" s="36" t="n">
        <x:f>G78</x:f>
        <x:v>6.5</x:v>
      </x:c>
      <x:c r="N102" s="36" t="n">
        <x:f>I78</x:f>
        <x:v>32.5</x:v>
      </x:c>
    </x:row>
    <x:row r="103">
      <x:c r="A103" s="30" t="n">
        <x:v>101</x:v>
      </x:c>
      <x:c r="B103" s="11" t="str">
        <x:f>IF(A103&lt;=15,"Seedling",IF(A103&lt;=25,"Establishment",IF(A103&lt;=40,"Vegetative Growth",IF(A103&lt;=55,"Flowering &amp; Initial Fruit Set",IF(A103&lt;=80,"Fruit Enlargement",IF(A103&lt;=95,"Ripening","Harvesting"))))))</x:f>
        <x:v>Harvesting</x:v>
      </x:c>
      <x:c r="C103" s="28" t="n">
        <x:f>IF(A103&lt;=15,'Anchor Points'!$B$2+(A103-'Anchor Points'!$A$2)/('Anchor Points'!$A$3-'Anchor Points'!$A$2)*('Anchor Points'!$B$3-'Anchor Points'!$B$2),IF(A103&lt;=25,'Anchor Points'!$B$3+(A103-'Anchor Points'!$A$3)/('Anchor Points'!$A$4-'Anchor Points'!$A$3)*('Anchor Points'!$B$4-'Anchor Points'!$B$3),IF(A103&lt;=40,'Anchor Points'!$B$4+(A103-'Anchor Points'!$A$4)/('Anchor Points'!$A$5-'Anchor Points'!$A$4)*('Anchor Points'!$B$5-'Anchor Points'!$B$4),IF(A103&lt;=55,'Anchor Points'!$B$5+(A103-'Anchor Points'!$A$5)/('Anchor Points'!$A$6-'Anchor Points'!$A$5)*('Anchor Points'!$B$6-'Anchor Points'!$B$5),IF(A103&lt;=70,'Anchor Points'!$B$6+(A103-'Anchor Points'!$A$6)/('Anchor Points'!$A$7-'Anchor Points'!$A$6)*('Anchor Points'!$B$7-'Anchor Points'!$B$6),IF(A103&lt;=90,'Anchor Points'!$B$7+(A103-'Anchor Points'!$A$7)/('Anchor Points'!$A$8-'Anchor Points'!$A$7)*('Anchor Points'!$B$8-'Anchor Points'!$B$7),'Anchor Points'!$B$8+(A103-'Anchor Points'!$A$8)/('Anchor Points'!$A$9-'Anchor Points'!$A$8)*('Anchor Points'!$B$9-'Anchor Points'!$B$8)))))))</x:f>
        <x:v>84.93333333333334</x:v>
      </x:c>
      <x:c r="D103" s="28" t="n">
        <x:f>IF(A103&lt;=15,'Anchor Points'!$C$2+(A103-'Anchor Points'!$A$2)/('Anchor Points'!$A$3-'Anchor Points'!$A$2)*('Anchor Points'!$C$3-'Anchor Points'!$C$2),IF(A103&lt;=25,'Anchor Points'!$C$3+(A103-'Anchor Points'!$A$3)/('Anchor Points'!$A$4-'Anchor Points'!$A$3)*('Anchor Points'!$C$4-'Anchor Points'!$C$3),IF(A103&lt;=40,'Anchor Points'!$C$4+(A103-'Anchor Points'!$A$4)/('Anchor Points'!$A$5-'Anchor Points'!$A$4)*('Anchor Points'!$C$5-'Anchor Points'!$C$4),IF(A103&lt;=55,'Anchor Points'!$C$5+(A103-'Anchor Points'!$A$5)/('Anchor Points'!$A$6-'Anchor Points'!$A$5)*('Anchor Points'!$C$6-'Anchor Points'!$C$5),IF(A103&lt;=70,'Anchor Points'!$C$6+(A103-'Anchor Points'!$A$6)/('Anchor Points'!$A$7-'Anchor Points'!$A$6)*('Anchor Points'!$C$7-'Anchor Points'!$C$6),IF(A103&lt;=90,'Anchor Points'!$C$7+(A103-'Anchor Points'!$A$7)/('Anchor Points'!$A$8-'Anchor Points'!$A$7)*('Anchor Points'!$C$8-'Anchor Points'!$C$7),'Anchor Points'!$C$8+(A103-'Anchor Points'!$A$8)/('Anchor Points'!$A$9-'Anchor Points'!$A$8)*('Anchor Points'!$C$9-'Anchor Points'!$C$8)))))))</x:f>
        <x:v>90.5</x:v>
      </x:c>
      <x:c r="E103" s="28" t="n">
        <x:f>IF(A103&lt;=15,'Anchor Points'!$D$2+(A103-'Anchor Points'!$A$2)/('Anchor Points'!$A$3-'Anchor Points'!$A$2)*('Anchor Points'!$D$3-'Anchor Points'!$D$2),IF(A103&lt;=25,'Anchor Points'!$D$3+(A103-'Anchor Points'!$A$3)/('Anchor Points'!$A$4-'Anchor Points'!$A$3)*('Anchor Points'!$D$4-'Anchor Points'!$D$3),IF(A103&lt;=40,'Anchor Points'!$D$4+(A103-'Anchor Points'!$A$4)/('Anchor Points'!$A$5-'Anchor Points'!$A$4)*('Anchor Points'!$D$5-'Anchor Points'!$D$4),IF(A103&lt;=55,'Anchor Points'!$D$5+(A103-'Anchor Points'!$A$5)/('Anchor Points'!$A$6-'Anchor Points'!$A$5)*('Anchor Points'!$D$6-'Anchor Points'!$D$5),IF(A103&lt;=70,'Anchor Points'!$D$6+(A103-'Anchor Points'!$A$6)/('Anchor Points'!$A$7-'Anchor Points'!$A$6)*('Anchor Points'!$D$7-'Anchor Points'!$D$6),IF(A103&lt;=90,'Anchor Points'!$D$7+(A103-'Anchor Points'!$A$7)/('Anchor Points'!$A$8-'Anchor Points'!$A$7)*('Anchor Points'!$D$8-'Anchor Points'!$D$7),'Anchor Points'!$D$8+(A103-'Anchor Points'!$A$8)/('Anchor Points'!$A$9-'Anchor Points'!$A$8)*('Anchor Points'!$D$9-'Anchor Points'!$D$8)))))))</x:f>
        <x:v>6.9</x:v>
      </x:c>
      <x:c r="F103" s="30" t="n">
        <x:f>ROUND(E103,0)</x:f>
        <x:v>7</x:v>
      </x:c>
      <x:c r="G103" s="28" t="n">
        <x:f>IF(A103&lt;=15,'Anchor Points'!$E$2+(A103-'Anchor Points'!$A$2)/('Anchor Points'!$A$3-'Anchor Points'!$A$2)*('Anchor Points'!$E$3-'Anchor Points'!$E$2),IF(A103&lt;=25,'Anchor Points'!$E$3+(A103-'Anchor Points'!$A$3)/('Anchor Points'!$A$4-'Anchor Points'!$A$3)*('Anchor Points'!$E$4-'Anchor Points'!$E$3),IF(A103&lt;=40,'Anchor Points'!$E$4+(A103-'Anchor Points'!$A$4)/('Anchor Points'!$A$5-'Anchor Points'!$A$4)*('Anchor Points'!$E$5-'Anchor Points'!$E$4),IF(A103&lt;=55,'Anchor Points'!$E$5+(A103-'Anchor Points'!$A$5)/('Anchor Points'!$A$6-'Anchor Points'!$A$5)*('Anchor Points'!$E$6-'Anchor Points'!$E$5),IF(A103&lt;=70,'Anchor Points'!$E$6+(A103-'Anchor Points'!$A$6)/('Anchor Points'!$A$7-'Anchor Points'!$A$6)*('Anchor Points'!$E$7-'Anchor Points'!$E$6),IF(A103&lt;=90,'Anchor Points'!$E$7+(A103-'Anchor Points'!$A$7)/('Anchor Points'!$A$8-'Anchor Points'!$A$7)*('Anchor Points'!$E$8-'Anchor Points'!$E$7),'Anchor Points'!$E$8+(A103-'Anchor Points'!$A$8)/('Anchor Points'!$A$9-'Anchor Points'!$A$8)*('Anchor Points'!$E$9-'Anchor Points'!$E$8)))))))</x:f>
        <x:v>10.733333333333333</x:v>
      </x:c>
      <x:c r="H103" s="30" t="n">
        <x:f>ROUND(G103,0)</x:f>
        <x:v>11</x:v>
      </x:c>
      <x:c r="I103" s="28" t="n">
        <x:f>IF(A103&lt;=15,'Anchor Points'!$F$2+(A103-'Anchor Points'!$A$2)/('Anchor Points'!$A$3-'Anchor Points'!$A$2)*('Anchor Points'!$F$3-'Anchor Points'!$F$2),IF(A103&lt;=25,'Anchor Points'!$F$3+(A103-'Anchor Points'!$A$3)/('Anchor Points'!$A$4-'Anchor Points'!$A$3)*('Anchor Points'!$F$4-'Anchor Points'!$F$3),IF(A103&lt;=40,'Anchor Points'!$F$4+(A103-'Anchor Points'!$A$4)/('Anchor Points'!$A$5-'Anchor Points'!$A$4)*('Anchor Points'!$F$5-'Anchor Points'!$F$4),IF(A103&lt;=55,'Anchor Points'!$F$5+(A103-'Anchor Points'!$A$5)/('Anchor Points'!$A$6-'Anchor Points'!$A$5)*('Anchor Points'!$F$6-'Anchor Points'!$F$5),IF(A103&lt;=70,'Anchor Points'!$F$6+(A103-'Anchor Points'!$A$6)/('Anchor Points'!$A$7-'Anchor Points'!$A$6)*('Anchor Points'!$F$7-'Anchor Points'!$F$6),IF(A103&lt;=90,'Anchor Points'!$F$7+(A103-'Anchor Points'!$A$7)/('Anchor Points'!$A$8-'Anchor Points'!$A$7)*('Anchor Points'!$F$8-'Anchor Points'!$F$7),'Anchor Points'!$F$8+(A103-'Anchor Points'!$A$8)/('Anchor Points'!$A$9-'Anchor Points'!$A$8)*('Anchor Points'!$F$9-'Anchor Points'!$F$8)))))))</x:f>
        <x:v>51.833333333333336</x:v>
      </x:c>
      <x:c r="K103" s="36" t="n">
        <x:f>A79</x:f>
        <x:v>77</x:v>
      </x:c>
      <x:c r="L103" s="36" t="n">
        <x:f>E79</x:f>
        <x:v>10.6</x:v>
      </x:c>
      <x:c r="M103" s="36" t="n">
        <x:f>G79</x:f>
        <x:v>6.75</x:v>
      </x:c>
      <x:c r="N103" s="36" t="n">
        <x:f>I79</x:f>
        <x:v>33.75</x:v>
      </x:c>
    </x:row>
    <x:row r="104">
      <x:c r="A104" s="30" t="n">
        <x:v>102</x:v>
      </x:c>
      <x:c r="B104" s="11" t="str">
        <x:f>IF(A104&lt;=15,"Seedling",IF(A104&lt;=25,"Establishment",IF(A104&lt;=40,"Vegetative Growth",IF(A104&lt;=55,"Flowering &amp; Initial Fruit Set",IF(A104&lt;=80,"Fruit Enlargement",IF(A104&lt;=95,"Ripening","Harvesting"))))))</x:f>
        <x:v>Harvesting</x:v>
      </x:c>
      <x:c r="C104" s="28" t="n">
        <x:f>IF(A104&lt;=15,'Anchor Points'!$B$2+(A104-'Anchor Points'!$A$2)/('Anchor Points'!$A$3-'Anchor Points'!$A$2)*('Anchor Points'!$B$3-'Anchor Points'!$B$2),IF(A104&lt;=25,'Anchor Points'!$B$3+(A104-'Anchor Points'!$A$3)/('Anchor Points'!$A$4-'Anchor Points'!$A$3)*('Anchor Points'!$B$4-'Anchor Points'!$B$3),IF(A104&lt;=40,'Anchor Points'!$B$4+(A104-'Anchor Points'!$A$4)/('Anchor Points'!$A$5-'Anchor Points'!$A$4)*('Anchor Points'!$B$5-'Anchor Points'!$B$4),IF(A104&lt;=55,'Anchor Points'!$B$5+(A104-'Anchor Points'!$A$5)/('Anchor Points'!$A$6-'Anchor Points'!$A$5)*('Anchor Points'!$B$6-'Anchor Points'!$B$5),IF(A104&lt;=70,'Anchor Points'!$B$6+(A104-'Anchor Points'!$A$6)/('Anchor Points'!$A$7-'Anchor Points'!$A$6)*('Anchor Points'!$B$7-'Anchor Points'!$B$6),IF(A104&lt;=90,'Anchor Points'!$B$7+(A104-'Anchor Points'!$A$7)/('Anchor Points'!$A$8-'Anchor Points'!$A$7)*('Anchor Points'!$B$8-'Anchor Points'!$B$7),'Anchor Points'!$B$8+(A104-'Anchor Points'!$A$8)/('Anchor Points'!$A$9-'Anchor Points'!$A$8)*('Anchor Points'!$B$9-'Anchor Points'!$B$8)))))))</x:f>
        <x:v>85.2</x:v>
      </x:c>
      <x:c r="D104" s="28" t="n">
        <x:f>IF(A104&lt;=15,'Anchor Points'!$C$2+(A104-'Anchor Points'!$A$2)/('Anchor Points'!$A$3-'Anchor Points'!$A$2)*('Anchor Points'!$C$3-'Anchor Points'!$C$2),IF(A104&lt;=25,'Anchor Points'!$C$3+(A104-'Anchor Points'!$A$3)/('Anchor Points'!$A$4-'Anchor Points'!$A$3)*('Anchor Points'!$C$4-'Anchor Points'!$C$3),IF(A104&lt;=40,'Anchor Points'!$C$4+(A104-'Anchor Points'!$A$4)/('Anchor Points'!$A$5-'Anchor Points'!$A$4)*('Anchor Points'!$C$5-'Anchor Points'!$C$4),IF(A104&lt;=55,'Anchor Points'!$C$5+(A104-'Anchor Points'!$A$5)/('Anchor Points'!$A$6-'Anchor Points'!$A$5)*('Anchor Points'!$C$6-'Anchor Points'!$C$5),IF(A104&lt;=70,'Anchor Points'!$C$6+(A104-'Anchor Points'!$A$6)/('Anchor Points'!$A$7-'Anchor Points'!$A$6)*('Anchor Points'!$C$7-'Anchor Points'!$C$6),IF(A104&lt;=90,'Anchor Points'!$C$7+(A104-'Anchor Points'!$A$7)/('Anchor Points'!$A$8-'Anchor Points'!$A$7)*('Anchor Points'!$C$8-'Anchor Points'!$C$7),'Anchor Points'!$C$8+(A104-'Anchor Points'!$A$8)/('Anchor Points'!$A$9-'Anchor Points'!$A$8)*('Anchor Points'!$C$9-'Anchor Points'!$C$8)))))))</x:f>
        <x:v>91</x:v>
      </x:c>
      <x:c r="E104" s="28" t="n">
        <x:f>IF(A104&lt;=15,'Anchor Points'!$D$2+(A104-'Anchor Points'!$A$2)/('Anchor Points'!$A$3-'Anchor Points'!$A$2)*('Anchor Points'!$D$3-'Anchor Points'!$D$2),IF(A104&lt;=25,'Anchor Points'!$D$3+(A104-'Anchor Points'!$A$3)/('Anchor Points'!$A$4-'Anchor Points'!$A$3)*('Anchor Points'!$D$4-'Anchor Points'!$D$3),IF(A104&lt;=40,'Anchor Points'!$D$4+(A104-'Anchor Points'!$A$4)/('Anchor Points'!$A$5-'Anchor Points'!$A$4)*('Anchor Points'!$D$5-'Anchor Points'!$D$4),IF(A104&lt;=55,'Anchor Points'!$D$5+(A104-'Anchor Points'!$A$5)/('Anchor Points'!$A$6-'Anchor Points'!$A$5)*('Anchor Points'!$D$6-'Anchor Points'!$D$5),IF(A104&lt;=70,'Anchor Points'!$D$6+(A104-'Anchor Points'!$A$6)/('Anchor Points'!$A$7-'Anchor Points'!$A$6)*('Anchor Points'!$D$7-'Anchor Points'!$D$6),IF(A104&lt;=90,'Anchor Points'!$D$7+(A104-'Anchor Points'!$A$7)/('Anchor Points'!$A$8-'Anchor Points'!$A$7)*('Anchor Points'!$D$8-'Anchor Points'!$D$7),'Anchor Points'!$D$8+(A104-'Anchor Points'!$A$8)/('Anchor Points'!$A$9-'Anchor Points'!$A$8)*('Anchor Points'!$D$9-'Anchor Points'!$D$8)))))))</x:f>
        <x:v>6.8</x:v>
      </x:c>
      <x:c r="F104" s="30" t="n">
        <x:f>ROUND(E104,0)</x:f>
        <x:v>7</x:v>
      </x:c>
      <x:c r="G104" s="28" t="n">
        <x:f>IF(A104&lt;=15,'Anchor Points'!$E$2+(A104-'Anchor Points'!$A$2)/('Anchor Points'!$A$3-'Anchor Points'!$A$2)*('Anchor Points'!$E$3-'Anchor Points'!$E$2),IF(A104&lt;=25,'Anchor Points'!$E$3+(A104-'Anchor Points'!$A$3)/('Anchor Points'!$A$4-'Anchor Points'!$A$3)*('Anchor Points'!$E$4-'Anchor Points'!$E$3),IF(A104&lt;=40,'Anchor Points'!$E$4+(A104-'Anchor Points'!$A$4)/('Anchor Points'!$A$5-'Anchor Points'!$A$4)*('Anchor Points'!$E$5-'Anchor Points'!$E$4),IF(A104&lt;=55,'Anchor Points'!$E$5+(A104-'Anchor Points'!$A$5)/('Anchor Points'!$A$6-'Anchor Points'!$A$5)*('Anchor Points'!$E$6-'Anchor Points'!$E$5),IF(A104&lt;=70,'Anchor Points'!$E$6+(A104-'Anchor Points'!$A$6)/('Anchor Points'!$A$7-'Anchor Points'!$A$6)*('Anchor Points'!$E$7-'Anchor Points'!$E$6),IF(A104&lt;=90,'Anchor Points'!$E$7+(A104-'Anchor Points'!$A$7)/('Anchor Points'!$A$8-'Anchor Points'!$A$7)*('Anchor Points'!$E$8-'Anchor Points'!$E$7),'Anchor Points'!$E$8+(A104-'Anchor Points'!$A$8)/('Anchor Points'!$A$9-'Anchor Points'!$A$8)*('Anchor Points'!$E$9-'Anchor Points'!$E$8)))))))</x:f>
        <x:v>10.8</x:v>
      </x:c>
      <x:c r="H104" s="30" t="n">
        <x:f>ROUND(G104,0)</x:f>
        <x:v>11</x:v>
      </x:c>
      <x:c r="I104" s="28" t="n">
        <x:f>IF(A104&lt;=15,'Anchor Points'!$F$2+(A104-'Anchor Points'!$A$2)/('Anchor Points'!$A$3-'Anchor Points'!$A$2)*('Anchor Points'!$F$3-'Anchor Points'!$F$2),IF(A104&lt;=25,'Anchor Points'!$F$3+(A104-'Anchor Points'!$A$3)/('Anchor Points'!$A$4-'Anchor Points'!$A$3)*('Anchor Points'!$F$4-'Anchor Points'!$F$3),IF(A104&lt;=40,'Anchor Points'!$F$4+(A104-'Anchor Points'!$A$4)/('Anchor Points'!$A$5-'Anchor Points'!$A$4)*('Anchor Points'!$F$5-'Anchor Points'!$F$4),IF(A104&lt;=55,'Anchor Points'!$F$5+(A104-'Anchor Points'!$A$5)/('Anchor Points'!$A$6-'Anchor Points'!$A$5)*('Anchor Points'!$F$6-'Anchor Points'!$F$5),IF(A104&lt;=70,'Anchor Points'!$F$6+(A104-'Anchor Points'!$A$6)/('Anchor Points'!$A$7-'Anchor Points'!$A$6)*('Anchor Points'!$F$7-'Anchor Points'!$F$6),IF(A104&lt;=90,'Anchor Points'!$F$7+(A104-'Anchor Points'!$A$7)/('Anchor Points'!$A$8-'Anchor Points'!$A$7)*('Anchor Points'!$F$8-'Anchor Points'!$F$7),'Anchor Points'!$F$8+(A104-'Anchor Points'!$A$8)/('Anchor Points'!$A$9-'Anchor Points'!$A$8)*('Anchor Points'!$F$9-'Anchor Points'!$F$8)))))))</x:f>
        <x:v>52</x:v>
      </x:c>
      <x:c r="K104" s="36" t="n">
        <x:f>A80</x:f>
        <x:v>78</x:v>
      </x:c>
      <x:c r="L104" s="36" t="n">
        <x:f>E80</x:f>
        <x:v>10.4</x:v>
      </x:c>
      <x:c r="M104" s="36" t="n">
        <x:f>G80</x:f>
        <x:v>7</x:v>
      </x:c>
      <x:c r="N104" s="36" t="n">
        <x:f>I80</x:f>
        <x:v>35</x:v>
      </x:c>
    </x:row>
    <x:row r="105">
      <x:c r="A105" s="30" t="n">
        <x:v>103</x:v>
      </x:c>
      <x:c r="B105" s="11" t="str">
        <x:f>IF(A105&lt;=15,"Seedling",IF(A105&lt;=25,"Establishment",IF(A105&lt;=40,"Vegetative Growth",IF(A105&lt;=55,"Flowering &amp; Initial Fruit Set",IF(A105&lt;=80,"Fruit Enlargement",IF(A105&lt;=95,"Ripening","Harvesting"))))))</x:f>
        <x:v>Harvesting</x:v>
      </x:c>
      <x:c r="C105" s="28" t="n">
        <x:f>IF(A105&lt;=15,'Anchor Points'!$B$2+(A105-'Anchor Points'!$A$2)/('Anchor Points'!$A$3-'Anchor Points'!$A$2)*('Anchor Points'!$B$3-'Anchor Points'!$B$2),IF(A105&lt;=25,'Anchor Points'!$B$3+(A105-'Anchor Points'!$A$3)/('Anchor Points'!$A$4-'Anchor Points'!$A$3)*('Anchor Points'!$B$4-'Anchor Points'!$B$3),IF(A105&lt;=40,'Anchor Points'!$B$4+(A105-'Anchor Points'!$A$4)/('Anchor Points'!$A$5-'Anchor Points'!$A$4)*('Anchor Points'!$B$5-'Anchor Points'!$B$4),IF(A105&lt;=55,'Anchor Points'!$B$5+(A105-'Anchor Points'!$A$5)/('Anchor Points'!$A$6-'Anchor Points'!$A$5)*('Anchor Points'!$B$6-'Anchor Points'!$B$5),IF(A105&lt;=70,'Anchor Points'!$B$6+(A105-'Anchor Points'!$A$6)/('Anchor Points'!$A$7-'Anchor Points'!$A$6)*('Anchor Points'!$B$7-'Anchor Points'!$B$6),IF(A105&lt;=90,'Anchor Points'!$B$7+(A105-'Anchor Points'!$A$7)/('Anchor Points'!$A$8-'Anchor Points'!$A$7)*('Anchor Points'!$B$8-'Anchor Points'!$B$7),'Anchor Points'!$B$8+(A105-'Anchor Points'!$A$8)/('Anchor Points'!$A$9-'Anchor Points'!$A$8)*('Anchor Points'!$B$9-'Anchor Points'!$B$8)))))))</x:f>
        <x:v>85.46666666666667</x:v>
      </x:c>
      <x:c r="D105" s="28" t="n">
        <x:f>IF(A105&lt;=15,'Anchor Points'!$C$2+(A105-'Anchor Points'!$A$2)/('Anchor Points'!$A$3-'Anchor Points'!$A$2)*('Anchor Points'!$C$3-'Anchor Points'!$C$2),IF(A105&lt;=25,'Anchor Points'!$C$3+(A105-'Anchor Points'!$A$3)/('Anchor Points'!$A$4-'Anchor Points'!$A$3)*('Anchor Points'!$C$4-'Anchor Points'!$C$3),IF(A105&lt;=40,'Anchor Points'!$C$4+(A105-'Anchor Points'!$A$4)/('Anchor Points'!$A$5-'Anchor Points'!$A$4)*('Anchor Points'!$C$5-'Anchor Points'!$C$4),IF(A105&lt;=55,'Anchor Points'!$C$5+(A105-'Anchor Points'!$A$5)/('Anchor Points'!$A$6-'Anchor Points'!$A$5)*('Anchor Points'!$C$6-'Anchor Points'!$C$5),IF(A105&lt;=70,'Anchor Points'!$C$6+(A105-'Anchor Points'!$A$6)/('Anchor Points'!$A$7-'Anchor Points'!$A$6)*('Anchor Points'!$C$7-'Anchor Points'!$C$6),IF(A105&lt;=90,'Anchor Points'!$C$7+(A105-'Anchor Points'!$A$7)/('Anchor Points'!$A$8-'Anchor Points'!$A$7)*('Anchor Points'!$C$8-'Anchor Points'!$C$7),'Anchor Points'!$C$8+(A105-'Anchor Points'!$A$8)/('Anchor Points'!$A$9-'Anchor Points'!$A$8)*('Anchor Points'!$C$9-'Anchor Points'!$C$8)))))))</x:f>
        <x:v>91.5</x:v>
      </x:c>
      <x:c r="E105" s="28" t="n">
        <x:f>IF(A105&lt;=15,'Anchor Points'!$D$2+(A105-'Anchor Points'!$A$2)/('Anchor Points'!$A$3-'Anchor Points'!$A$2)*('Anchor Points'!$D$3-'Anchor Points'!$D$2),IF(A105&lt;=25,'Anchor Points'!$D$3+(A105-'Anchor Points'!$A$3)/('Anchor Points'!$A$4-'Anchor Points'!$A$3)*('Anchor Points'!$D$4-'Anchor Points'!$D$3),IF(A105&lt;=40,'Anchor Points'!$D$4+(A105-'Anchor Points'!$A$4)/('Anchor Points'!$A$5-'Anchor Points'!$A$4)*('Anchor Points'!$D$5-'Anchor Points'!$D$4),IF(A105&lt;=55,'Anchor Points'!$D$5+(A105-'Anchor Points'!$A$5)/('Anchor Points'!$A$6-'Anchor Points'!$A$5)*('Anchor Points'!$D$6-'Anchor Points'!$D$5),IF(A105&lt;=70,'Anchor Points'!$D$6+(A105-'Anchor Points'!$A$6)/('Anchor Points'!$A$7-'Anchor Points'!$A$6)*('Anchor Points'!$D$7-'Anchor Points'!$D$6),IF(A105&lt;=90,'Anchor Points'!$D$7+(A105-'Anchor Points'!$A$7)/('Anchor Points'!$A$8-'Anchor Points'!$A$7)*('Anchor Points'!$D$8-'Anchor Points'!$D$7),'Anchor Points'!$D$8+(A105-'Anchor Points'!$A$8)/('Anchor Points'!$A$9-'Anchor Points'!$A$8)*('Anchor Points'!$D$9-'Anchor Points'!$D$8)))))))</x:f>
        <x:v>6.7</x:v>
      </x:c>
      <x:c r="F105" s="30" t="n">
        <x:f>ROUND(E105,0)</x:f>
        <x:v>7</x:v>
      </x:c>
      <x:c r="G105" s="28" t="n">
        <x:f>IF(A105&lt;=15,'Anchor Points'!$E$2+(A105-'Anchor Points'!$A$2)/('Anchor Points'!$A$3-'Anchor Points'!$A$2)*('Anchor Points'!$E$3-'Anchor Points'!$E$2),IF(A105&lt;=25,'Anchor Points'!$E$3+(A105-'Anchor Points'!$A$3)/('Anchor Points'!$A$4-'Anchor Points'!$A$3)*('Anchor Points'!$E$4-'Anchor Points'!$E$3),IF(A105&lt;=40,'Anchor Points'!$E$4+(A105-'Anchor Points'!$A$4)/('Anchor Points'!$A$5-'Anchor Points'!$A$4)*('Anchor Points'!$E$5-'Anchor Points'!$E$4),IF(A105&lt;=55,'Anchor Points'!$E$5+(A105-'Anchor Points'!$A$5)/('Anchor Points'!$A$6-'Anchor Points'!$A$5)*('Anchor Points'!$E$6-'Anchor Points'!$E$5),IF(A105&lt;=70,'Anchor Points'!$E$6+(A105-'Anchor Points'!$A$6)/('Anchor Points'!$A$7-'Anchor Points'!$A$6)*('Anchor Points'!$E$7-'Anchor Points'!$E$6),IF(A105&lt;=90,'Anchor Points'!$E$7+(A105-'Anchor Points'!$A$7)/('Anchor Points'!$A$8-'Anchor Points'!$A$7)*('Anchor Points'!$E$8-'Anchor Points'!$E$7),'Anchor Points'!$E$8+(A105-'Anchor Points'!$A$8)/('Anchor Points'!$A$9-'Anchor Points'!$A$8)*('Anchor Points'!$E$9-'Anchor Points'!$E$8)))))))</x:f>
        <x:v>10.866666666666667</x:v>
      </x:c>
      <x:c r="H105" s="30" t="n">
        <x:f>ROUND(G105,0)</x:f>
        <x:v>11</x:v>
      </x:c>
      <x:c r="I105" s="28" t="n">
        <x:f>IF(A105&lt;=15,'Anchor Points'!$F$2+(A105-'Anchor Points'!$A$2)/('Anchor Points'!$A$3-'Anchor Points'!$A$2)*('Anchor Points'!$F$3-'Anchor Points'!$F$2),IF(A105&lt;=25,'Anchor Points'!$F$3+(A105-'Anchor Points'!$A$3)/('Anchor Points'!$A$4-'Anchor Points'!$A$3)*('Anchor Points'!$F$4-'Anchor Points'!$F$3),IF(A105&lt;=40,'Anchor Points'!$F$4+(A105-'Anchor Points'!$A$4)/('Anchor Points'!$A$5-'Anchor Points'!$A$4)*('Anchor Points'!$F$5-'Anchor Points'!$F$4),IF(A105&lt;=55,'Anchor Points'!$F$5+(A105-'Anchor Points'!$A$5)/('Anchor Points'!$A$6-'Anchor Points'!$A$5)*('Anchor Points'!$F$6-'Anchor Points'!$F$5),IF(A105&lt;=70,'Anchor Points'!$F$6+(A105-'Anchor Points'!$A$6)/('Anchor Points'!$A$7-'Anchor Points'!$A$6)*('Anchor Points'!$F$7-'Anchor Points'!$F$6),IF(A105&lt;=90,'Anchor Points'!$F$7+(A105-'Anchor Points'!$A$7)/('Anchor Points'!$A$8-'Anchor Points'!$A$7)*('Anchor Points'!$F$8-'Anchor Points'!$F$7),'Anchor Points'!$F$8+(A105-'Anchor Points'!$A$8)/('Anchor Points'!$A$9-'Anchor Points'!$A$8)*('Anchor Points'!$F$9-'Anchor Points'!$F$8)))))))</x:f>
        <x:v>52.166666666666664</x:v>
      </x:c>
      <x:c r="K105" s="36" t="n">
        <x:f>A81</x:f>
        <x:v>79</x:v>
      </x:c>
      <x:c r="L105" s="36" t="n">
        <x:f>E81</x:f>
        <x:v>10.2</x:v>
      </x:c>
      <x:c r="M105" s="36" t="n">
        <x:f>G81</x:f>
        <x:v>7.25</x:v>
      </x:c>
      <x:c r="N105" s="36" t="n">
        <x:f>I81</x:f>
        <x:v>36.25</x:v>
      </x:c>
    </x:row>
    <x:row r="106">
      <x:c r="A106" s="30" t="n">
        <x:v>104</x:v>
      </x:c>
      <x:c r="B106" s="11" t="str">
        <x:f>IF(A106&lt;=15,"Seedling",IF(A106&lt;=25,"Establishment",IF(A106&lt;=40,"Vegetative Growth",IF(A106&lt;=55,"Flowering &amp; Initial Fruit Set",IF(A106&lt;=80,"Fruit Enlargement",IF(A106&lt;=95,"Ripening","Harvesting"))))))</x:f>
        <x:v>Harvesting</x:v>
      </x:c>
      <x:c r="C106" s="28" t="n">
        <x:f>IF(A106&lt;=15,'Anchor Points'!$B$2+(A106-'Anchor Points'!$A$2)/('Anchor Points'!$A$3-'Anchor Points'!$A$2)*('Anchor Points'!$B$3-'Anchor Points'!$B$2),IF(A106&lt;=25,'Anchor Points'!$B$3+(A106-'Anchor Points'!$A$3)/('Anchor Points'!$A$4-'Anchor Points'!$A$3)*('Anchor Points'!$B$4-'Anchor Points'!$B$3),IF(A106&lt;=40,'Anchor Points'!$B$4+(A106-'Anchor Points'!$A$4)/('Anchor Points'!$A$5-'Anchor Points'!$A$4)*('Anchor Points'!$B$5-'Anchor Points'!$B$4),IF(A106&lt;=55,'Anchor Points'!$B$5+(A106-'Anchor Points'!$A$5)/('Anchor Points'!$A$6-'Anchor Points'!$A$5)*('Anchor Points'!$B$6-'Anchor Points'!$B$5),IF(A106&lt;=70,'Anchor Points'!$B$6+(A106-'Anchor Points'!$A$6)/('Anchor Points'!$A$7-'Anchor Points'!$A$6)*('Anchor Points'!$B$7-'Anchor Points'!$B$6),IF(A106&lt;=90,'Anchor Points'!$B$7+(A106-'Anchor Points'!$A$7)/('Anchor Points'!$A$8-'Anchor Points'!$A$7)*('Anchor Points'!$B$8-'Anchor Points'!$B$7),'Anchor Points'!$B$8+(A106-'Anchor Points'!$A$8)/('Anchor Points'!$A$9-'Anchor Points'!$A$8)*('Anchor Points'!$B$9-'Anchor Points'!$B$8)))))))</x:f>
        <x:v>85.73333333333333</x:v>
      </x:c>
      <x:c r="D106" s="28" t="n">
        <x:f>IF(A106&lt;=15,'Anchor Points'!$C$2+(A106-'Anchor Points'!$A$2)/('Anchor Points'!$A$3-'Anchor Points'!$A$2)*('Anchor Points'!$C$3-'Anchor Points'!$C$2),IF(A106&lt;=25,'Anchor Points'!$C$3+(A106-'Anchor Points'!$A$3)/('Anchor Points'!$A$4-'Anchor Points'!$A$3)*('Anchor Points'!$C$4-'Anchor Points'!$C$3),IF(A106&lt;=40,'Anchor Points'!$C$4+(A106-'Anchor Points'!$A$4)/('Anchor Points'!$A$5-'Anchor Points'!$A$4)*('Anchor Points'!$C$5-'Anchor Points'!$C$4),IF(A106&lt;=55,'Anchor Points'!$C$5+(A106-'Anchor Points'!$A$5)/('Anchor Points'!$A$6-'Anchor Points'!$A$5)*('Anchor Points'!$C$6-'Anchor Points'!$C$5),IF(A106&lt;=70,'Anchor Points'!$C$6+(A106-'Anchor Points'!$A$6)/('Anchor Points'!$A$7-'Anchor Points'!$A$6)*('Anchor Points'!$C$7-'Anchor Points'!$C$6),IF(A106&lt;=90,'Anchor Points'!$C$7+(A106-'Anchor Points'!$A$7)/('Anchor Points'!$A$8-'Anchor Points'!$A$7)*('Anchor Points'!$C$8-'Anchor Points'!$C$7),'Anchor Points'!$C$8+(A106-'Anchor Points'!$A$8)/('Anchor Points'!$A$9-'Anchor Points'!$A$8)*('Anchor Points'!$C$9-'Anchor Points'!$C$8)))))))</x:f>
        <x:v>92</x:v>
      </x:c>
      <x:c r="E106" s="28" t="n">
        <x:f>IF(A106&lt;=15,'Anchor Points'!$D$2+(A106-'Anchor Points'!$A$2)/('Anchor Points'!$A$3-'Anchor Points'!$A$2)*('Anchor Points'!$D$3-'Anchor Points'!$D$2),IF(A106&lt;=25,'Anchor Points'!$D$3+(A106-'Anchor Points'!$A$3)/('Anchor Points'!$A$4-'Anchor Points'!$A$3)*('Anchor Points'!$D$4-'Anchor Points'!$D$3),IF(A106&lt;=40,'Anchor Points'!$D$4+(A106-'Anchor Points'!$A$4)/('Anchor Points'!$A$5-'Anchor Points'!$A$4)*('Anchor Points'!$D$5-'Anchor Points'!$D$4),IF(A106&lt;=55,'Anchor Points'!$D$5+(A106-'Anchor Points'!$A$5)/('Anchor Points'!$A$6-'Anchor Points'!$A$5)*('Anchor Points'!$D$6-'Anchor Points'!$D$5),IF(A106&lt;=70,'Anchor Points'!$D$6+(A106-'Anchor Points'!$A$6)/('Anchor Points'!$A$7-'Anchor Points'!$A$6)*('Anchor Points'!$D$7-'Anchor Points'!$D$6),IF(A106&lt;=90,'Anchor Points'!$D$7+(A106-'Anchor Points'!$A$7)/('Anchor Points'!$A$8-'Anchor Points'!$A$7)*('Anchor Points'!$D$8-'Anchor Points'!$D$7),'Anchor Points'!$D$8+(A106-'Anchor Points'!$A$8)/('Anchor Points'!$A$9-'Anchor Points'!$A$8)*('Anchor Points'!$D$9-'Anchor Points'!$D$8)))))))</x:f>
        <x:v>6.6</x:v>
      </x:c>
      <x:c r="F106" s="30" t="n">
        <x:f>ROUND(E106,0)</x:f>
        <x:v>7</x:v>
      </x:c>
      <x:c r="G106" s="28" t="n">
        <x:f>IF(A106&lt;=15,'Anchor Points'!$E$2+(A106-'Anchor Points'!$A$2)/('Anchor Points'!$A$3-'Anchor Points'!$A$2)*('Anchor Points'!$E$3-'Anchor Points'!$E$2),IF(A106&lt;=25,'Anchor Points'!$E$3+(A106-'Anchor Points'!$A$3)/('Anchor Points'!$A$4-'Anchor Points'!$A$3)*('Anchor Points'!$E$4-'Anchor Points'!$E$3),IF(A106&lt;=40,'Anchor Points'!$E$4+(A106-'Anchor Points'!$A$4)/('Anchor Points'!$A$5-'Anchor Points'!$A$4)*('Anchor Points'!$E$5-'Anchor Points'!$E$4),IF(A106&lt;=55,'Anchor Points'!$E$5+(A106-'Anchor Points'!$A$5)/('Anchor Points'!$A$6-'Anchor Points'!$A$5)*('Anchor Points'!$E$6-'Anchor Points'!$E$5),IF(A106&lt;=70,'Anchor Points'!$E$6+(A106-'Anchor Points'!$A$6)/('Anchor Points'!$A$7-'Anchor Points'!$A$6)*('Anchor Points'!$E$7-'Anchor Points'!$E$6),IF(A106&lt;=90,'Anchor Points'!$E$7+(A106-'Anchor Points'!$A$7)/('Anchor Points'!$A$8-'Anchor Points'!$A$7)*('Anchor Points'!$E$8-'Anchor Points'!$E$7),'Anchor Points'!$E$8+(A106-'Anchor Points'!$A$8)/('Anchor Points'!$A$9-'Anchor Points'!$A$8)*('Anchor Points'!$E$9-'Anchor Points'!$E$8)))))))</x:f>
        <x:v>10.933333333333334</x:v>
      </x:c>
      <x:c r="H106" s="30" t="n">
        <x:f>ROUND(G106,0)</x:f>
        <x:v>11</x:v>
      </x:c>
      <x:c r="I106" s="28" t="n">
        <x:f>IF(A106&lt;=15,'Anchor Points'!$F$2+(A106-'Anchor Points'!$A$2)/('Anchor Points'!$A$3-'Anchor Points'!$A$2)*('Anchor Points'!$F$3-'Anchor Points'!$F$2),IF(A106&lt;=25,'Anchor Points'!$F$3+(A106-'Anchor Points'!$A$3)/('Anchor Points'!$A$4-'Anchor Points'!$A$3)*('Anchor Points'!$F$4-'Anchor Points'!$F$3),IF(A106&lt;=40,'Anchor Points'!$F$4+(A106-'Anchor Points'!$A$4)/('Anchor Points'!$A$5-'Anchor Points'!$A$4)*('Anchor Points'!$F$5-'Anchor Points'!$F$4),IF(A106&lt;=55,'Anchor Points'!$F$5+(A106-'Anchor Points'!$A$5)/('Anchor Points'!$A$6-'Anchor Points'!$A$5)*('Anchor Points'!$F$6-'Anchor Points'!$F$5),IF(A106&lt;=70,'Anchor Points'!$F$6+(A106-'Anchor Points'!$A$6)/('Anchor Points'!$A$7-'Anchor Points'!$A$6)*('Anchor Points'!$F$7-'Anchor Points'!$F$6),IF(A106&lt;=90,'Anchor Points'!$F$7+(A106-'Anchor Points'!$A$7)/('Anchor Points'!$A$8-'Anchor Points'!$A$7)*('Anchor Points'!$F$8-'Anchor Points'!$F$7),'Anchor Points'!$F$8+(A106-'Anchor Points'!$A$8)/('Anchor Points'!$A$9-'Anchor Points'!$A$8)*('Anchor Points'!$F$9-'Anchor Points'!$F$8)))))))</x:f>
        <x:v>52.333333333333336</x:v>
      </x:c>
      <x:c r="K106" s="36" t="n">
        <x:f>A82</x:f>
        <x:v>80</x:v>
      </x:c>
      <x:c r="L106" s="36" t="n">
        <x:f>E82</x:f>
        <x:v>10</x:v>
      </x:c>
      <x:c r="M106" s="36" t="n">
        <x:f>G82</x:f>
        <x:v>7.5</x:v>
      </x:c>
      <x:c r="N106" s="36" t="n">
        <x:f>I82</x:f>
        <x:v>37.5</x:v>
      </x:c>
    </x:row>
    <x:row r="107">
      <x:c r="A107" s="30" t="n">
        <x:v>105</x:v>
      </x:c>
      <x:c r="B107" s="11" t="str">
        <x:f>IF(A107&lt;=15,"Seedling",IF(A107&lt;=25,"Establishment",IF(A107&lt;=40,"Vegetative Growth",IF(A107&lt;=55,"Flowering &amp; Initial Fruit Set",IF(A107&lt;=80,"Fruit Enlargement",IF(A107&lt;=95,"Ripening","Harvesting"))))))</x:f>
        <x:v>Harvesting</x:v>
      </x:c>
      <x:c r="C107" s="28" t="n">
        <x:f>IF(A107&lt;=15,'Anchor Points'!$B$2+(A107-'Anchor Points'!$A$2)/('Anchor Points'!$A$3-'Anchor Points'!$A$2)*('Anchor Points'!$B$3-'Anchor Points'!$B$2),IF(A107&lt;=25,'Anchor Points'!$B$3+(A107-'Anchor Points'!$A$3)/('Anchor Points'!$A$4-'Anchor Points'!$A$3)*('Anchor Points'!$B$4-'Anchor Points'!$B$3),IF(A107&lt;=40,'Anchor Points'!$B$4+(A107-'Anchor Points'!$A$4)/('Anchor Points'!$A$5-'Anchor Points'!$A$4)*('Anchor Points'!$B$5-'Anchor Points'!$B$4),IF(A107&lt;=55,'Anchor Points'!$B$5+(A107-'Anchor Points'!$A$5)/('Anchor Points'!$A$6-'Anchor Points'!$A$5)*('Anchor Points'!$B$6-'Anchor Points'!$B$5),IF(A107&lt;=70,'Anchor Points'!$B$6+(A107-'Anchor Points'!$A$6)/('Anchor Points'!$A$7-'Anchor Points'!$A$6)*('Anchor Points'!$B$7-'Anchor Points'!$B$6),IF(A107&lt;=90,'Anchor Points'!$B$7+(A107-'Anchor Points'!$A$7)/('Anchor Points'!$A$8-'Anchor Points'!$A$7)*('Anchor Points'!$B$8-'Anchor Points'!$B$7),'Anchor Points'!$B$8+(A107-'Anchor Points'!$A$8)/('Anchor Points'!$A$9-'Anchor Points'!$A$8)*('Anchor Points'!$B$9-'Anchor Points'!$B$8)))))))</x:f>
        <x:v>86</x:v>
      </x:c>
      <x:c r="D107" s="28" t="n">
        <x:f>IF(A107&lt;=15,'Anchor Points'!$C$2+(A107-'Anchor Points'!$A$2)/('Anchor Points'!$A$3-'Anchor Points'!$A$2)*('Anchor Points'!$C$3-'Anchor Points'!$C$2),IF(A107&lt;=25,'Anchor Points'!$C$3+(A107-'Anchor Points'!$A$3)/('Anchor Points'!$A$4-'Anchor Points'!$A$3)*('Anchor Points'!$C$4-'Anchor Points'!$C$3),IF(A107&lt;=40,'Anchor Points'!$C$4+(A107-'Anchor Points'!$A$4)/('Anchor Points'!$A$5-'Anchor Points'!$A$4)*('Anchor Points'!$C$5-'Anchor Points'!$C$4),IF(A107&lt;=55,'Anchor Points'!$C$5+(A107-'Anchor Points'!$A$5)/('Anchor Points'!$A$6-'Anchor Points'!$A$5)*('Anchor Points'!$C$6-'Anchor Points'!$C$5),IF(A107&lt;=70,'Anchor Points'!$C$6+(A107-'Anchor Points'!$A$6)/('Anchor Points'!$A$7-'Anchor Points'!$A$6)*('Anchor Points'!$C$7-'Anchor Points'!$C$6),IF(A107&lt;=90,'Anchor Points'!$C$7+(A107-'Anchor Points'!$A$7)/('Anchor Points'!$A$8-'Anchor Points'!$A$7)*('Anchor Points'!$C$8-'Anchor Points'!$C$7),'Anchor Points'!$C$8+(A107-'Anchor Points'!$A$8)/('Anchor Points'!$A$9-'Anchor Points'!$A$8)*('Anchor Points'!$C$9-'Anchor Points'!$C$8)))))))</x:f>
        <x:v>92.5</x:v>
      </x:c>
      <x:c r="E107" s="28" t="n">
        <x:f>IF(A107&lt;=15,'Anchor Points'!$D$2+(A107-'Anchor Points'!$A$2)/('Anchor Points'!$A$3-'Anchor Points'!$A$2)*('Anchor Points'!$D$3-'Anchor Points'!$D$2),IF(A107&lt;=25,'Anchor Points'!$D$3+(A107-'Anchor Points'!$A$3)/('Anchor Points'!$A$4-'Anchor Points'!$A$3)*('Anchor Points'!$D$4-'Anchor Points'!$D$3),IF(A107&lt;=40,'Anchor Points'!$D$4+(A107-'Anchor Points'!$A$4)/('Anchor Points'!$A$5-'Anchor Points'!$A$4)*('Anchor Points'!$D$5-'Anchor Points'!$D$4),IF(A107&lt;=55,'Anchor Points'!$D$5+(A107-'Anchor Points'!$A$5)/('Anchor Points'!$A$6-'Anchor Points'!$A$5)*('Anchor Points'!$D$6-'Anchor Points'!$D$5),IF(A107&lt;=70,'Anchor Points'!$D$6+(A107-'Anchor Points'!$A$6)/('Anchor Points'!$A$7-'Anchor Points'!$A$6)*('Anchor Points'!$D$7-'Anchor Points'!$D$6),IF(A107&lt;=90,'Anchor Points'!$D$7+(A107-'Anchor Points'!$A$7)/('Anchor Points'!$A$8-'Anchor Points'!$A$7)*('Anchor Points'!$D$8-'Anchor Points'!$D$7),'Anchor Points'!$D$8+(A107-'Anchor Points'!$A$8)/('Anchor Points'!$A$9-'Anchor Points'!$A$8)*('Anchor Points'!$D$9-'Anchor Points'!$D$8)))))))</x:f>
        <x:v>6.5</x:v>
      </x:c>
      <x:c r="F107" s="30" t="n">
        <x:f>ROUND(E107,0)</x:f>
        <x:v>7</x:v>
      </x:c>
      <x:c r="G107" s="28" t="n">
        <x:f>IF(A107&lt;=15,'Anchor Points'!$E$2+(A107-'Anchor Points'!$A$2)/('Anchor Points'!$A$3-'Anchor Points'!$A$2)*('Anchor Points'!$E$3-'Anchor Points'!$E$2),IF(A107&lt;=25,'Anchor Points'!$E$3+(A107-'Anchor Points'!$A$3)/('Anchor Points'!$A$4-'Anchor Points'!$A$3)*('Anchor Points'!$E$4-'Anchor Points'!$E$3),IF(A107&lt;=40,'Anchor Points'!$E$4+(A107-'Anchor Points'!$A$4)/('Anchor Points'!$A$5-'Anchor Points'!$A$4)*('Anchor Points'!$E$5-'Anchor Points'!$E$4),IF(A107&lt;=55,'Anchor Points'!$E$5+(A107-'Anchor Points'!$A$5)/('Anchor Points'!$A$6-'Anchor Points'!$A$5)*('Anchor Points'!$E$6-'Anchor Points'!$E$5),IF(A107&lt;=70,'Anchor Points'!$E$6+(A107-'Anchor Points'!$A$6)/('Anchor Points'!$A$7-'Anchor Points'!$A$6)*('Anchor Points'!$E$7-'Anchor Points'!$E$6),IF(A107&lt;=90,'Anchor Points'!$E$7+(A107-'Anchor Points'!$A$7)/('Anchor Points'!$A$8-'Anchor Points'!$A$7)*('Anchor Points'!$E$8-'Anchor Points'!$E$7),'Anchor Points'!$E$8+(A107-'Anchor Points'!$A$8)/('Anchor Points'!$A$9-'Anchor Points'!$A$8)*('Anchor Points'!$E$9-'Anchor Points'!$E$8)))))))</x:f>
        <x:v>11</x:v>
      </x:c>
      <x:c r="H107" s="30" t="n">
        <x:f>ROUND(G107,0)</x:f>
        <x:v>11</x:v>
      </x:c>
      <x:c r="I107" s="28" t="n">
        <x:f>IF(A107&lt;=15,'Anchor Points'!$F$2+(A107-'Anchor Points'!$A$2)/('Anchor Points'!$A$3-'Anchor Points'!$A$2)*('Anchor Points'!$F$3-'Anchor Points'!$F$2),IF(A107&lt;=25,'Anchor Points'!$F$3+(A107-'Anchor Points'!$A$3)/('Anchor Points'!$A$4-'Anchor Points'!$A$3)*('Anchor Points'!$F$4-'Anchor Points'!$F$3),IF(A107&lt;=40,'Anchor Points'!$F$4+(A107-'Anchor Points'!$A$4)/('Anchor Points'!$A$5-'Anchor Points'!$A$4)*('Anchor Points'!$F$5-'Anchor Points'!$F$4),IF(A107&lt;=55,'Anchor Points'!$F$5+(A107-'Anchor Points'!$A$5)/('Anchor Points'!$A$6-'Anchor Points'!$A$5)*('Anchor Points'!$F$6-'Anchor Points'!$F$5),IF(A107&lt;=70,'Anchor Points'!$F$6+(A107-'Anchor Points'!$A$6)/('Anchor Points'!$A$7-'Anchor Points'!$A$6)*('Anchor Points'!$F$7-'Anchor Points'!$F$6),IF(A107&lt;=90,'Anchor Points'!$F$7+(A107-'Anchor Points'!$A$7)/('Anchor Points'!$A$8-'Anchor Points'!$A$7)*('Anchor Points'!$F$8-'Anchor Points'!$F$7),'Anchor Points'!$F$8+(A107-'Anchor Points'!$A$8)/('Anchor Points'!$A$9-'Anchor Points'!$A$8)*('Anchor Points'!$F$9-'Anchor Points'!$F$8)))))))</x:f>
        <x:v>52.5</x:v>
      </x:c>
      <x:c r="K107" s="36" t="n">
        <x:f>A83</x:f>
        <x:v>81</x:v>
      </x:c>
      <x:c r="L107" s="36" t="n">
        <x:f>E83</x:f>
        <x:v>9.8</x:v>
      </x:c>
      <x:c r="M107" s="36" t="n">
        <x:f>G83</x:f>
        <x:v>7.75</x:v>
      </x:c>
      <x:c r="N107" s="36" t="n">
        <x:f>I83</x:f>
        <x:v>38.75</x:v>
      </x:c>
    </x:row>
    <x:row r="108">
      <x:c r="A108" s="30" t="n">
        <x:v>106</x:v>
      </x:c>
      <x:c r="B108" s="11" t="str">
        <x:f>IF(A108&lt;=15,"Seedling",IF(A108&lt;=25,"Establishment",IF(A108&lt;=40,"Vegetative Growth",IF(A108&lt;=55,"Flowering &amp; Initial Fruit Set",IF(A108&lt;=80,"Fruit Enlargement",IF(A108&lt;=95,"Ripening","Harvesting"))))))</x:f>
        <x:v>Harvesting</x:v>
      </x:c>
      <x:c r="C108" s="28" t="n">
        <x:f>IF(A108&lt;=15,'Anchor Points'!$B$2+(A108-'Anchor Points'!$A$2)/('Anchor Points'!$A$3-'Anchor Points'!$A$2)*('Anchor Points'!$B$3-'Anchor Points'!$B$2),IF(A108&lt;=25,'Anchor Points'!$B$3+(A108-'Anchor Points'!$A$3)/('Anchor Points'!$A$4-'Anchor Points'!$A$3)*('Anchor Points'!$B$4-'Anchor Points'!$B$3),IF(A108&lt;=40,'Anchor Points'!$B$4+(A108-'Anchor Points'!$A$4)/('Anchor Points'!$A$5-'Anchor Points'!$A$4)*('Anchor Points'!$B$5-'Anchor Points'!$B$4),IF(A108&lt;=55,'Anchor Points'!$B$5+(A108-'Anchor Points'!$A$5)/('Anchor Points'!$A$6-'Anchor Points'!$A$5)*('Anchor Points'!$B$6-'Anchor Points'!$B$5),IF(A108&lt;=70,'Anchor Points'!$B$6+(A108-'Anchor Points'!$A$6)/('Anchor Points'!$A$7-'Anchor Points'!$A$6)*('Anchor Points'!$B$7-'Anchor Points'!$B$6),IF(A108&lt;=90,'Anchor Points'!$B$7+(A108-'Anchor Points'!$A$7)/('Anchor Points'!$A$8-'Anchor Points'!$A$7)*('Anchor Points'!$B$8-'Anchor Points'!$B$7),'Anchor Points'!$B$8+(A108-'Anchor Points'!$A$8)/('Anchor Points'!$A$9-'Anchor Points'!$A$8)*('Anchor Points'!$B$9-'Anchor Points'!$B$8)))))))</x:f>
        <x:v>86.26666666666667</x:v>
      </x:c>
      <x:c r="D108" s="28" t="n">
        <x:f>IF(A108&lt;=15,'Anchor Points'!$C$2+(A108-'Anchor Points'!$A$2)/('Anchor Points'!$A$3-'Anchor Points'!$A$2)*('Anchor Points'!$C$3-'Anchor Points'!$C$2),IF(A108&lt;=25,'Anchor Points'!$C$3+(A108-'Anchor Points'!$A$3)/('Anchor Points'!$A$4-'Anchor Points'!$A$3)*('Anchor Points'!$C$4-'Anchor Points'!$C$3),IF(A108&lt;=40,'Anchor Points'!$C$4+(A108-'Anchor Points'!$A$4)/('Anchor Points'!$A$5-'Anchor Points'!$A$4)*('Anchor Points'!$C$5-'Anchor Points'!$C$4),IF(A108&lt;=55,'Anchor Points'!$C$5+(A108-'Anchor Points'!$A$5)/('Anchor Points'!$A$6-'Anchor Points'!$A$5)*('Anchor Points'!$C$6-'Anchor Points'!$C$5),IF(A108&lt;=70,'Anchor Points'!$C$6+(A108-'Anchor Points'!$A$6)/('Anchor Points'!$A$7-'Anchor Points'!$A$6)*('Anchor Points'!$C$7-'Anchor Points'!$C$6),IF(A108&lt;=90,'Anchor Points'!$C$7+(A108-'Anchor Points'!$A$7)/('Anchor Points'!$A$8-'Anchor Points'!$A$7)*('Anchor Points'!$C$8-'Anchor Points'!$C$7),'Anchor Points'!$C$8+(A108-'Anchor Points'!$A$8)/('Anchor Points'!$A$9-'Anchor Points'!$A$8)*('Anchor Points'!$C$9-'Anchor Points'!$C$8)))))))</x:f>
        <x:v>93</x:v>
      </x:c>
      <x:c r="E108" s="28" t="n">
        <x:f>IF(A108&lt;=15,'Anchor Points'!$D$2+(A108-'Anchor Points'!$A$2)/('Anchor Points'!$A$3-'Anchor Points'!$A$2)*('Anchor Points'!$D$3-'Anchor Points'!$D$2),IF(A108&lt;=25,'Anchor Points'!$D$3+(A108-'Anchor Points'!$A$3)/('Anchor Points'!$A$4-'Anchor Points'!$A$3)*('Anchor Points'!$D$4-'Anchor Points'!$D$3),IF(A108&lt;=40,'Anchor Points'!$D$4+(A108-'Anchor Points'!$A$4)/('Anchor Points'!$A$5-'Anchor Points'!$A$4)*('Anchor Points'!$D$5-'Anchor Points'!$D$4),IF(A108&lt;=55,'Anchor Points'!$D$5+(A108-'Anchor Points'!$A$5)/('Anchor Points'!$A$6-'Anchor Points'!$A$5)*('Anchor Points'!$D$6-'Anchor Points'!$D$5),IF(A108&lt;=70,'Anchor Points'!$D$6+(A108-'Anchor Points'!$A$6)/('Anchor Points'!$A$7-'Anchor Points'!$A$6)*('Anchor Points'!$D$7-'Anchor Points'!$D$6),IF(A108&lt;=90,'Anchor Points'!$D$7+(A108-'Anchor Points'!$A$7)/('Anchor Points'!$A$8-'Anchor Points'!$A$7)*('Anchor Points'!$D$8-'Anchor Points'!$D$7),'Anchor Points'!$D$8+(A108-'Anchor Points'!$A$8)/('Anchor Points'!$A$9-'Anchor Points'!$A$8)*('Anchor Points'!$D$9-'Anchor Points'!$D$8)))))))</x:f>
        <x:v>6.4</x:v>
      </x:c>
      <x:c r="F108" s="30" t="n">
        <x:f>ROUND(E108,0)</x:f>
        <x:v>6</x:v>
      </x:c>
      <x:c r="G108" s="28" t="n">
        <x:f>IF(A108&lt;=15,'Anchor Points'!$E$2+(A108-'Anchor Points'!$A$2)/('Anchor Points'!$A$3-'Anchor Points'!$A$2)*('Anchor Points'!$E$3-'Anchor Points'!$E$2),IF(A108&lt;=25,'Anchor Points'!$E$3+(A108-'Anchor Points'!$A$3)/('Anchor Points'!$A$4-'Anchor Points'!$A$3)*('Anchor Points'!$E$4-'Anchor Points'!$E$3),IF(A108&lt;=40,'Anchor Points'!$E$4+(A108-'Anchor Points'!$A$4)/('Anchor Points'!$A$5-'Anchor Points'!$A$4)*('Anchor Points'!$E$5-'Anchor Points'!$E$4),IF(A108&lt;=55,'Anchor Points'!$E$5+(A108-'Anchor Points'!$A$5)/('Anchor Points'!$A$6-'Anchor Points'!$A$5)*('Anchor Points'!$E$6-'Anchor Points'!$E$5),IF(A108&lt;=70,'Anchor Points'!$E$6+(A108-'Anchor Points'!$A$6)/('Anchor Points'!$A$7-'Anchor Points'!$A$6)*('Anchor Points'!$E$7-'Anchor Points'!$E$6),IF(A108&lt;=90,'Anchor Points'!$E$7+(A108-'Anchor Points'!$A$7)/('Anchor Points'!$A$8-'Anchor Points'!$A$7)*('Anchor Points'!$E$8-'Anchor Points'!$E$7),'Anchor Points'!$E$8+(A108-'Anchor Points'!$A$8)/('Anchor Points'!$A$9-'Anchor Points'!$A$8)*('Anchor Points'!$E$9-'Anchor Points'!$E$8)))))))</x:f>
        <x:v>11.066666666666666</x:v>
      </x:c>
      <x:c r="H108" s="30" t="n">
        <x:f>ROUND(G108,0)</x:f>
        <x:v>11</x:v>
      </x:c>
      <x:c r="I108" s="28" t="n">
        <x:f>IF(A108&lt;=15,'Anchor Points'!$F$2+(A108-'Anchor Points'!$A$2)/('Anchor Points'!$A$3-'Anchor Points'!$A$2)*('Anchor Points'!$F$3-'Anchor Points'!$F$2),IF(A108&lt;=25,'Anchor Points'!$F$3+(A108-'Anchor Points'!$A$3)/('Anchor Points'!$A$4-'Anchor Points'!$A$3)*('Anchor Points'!$F$4-'Anchor Points'!$F$3),IF(A108&lt;=40,'Anchor Points'!$F$4+(A108-'Anchor Points'!$A$4)/('Anchor Points'!$A$5-'Anchor Points'!$A$4)*('Anchor Points'!$F$5-'Anchor Points'!$F$4),IF(A108&lt;=55,'Anchor Points'!$F$5+(A108-'Anchor Points'!$A$5)/('Anchor Points'!$A$6-'Anchor Points'!$A$5)*('Anchor Points'!$F$6-'Anchor Points'!$F$5),IF(A108&lt;=70,'Anchor Points'!$F$6+(A108-'Anchor Points'!$A$6)/('Anchor Points'!$A$7-'Anchor Points'!$A$6)*('Anchor Points'!$F$7-'Anchor Points'!$F$6),IF(A108&lt;=90,'Anchor Points'!$F$7+(A108-'Anchor Points'!$A$7)/('Anchor Points'!$A$8-'Anchor Points'!$A$7)*('Anchor Points'!$F$8-'Anchor Points'!$F$7),'Anchor Points'!$F$8+(A108-'Anchor Points'!$A$8)/('Anchor Points'!$A$9-'Anchor Points'!$A$8)*('Anchor Points'!$F$9-'Anchor Points'!$F$8)))))))</x:f>
        <x:v>52.666666666666664</x:v>
      </x:c>
      <x:c r="K108" s="36" t="n">
        <x:f>A84</x:f>
        <x:v>82</x:v>
      </x:c>
      <x:c r="L108" s="36" t="n">
        <x:f>E84</x:f>
        <x:v>9.6</x:v>
      </x:c>
      <x:c r="M108" s="36" t="n">
        <x:f>G84</x:f>
        <x:v>8</x:v>
      </x:c>
      <x:c r="N108" s="36" t="n">
        <x:f>I84</x:f>
        <x:v>40</x:v>
      </x:c>
    </x:row>
    <x:row r="109">
      <x:c r="A109" s="30" t="n">
        <x:v>107</x:v>
      </x:c>
      <x:c r="B109" s="11" t="str">
        <x:f>IF(A109&lt;=15,"Seedling",IF(A109&lt;=25,"Establishment",IF(A109&lt;=40,"Vegetative Growth",IF(A109&lt;=55,"Flowering &amp; Initial Fruit Set",IF(A109&lt;=80,"Fruit Enlargement",IF(A109&lt;=95,"Ripening","Harvesting"))))))</x:f>
        <x:v>Harvesting</x:v>
      </x:c>
      <x:c r="C109" s="28" t="n">
        <x:f>IF(A109&lt;=15,'Anchor Points'!$B$2+(A109-'Anchor Points'!$A$2)/('Anchor Points'!$A$3-'Anchor Points'!$A$2)*('Anchor Points'!$B$3-'Anchor Points'!$B$2),IF(A109&lt;=25,'Anchor Points'!$B$3+(A109-'Anchor Points'!$A$3)/('Anchor Points'!$A$4-'Anchor Points'!$A$3)*('Anchor Points'!$B$4-'Anchor Points'!$B$3),IF(A109&lt;=40,'Anchor Points'!$B$4+(A109-'Anchor Points'!$A$4)/('Anchor Points'!$A$5-'Anchor Points'!$A$4)*('Anchor Points'!$B$5-'Anchor Points'!$B$4),IF(A109&lt;=55,'Anchor Points'!$B$5+(A109-'Anchor Points'!$A$5)/('Anchor Points'!$A$6-'Anchor Points'!$A$5)*('Anchor Points'!$B$6-'Anchor Points'!$B$5),IF(A109&lt;=70,'Anchor Points'!$B$6+(A109-'Anchor Points'!$A$6)/('Anchor Points'!$A$7-'Anchor Points'!$A$6)*('Anchor Points'!$B$7-'Anchor Points'!$B$6),IF(A109&lt;=90,'Anchor Points'!$B$7+(A109-'Anchor Points'!$A$7)/('Anchor Points'!$A$8-'Anchor Points'!$A$7)*('Anchor Points'!$B$8-'Anchor Points'!$B$7),'Anchor Points'!$B$8+(A109-'Anchor Points'!$A$8)/('Anchor Points'!$A$9-'Anchor Points'!$A$8)*('Anchor Points'!$B$9-'Anchor Points'!$B$8)))))))</x:f>
        <x:v>86.53333333333333</x:v>
      </x:c>
      <x:c r="D109" s="28" t="n">
        <x:f>IF(A109&lt;=15,'Anchor Points'!$C$2+(A109-'Anchor Points'!$A$2)/('Anchor Points'!$A$3-'Anchor Points'!$A$2)*('Anchor Points'!$C$3-'Anchor Points'!$C$2),IF(A109&lt;=25,'Anchor Points'!$C$3+(A109-'Anchor Points'!$A$3)/('Anchor Points'!$A$4-'Anchor Points'!$A$3)*('Anchor Points'!$C$4-'Anchor Points'!$C$3),IF(A109&lt;=40,'Anchor Points'!$C$4+(A109-'Anchor Points'!$A$4)/('Anchor Points'!$A$5-'Anchor Points'!$A$4)*('Anchor Points'!$C$5-'Anchor Points'!$C$4),IF(A109&lt;=55,'Anchor Points'!$C$5+(A109-'Anchor Points'!$A$5)/('Anchor Points'!$A$6-'Anchor Points'!$A$5)*('Anchor Points'!$C$6-'Anchor Points'!$C$5),IF(A109&lt;=70,'Anchor Points'!$C$6+(A109-'Anchor Points'!$A$6)/('Anchor Points'!$A$7-'Anchor Points'!$A$6)*('Anchor Points'!$C$7-'Anchor Points'!$C$6),IF(A109&lt;=90,'Anchor Points'!$C$7+(A109-'Anchor Points'!$A$7)/('Anchor Points'!$A$8-'Anchor Points'!$A$7)*('Anchor Points'!$C$8-'Anchor Points'!$C$7),'Anchor Points'!$C$8+(A109-'Anchor Points'!$A$8)/('Anchor Points'!$A$9-'Anchor Points'!$A$8)*('Anchor Points'!$C$9-'Anchor Points'!$C$8)))))))</x:f>
        <x:v>93.5</x:v>
      </x:c>
      <x:c r="E109" s="28" t="n">
        <x:f>IF(A109&lt;=15,'Anchor Points'!$D$2+(A109-'Anchor Points'!$A$2)/('Anchor Points'!$A$3-'Anchor Points'!$A$2)*('Anchor Points'!$D$3-'Anchor Points'!$D$2),IF(A109&lt;=25,'Anchor Points'!$D$3+(A109-'Anchor Points'!$A$3)/('Anchor Points'!$A$4-'Anchor Points'!$A$3)*('Anchor Points'!$D$4-'Anchor Points'!$D$3),IF(A109&lt;=40,'Anchor Points'!$D$4+(A109-'Anchor Points'!$A$4)/('Anchor Points'!$A$5-'Anchor Points'!$A$4)*('Anchor Points'!$D$5-'Anchor Points'!$D$4),IF(A109&lt;=55,'Anchor Points'!$D$5+(A109-'Anchor Points'!$A$5)/('Anchor Points'!$A$6-'Anchor Points'!$A$5)*('Anchor Points'!$D$6-'Anchor Points'!$D$5),IF(A109&lt;=70,'Anchor Points'!$D$6+(A109-'Anchor Points'!$A$6)/('Anchor Points'!$A$7-'Anchor Points'!$A$6)*('Anchor Points'!$D$7-'Anchor Points'!$D$6),IF(A109&lt;=90,'Anchor Points'!$D$7+(A109-'Anchor Points'!$A$7)/('Anchor Points'!$A$8-'Anchor Points'!$A$7)*('Anchor Points'!$D$8-'Anchor Points'!$D$7),'Anchor Points'!$D$8+(A109-'Anchor Points'!$A$8)/('Anchor Points'!$A$9-'Anchor Points'!$A$8)*('Anchor Points'!$D$9-'Anchor Points'!$D$8)))))))</x:f>
        <x:v>6.3</x:v>
      </x:c>
      <x:c r="F109" s="30" t="n">
        <x:f>ROUND(E109,0)</x:f>
        <x:v>6</x:v>
      </x:c>
      <x:c r="G109" s="28" t="n">
        <x:f>IF(A109&lt;=15,'Anchor Points'!$E$2+(A109-'Anchor Points'!$A$2)/('Anchor Points'!$A$3-'Anchor Points'!$A$2)*('Anchor Points'!$E$3-'Anchor Points'!$E$2),IF(A109&lt;=25,'Anchor Points'!$E$3+(A109-'Anchor Points'!$A$3)/('Anchor Points'!$A$4-'Anchor Points'!$A$3)*('Anchor Points'!$E$4-'Anchor Points'!$E$3),IF(A109&lt;=40,'Anchor Points'!$E$4+(A109-'Anchor Points'!$A$4)/('Anchor Points'!$A$5-'Anchor Points'!$A$4)*('Anchor Points'!$E$5-'Anchor Points'!$E$4),IF(A109&lt;=55,'Anchor Points'!$E$5+(A109-'Anchor Points'!$A$5)/('Anchor Points'!$A$6-'Anchor Points'!$A$5)*('Anchor Points'!$E$6-'Anchor Points'!$E$5),IF(A109&lt;=70,'Anchor Points'!$E$6+(A109-'Anchor Points'!$A$6)/('Anchor Points'!$A$7-'Anchor Points'!$A$6)*('Anchor Points'!$E$7-'Anchor Points'!$E$6),IF(A109&lt;=90,'Anchor Points'!$E$7+(A109-'Anchor Points'!$A$7)/('Anchor Points'!$A$8-'Anchor Points'!$A$7)*('Anchor Points'!$E$8-'Anchor Points'!$E$7),'Anchor Points'!$E$8+(A109-'Anchor Points'!$A$8)/('Anchor Points'!$A$9-'Anchor Points'!$A$8)*('Anchor Points'!$E$9-'Anchor Points'!$E$8)))))))</x:f>
        <x:v>11.133333333333333</x:v>
      </x:c>
      <x:c r="H109" s="30" t="n">
        <x:f>ROUND(G109,0)</x:f>
        <x:v>11</x:v>
      </x:c>
      <x:c r="I109" s="28" t="n">
        <x:f>IF(A109&lt;=15,'Anchor Points'!$F$2+(A109-'Anchor Points'!$A$2)/('Anchor Points'!$A$3-'Anchor Points'!$A$2)*('Anchor Points'!$F$3-'Anchor Points'!$F$2),IF(A109&lt;=25,'Anchor Points'!$F$3+(A109-'Anchor Points'!$A$3)/('Anchor Points'!$A$4-'Anchor Points'!$A$3)*('Anchor Points'!$F$4-'Anchor Points'!$F$3),IF(A109&lt;=40,'Anchor Points'!$F$4+(A109-'Anchor Points'!$A$4)/('Anchor Points'!$A$5-'Anchor Points'!$A$4)*('Anchor Points'!$F$5-'Anchor Points'!$F$4),IF(A109&lt;=55,'Anchor Points'!$F$5+(A109-'Anchor Points'!$A$5)/('Anchor Points'!$A$6-'Anchor Points'!$A$5)*('Anchor Points'!$F$6-'Anchor Points'!$F$5),IF(A109&lt;=70,'Anchor Points'!$F$6+(A109-'Anchor Points'!$A$6)/('Anchor Points'!$A$7-'Anchor Points'!$A$6)*('Anchor Points'!$F$7-'Anchor Points'!$F$6),IF(A109&lt;=90,'Anchor Points'!$F$7+(A109-'Anchor Points'!$A$7)/('Anchor Points'!$A$8-'Anchor Points'!$A$7)*('Anchor Points'!$F$8-'Anchor Points'!$F$7),'Anchor Points'!$F$8+(A109-'Anchor Points'!$A$8)/('Anchor Points'!$A$9-'Anchor Points'!$A$8)*('Anchor Points'!$F$9-'Anchor Points'!$F$8)))))))</x:f>
        <x:v>52.833333333333336</x:v>
      </x:c>
      <x:c r="K109" s="36" t="n">
        <x:f>A85</x:f>
        <x:v>83</x:v>
      </x:c>
      <x:c r="L109" s="36" t="n">
        <x:f>E85</x:f>
        <x:v>9.4</x:v>
      </x:c>
      <x:c r="M109" s="36" t="n">
        <x:f>G85</x:f>
        <x:v>8.25</x:v>
      </x:c>
      <x:c r="N109" s="36" t="n">
        <x:f>I85</x:f>
        <x:v>41.25</x:v>
      </x:c>
    </x:row>
    <x:row r="110">
      <x:c r="A110" s="30" t="n">
        <x:v>108</x:v>
      </x:c>
      <x:c r="B110" s="11" t="str">
        <x:f>IF(A110&lt;=15,"Seedling",IF(A110&lt;=25,"Establishment",IF(A110&lt;=40,"Vegetative Growth",IF(A110&lt;=55,"Flowering &amp; Initial Fruit Set",IF(A110&lt;=80,"Fruit Enlargement",IF(A110&lt;=95,"Ripening","Harvesting"))))))</x:f>
        <x:v>Harvesting</x:v>
      </x:c>
      <x:c r="C110" s="28" t="n">
        <x:f>IF(A110&lt;=15,'Anchor Points'!$B$2+(A110-'Anchor Points'!$A$2)/('Anchor Points'!$A$3-'Anchor Points'!$A$2)*('Anchor Points'!$B$3-'Anchor Points'!$B$2),IF(A110&lt;=25,'Anchor Points'!$B$3+(A110-'Anchor Points'!$A$3)/('Anchor Points'!$A$4-'Anchor Points'!$A$3)*('Anchor Points'!$B$4-'Anchor Points'!$B$3),IF(A110&lt;=40,'Anchor Points'!$B$4+(A110-'Anchor Points'!$A$4)/('Anchor Points'!$A$5-'Anchor Points'!$A$4)*('Anchor Points'!$B$5-'Anchor Points'!$B$4),IF(A110&lt;=55,'Anchor Points'!$B$5+(A110-'Anchor Points'!$A$5)/('Anchor Points'!$A$6-'Anchor Points'!$A$5)*('Anchor Points'!$B$6-'Anchor Points'!$B$5),IF(A110&lt;=70,'Anchor Points'!$B$6+(A110-'Anchor Points'!$A$6)/('Anchor Points'!$A$7-'Anchor Points'!$A$6)*('Anchor Points'!$B$7-'Anchor Points'!$B$6),IF(A110&lt;=90,'Anchor Points'!$B$7+(A110-'Anchor Points'!$A$7)/('Anchor Points'!$A$8-'Anchor Points'!$A$7)*('Anchor Points'!$B$8-'Anchor Points'!$B$7),'Anchor Points'!$B$8+(A110-'Anchor Points'!$A$8)/('Anchor Points'!$A$9-'Anchor Points'!$A$8)*('Anchor Points'!$B$9-'Anchor Points'!$B$8)))))))</x:f>
        <x:v>86.8</x:v>
      </x:c>
      <x:c r="D110" s="28" t="n">
        <x:f>IF(A110&lt;=15,'Anchor Points'!$C$2+(A110-'Anchor Points'!$A$2)/('Anchor Points'!$A$3-'Anchor Points'!$A$2)*('Anchor Points'!$C$3-'Anchor Points'!$C$2),IF(A110&lt;=25,'Anchor Points'!$C$3+(A110-'Anchor Points'!$A$3)/('Anchor Points'!$A$4-'Anchor Points'!$A$3)*('Anchor Points'!$C$4-'Anchor Points'!$C$3),IF(A110&lt;=40,'Anchor Points'!$C$4+(A110-'Anchor Points'!$A$4)/('Anchor Points'!$A$5-'Anchor Points'!$A$4)*('Anchor Points'!$C$5-'Anchor Points'!$C$4),IF(A110&lt;=55,'Anchor Points'!$C$5+(A110-'Anchor Points'!$A$5)/('Anchor Points'!$A$6-'Anchor Points'!$A$5)*('Anchor Points'!$C$6-'Anchor Points'!$C$5),IF(A110&lt;=70,'Anchor Points'!$C$6+(A110-'Anchor Points'!$A$6)/('Anchor Points'!$A$7-'Anchor Points'!$A$6)*('Anchor Points'!$C$7-'Anchor Points'!$C$6),IF(A110&lt;=90,'Anchor Points'!$C$7+(A110-'Anchor Points'!$A$7)/('Anchor Points'!$A$8-'Anchor Points'!$A$7)*('Anchor Points'!$C$8-'Anchor Points'!$C$7),'Anchor Points'!$C$8+(A110-'Anchor Points'!$A$8)/('Anchor Points'!$A$9-'Anchor Points'!$A$8)*('Anchor Points'!$C$9-'Anchor Points'!$C$8)))))))</x:f>
        <x:v>94</x:v>
      </x:c>
      <x:c r="E110" s="28" t="n">
        <x:f>IF(A110&lt;=15,'Anchor Points'!$D$2+(A110-'Anchor Points'!$A$2)/('Anchor Points'!$A$3-'Anchor Points'!$A$2)*('Anchor Points'!$D$3-'Anchor Points'!$D$2),IF(A110&lt;=25,'Anchor Points'!$D$3+(A110-'Anchor Points'!$A$3)/('Anchor Points'!$A$4-'Anchor Points'!$A$3)*('Anchor Points'!$D$4-'Anchor Points'!$D$3),IF(A110&lt;=40,'Anchor Points'!$D$4+(A110-'Anchor Points'!$A$4)/('Anchor Points'!$A$5-'Anchor Points'!$A$4)*('Anchor Points'!$D$5-'Anchor Points'!$D$4),IF(A110&lt;=55,'Anchor Points'!$D$5+(A110-'Anchor Points'!$A$5)/('Anchor Points'!$A$6-'Anchor Points'!$A$5)*('Anchor Points'!$D$6-'Anchor Points'!$D$5),IF(A110&lt;=70,'Anchor Points'!$D$6+(A110-'Anchor Points'!$A$6)/('Anchor Points'!$A$7-'Anchor Points'!$A$6)*('Anchor Points'!$D$7-'Anchor Points'!$D$6),IF(A110&lt;=90,'Anchor Points'!$D$7+(A110-'Anchor Points'!$A$7)/('Anchor Points'!$A$8-'Anchor Points'!$A$7)*('Anchor Points'!$D$8-'Anchor Points'!$D$7),'Anchor Points'!$D$8+(A110-'Anchor Points'!$A$8)/('Anchor Points'!$A$9-'Anchor Points'!$A$8)*('Anchor Points'!$D$9-'Anchor Points'!$D$8)))))))</x:f>
        <x:v>6.2</x:v>
      </x:c>
      <x:c r="F110" s="30" t="n">
        <x:f>ROUND(E110,0)</x:f>
        <x:v>6</x:v>
      </x:c>
      <x:c r="G110" s="28" t="n">
        <x:f>IF(A110&lt;=15,'Anchor Points'!$E$2+(A110-'Anchor Points'!$A$2)/('Anchor Points'!$A$3-'Anchor Points'!$A$2)*('Anchor Points'!$E$3-'Anchor Points'!$E$2),IF(A110&lt;=25,'Anchor Points'!$E$3+(A110-'Anchor Points'!$A$3)/('Anchor Points'!$A$4-'Anchor Points'!$A$3)*('Anchor Points'!$E$4-'Anchor Points'!$E$3),IF(A110&lt;=40,'Anchor Points'!$E$4+(A110-'Anchor Points'!$A$4)/('Anchor Points'!$A$5-'Anchor Points'!$A$4)*('Anchor Points'!$E$5-'Anchor Points'!$E$4),IF(A110&lt;=55,'Anchor Points'!$E$5+(A110-'Anchor Points'!$A$5)/('Anchor Points'!$A$6-'Anchor Points'!$A$5)*('Anchor Points'!$E$6-'Anchor Points'!$E$5),IF(A110&lt;=70,'Anchor Points'!$E$6+(A110-'Anchor Points'!$A$6)/('Anchor Points'!$A$7-'Anchor Points'!$A$6)*('Anchor Points'!$E$7-'Anchor Points'!$E$6),IF(A110&lt;=90,'Anchor Points'!$E$7+(A110-'Anchor Points'!$A$7)/('Anchor Points'!$A$8-'Anchor Points'!$A$7)*('Anchor Points'!$E$8-'Anchor Points'!$E$7),'Anchor Points'!$E$8+(A110-'Anchor Points'!$A$8)/('Anchor Points'!$A$9-'Anchor Points'!$A$8)*('Anchor Points'!$E$9-'Anchor Points'!$E$8)))))))</x:f>
        <x:v>11.2</x:v>
      </x:c>
      <x:c r="H110" s="30" t="n">
        <x:f>ROUND(G110,0)</x:f>
        <x:v>11</x:v>
      </x:c>
      <x:c r="I110" s="28" t="n">
        <x:f>IF(A110&lt;=15,'Anchor Points'!$F$2+(A110-'Anchor Points'!$A$2)/('Anchor Points'!$A$3-'Anchor Points'!$A$2)*('Anchor Points'!$F$3-'Anchor Points'!$F$2),IF(A110&lt;=25,'Anchor Points'!$F$3+(A110-'Anchor Points'!$A$3)/('Anchor Points'!$A$4-'Anchor Points'!$A$3)*('Anchor Points'!$F$4-'Anchor Points'!$F$3),IF(A110&lt;=40,'Anchor Points'!$F$4+(A110-'Anchor Points'!$A$4)/('Anchor Points'!$A$5-'Anchor Points'!$A$4)*('Anchor Points'!$F$5-'Anchor Points'!$F$4),IF(A110&lt;=55,'Anchor Points'!$F$5+(A110-'Anchor Points'!$A$5)/('Anchor Points'!$A$6-'Anchor Points'!$A$5)*('Anchor Points'!$F$6-'Anchor Points'!$F$5),IF(A110&lt;=70,'Anchor Points'!$F$6+(A110-'Anchor Points'!$A$6)/('Anchor Points'!$A$7-'Anchor Points'!$A$6)*('Anchor Points'!$F$7-'Anchor Points'!$F$6),IF(A110&lt;=90,'Anchor Points'!$F$7+(A110-'Anchor Points'!$A$7)/('Anchor Points'!$A$8-'Anchor Points'!$A$7)*('Anchor Points'!$F$8-'Anchor Points'!$F$7),'Anchor Points'!$F$8+(A110-'Anchor Points'!$A$8)/('Anchor Points'!$A$9-'Anchor Points'!$A$8)*('Anchor Points'!$F$9-'Anchor Points'!$F$8)))))))</x:f>
        <x:v>53</x:v>
      </x:c>
      <x:c r="K110" s="36" t="n">
        <x:f>A86</x:f>
        <x:v>84</x:v>
      </x:c>
      <x:c r="L110" s="36" t="n">
        <x:f>E86</x:f>
        <x:v>9.2</x:v>
      </x:c>
      <x:c r="M110" s="36" t="n">
        <x:f>G86</x:f>
        <x:v>8.5</x:v>
      </x:c>
      <x:c r="N110" s="36" t="n">
        <x:f>I86</x:f>
        <x:v>42.5</x:v>
      </x:c>
    </x:row>
    <x:row r="111">
      <x:c r="A111" s="30" t="n">
        <x:v>109</x:v>
      </x:c>
      <x:c r="B111" s="11" t="str">
        <x:f>IF(A111&lt;=15,"Seedling",IF(A111&lt;=25,"Establishment",IF(A111&lt;=40,"Vegetative Growth",IF(A111&lt;=55,"Flowering &amp; Initial Fruit Set",IF(A111&lt;=80,"Fruit Enlargement",IF(A111&lt;=95,"Ripening","Harvesting"))))))</x:f>
        <x:v>Harvesting</x:v>
      </x:c>
      <x:c r="C111" s="28" t="n">
        <x:f>IF(A111&lt;=15,'Anchor Points'!$B$2+(A111-'Anchor Points'!$A$2)/('Anchor Points'!$A$3-'Anchor Points'!$A$2)*('Anchor Points'!$B$3-'Anchor Points'!$B$2),IF(A111&lt;=25,'Anchor Points'!$B$3+(A111-'Anchor Points'!$A$3)/('Anchor Points'!$A$4-'Anchor Points'!$A$3)*('Anchor Points'!$B$4-'Anchor Points'!$B$3),IF(A111&lt;=40,'Anchor Points'!$B$4+(A111-'Anchor Points'!$A$4)/('Anchor Points'!$A$5-'Anchor Points'!$A$4)*('Anchor Points'!$B$5-'Anchor Points'!$B$4),IF(A111&lt;=55,'Anchor Points'!$B$5+(A111-'Anchor Points'!$A$5)/('Anchor Points'!$A$6-'Anchor Points'!$A$5)*('Anchor Points'!$B$6-'Anchor Points'!$B$5),IF(A111&lt;=70,'Anchor Points'!$B$6+(A111-'Anchor Points'!$A$6)/('Anchor Points'!$A$7-'Anchor Points'!$A$6)*('Anchor Points'!$B$7-'Anchor Points'!$B$6),IF(A111&lt;=90,'Anchor Points'!$B$7+(A111-'Anchor Points'!$A$7)/('Anchor Points'!$A$8-'Anchor Points'!$A$7)*('Anchor Points'!$B$8-'Anchor Points'!$B$7),'Anchor Points'!$B$8+(A111-'Anchor Points'!$A$8)/('Anchor Points'!$A$9-'Anchor Points'!$A$8)*('Anchor Points'!$B$9-'Anchor Points'!$B$8)))))))</x:f>
        <x:v>87.06666666666666</x:v>
      </x:c>
      <x:c r="D111" s="28" t="n">
        <x:f>IF(A111&lt;=15,'Anchor Points'!$C$2+(A111-'Anchor Points'!$A$2)/('Anchor Points'!$A$3-'Anchor Points'!$A$2)*('Anchor Points'!$C$3-'Anchor Points'!$C$2),IF(A111&lt;=25,'Anchor Points'!$C$3+(A111-'Anchor Points'!$A$3)/('Anchor Points'!$A$4-'Anchor Points'!$A$3)*('Anchor Points'!$C$4-'Anchor Points'!$C$3),IF(A111&lt;=40,'Anchor Points'!$C$4+(A111-'Anchor Points'!$A$4)/('Anchor Points'!$A$5-'Anchor Points'!$A$4)*('Anchor Points'!$C$5-'Anchor Points'!$C$4),IF(A111&lt;=55,'Anchor Points'!$C$5+(A111-'Anchor Points'!$A$5)/('Anchor Points'!$A$6-'Anchor Points'!$A$5)*('Anchor Points'!$C$6-'Anchor Points'!$C$5),IF(A111&lt;=70,'Anchor Points'!$C$6+(A111-'Anchor Points'!$A$6)/('Anchor Points'!$A$7-'Anchor Points'!$A$6)*('Anchor Points'!$C$7-'Anchor Points'!$C$6),IF(A111&lt;=90,'Anchor Points'!$C$7+(A111-'Anchor Points'!$A$7)/('Anchor Points'!$A$8-'Anchor Points'!$A$7)*('Anchor Points'!$C$8-'Anchor Points'!$C$7),'Anchor Points'!$C$8+(A111-'Anchor Points'!$A$8)/('Anchor Points'!$A$9-'Anchor Points'!$A$8)*('Anchor Points'!$C$9-'Anchor Points'!$C$8)))))))</x:f>
        <x:v>94.5</x:v>
      </x:c>
      <x:c r="E111" s="28" t="n">
        <x:f>IF(A111&lt;=15,'Anchor Points'!$D$2+(A111-'Anchor Points'!$A$2)/('Anchor Points'!$A$3-'Anchor Points'!$A$2)*('Anchor Points'!$D$3-'Anchor Points'!$D$2),IF(A111&lt;=25,'Anchor Points'!$D$3+(A111-'Anchor Points'!$A$3)/('Anchor Points'!$A$4-'Anchor Points'!$A$3)*('Anchor Points'!$D$4-'Anchor Points'!$D$3),IF(A111&lt;=40,'Anchor Points'!$D$4+(A111-'Anchor Points'!$A$4)/('Anchor Points'!$A$5-'Anchor Points'!$A$4)*('Anchor Points'!$D$5-'Anchor Points'!$D$4),IF(A111&lt;=55,'Anchor Points'!$D$5+(A111-'Anchor Points'!$A$5)/('Anchor Points'!$A$6-'Anchor Points'!$A$5)*('Anchor Points'!$D$6-'Anchor Points'!$D$5),IF(A111&lt;=70,'Anchor Points'!$D$6+(A111-'Anchor Points'!$A$6)/('Anchor Points'!$A$7-'Anchor Points'!$A$6)*('Anchor Points'!$D$7-'Anchor Points'!$D$6),IF(A111&lt;=90,'Anchor Points'!$D$7+(A111-'Anchor Points'!$A$7)/('Anchor Points'!$A$8-'Anchor Points'!$A$7)*('Anchor Points'!$D$8-'Anchor Points'!$D$7),'Anchor Points'!$D$8+(A111-'Anchor Points'!$A$8)/('Anchor Points'!$A$9-'Anchor Points'!$A$8)*('Anchor Points'!$D$9-'Anchor Points'!$D$8)))))))</x:f>
        <x:v>6.1</x:v>
      </x:c>
      <x:c r="F111" s="30" t="n">
        <x:f>ROUND(E111,0)</x:f>
        <x:v>6</x:v>
      </x:c>
      <x:c r="G111" s="28" t="n">
        <x:f>IF(A111&lt;=15,'Anchor Points'!$E$2+(A111-'Anchor Points'!$A$2)/('Anchor Points'!$A$3-'Anchor Points'!$A$2)*('Anchor Points'!$E$3-'Anchor Points'!$E$2),IF(A111&lt;=25,'Anchor Points'!$E$3+(A111-'Anchor Points'!$A$3)/('Anchor Points'!$A$4-'Anchor Points'!$A$3)*('Anchor Points'!$E$4-'Anchor Points'!$E$3),IF(A111&lt;=40,'Anchor Points'!$E$4+(A111-'Anchor Points'!$A$4)/('Anchor Points'!$A$5-'Anchor Points'!$A$4)*('Anchor Points'!$E$5-'Anchor Points'!$E$4),IF(A111&lt;=55,'Anchor Points'!$E$5+(A111-'Anchor Points'!$A$5)/('Anchor Points'!$A$6-'Anchor Points'!$A$5)*('Anchor Points'!$E$6-'Anchor Points'!$E$5),IF(A111&lt;=70,'Anchor Points'!$E$6+(A111-'Anchor Points'!$A$6)/('Anchor Points'!$A$7-'Anchor Points'!$A$6)*('Anchor Points'!$E$7-'Anchor Points'!$E$6),IF(A111&lt;=90,'Anchor Points'!$E$7+(A111-'Anchor Points'!$A$7)/('Anchor Points'!$A$8-'Anchor Points'!$A$7)*('Anchor Points'!$E$8-'Anchor Points'!$E$7),'Anchor Points'!$E$8+(A111-'Anchor Points'!$A$8)/('Anchor Points'!$A$9-'Anchor Points'!$A$8)*('Anchor Points'!$E$9-'Anchor Points'!$E$8)))))))</x:f>
        <x:v>11.266666666666666</x:v>
      </x:c>
      <x:c r="H111" s="30" t="n">
        <x:f>ROUND(G111,0)</x:f>
        <x:v>11</x:v>
      </x:c>
      <x:c r="I111" s="28" t="n">
        <x:f>IF(A111&lt;=15,'Anchor Points'!$F$2+(A111-'Anchor Points'!$A$2)/('Anchor Points'!$A$3-'Anchor Points'!$A$2)*('Anchor Points'!$F$3-'Anchor Points'!$F$2),IF(A111&lt;=25,'Anchor Points'!$F$3+(A111-'Anchor Points'!$A$3)/('Anchor Points'!$A$4-'Anchor Points'!$A$3)*('Anchor Points'!$F$4-'Anchor Points'!$F$3),IF(A111&lt;=40,'Anchor Points'!$F$4+(A111-'Anchor Points'!$A$4)/('Anchor Points'!$A$5-'Anchor Points'!$A$4)*('Anchor Points'!$F$5-'Anchor Points'!$F$4),IF(A111&lt;=55,'Anchor Points'!$F$5+(A111-'Anchor Points'!$A$5)/('Anchor Points'!$A$6-'Anchor Points'!$A$5)*('Anchor Points'!$F$6-'Anchor Points'!$F$5),IF(A111&lt;=70,'Anchor Points'!$F$6+(A111-'Anchor Points'!$A$6)/('Anchor Points'!$A$7-'Anchor Points'!$A$6)*('Anchor Points'!$F$7-'Anchor Points'!$F$6),IF(A111&lt;=90,'Anchor Points'!$F$7+(A111-'Anchor Points'!$A$7)/('Anchor Points'!$A$8-'Anchor Points'!$A$7)*('Anchor Points'!$F$8-'Anchor Points'!$F$7),'Anchor Points'!$F$8+(A111-'Anchor Points'!$A$8)/('Anchor Points'!$A$9-'Anchor Points'!$A$8)*('Anchor Points'!$F$9-'Anchor Points'!$F$8)))))))</x:f>
        <x:v>53.166666666666664</x:v>
      </x:c>
      <x:c r="K111" s="36" t="n">
        <x:f>A87</x:f>
        <x:v>85</x:v>
      </x:c>
      <x:c r="L111" s="36" t="n">
        <x:f>E87</x:f>
        <x:v>9</x:v>
      </x:c>
      <x:c r="M111" s="36" t="n">
        <x:f>G87</x:f>
        <x:v>8.75</x:v>
      </x:c>
      <x:c r="N111" s="36" t="n">
        <x:f>I87</x:f>
        <x:v>43.75</x:v>
      </x:c>
    </x:row>
    <x:row r="112">
      <x:c r="A112" s="30" t="n">
        <x:v>110</x:v>
      </x:c>
      <x:c r="B112" s="11" t="str">
        <x:f>IF(A112&lt;=15,"Seedling",IF(A112&lt;=25,"Establishment",IF(A112&lt;=40,"Vegetative Growth",IF(A112&lt;=55,"Flowering &amp; Initial Fruit Set",IF(A112&lt;=80,"Fruit Enlargement",IF(A112&lt;=95,"Ripening","Harvesting"))))))</x:f>
        <x:v>Harvesting</x:v>
      </x:c>
      <x:c r="C112" s="28" t="n">
        <x:f>IF(A112&lt;=15,'Anchor Points'!$B$2+(A112-'Anchor Points'!$A$2)/('Anchor Points'!$A$3-'Anchor Points'!$A$2)*('Anchor Points'!$B$3-'Anchor Points'!$B$2),IF(A112&lt;=25,'Anchor Points'!$B$3+(A112-'Anchor Points'!$A$3)/('Anchor Points'!$A$4-'Anchor Points'!$A$3)*('Anchor Points'!$B$4-'Anchor Points'!$B$3),IF(A112&lt;=40,'Anchor Points'!$B$4+(A112-'Anchor Points'!$A$4)/('Anchor Points'!$A$5-'Anchor Points'!$A$4)*('Anchor Points'!$B$5-'Anchor Points'!$B$4),IF(A112&lt;=55,'Anchor Points'!$B$5+(A112-'Anchor Points'!$A$5)/('Anchor Points'!$A$6-'Anchor Points'!$A$5)*('Anchor Points'!$B$6-'Anchor Points'!$B$5),IF(A112&lt;=70,'Anchor Points'!$B$6+(A112-'Anchor Points'!$A$6)/('Anchor Points'!$A$7-'Anchor Points'!$A$6)*('Anchor Points'!$B$7-'Anchor Points'!$B$6),IF(A112&lt;=90,'Anchor Points'!$B$7+(A112-'Anchor Points'!$A$7)/('Anchor Points'!$A$8-'Anchor Points'!$A$7)*('Anchor Points'!$B$8-'Anchor Points'!$B$7),'Anchor Points'!$B$8+(A112-'Anchor Points'!$A$8)/('Anchor Points'!$A$9-'Anchor Points'!$A$8)*('Anchor Points'!$B$9-'Anchor Points'!$B$8)))))))</x:f>
        <x:v>87.33333333333333</x:v>
      </x:c>
      <x:c r="D112" s="28" t="n">
        <x:f>IF(A112&lt;=15,'Anchor Points'!$C$2+(A112-'Anchor Points'!$A$2)/('Anchor Points'!$A$3-'Anchor Points'!$A$2)*('Anchor Points'!$C$3-'Anchor Points'!$C$2),IF(A112&lt;=25,'Anchor Points'!$C$3+(A112-'Anchor Points'!$A$3)/('Anchor Points'!$A$4-'Anchor Points'!$A$3)*('Anchor Points'!$C$4-'Anchor Points'!$C$3),IF(A112&lt;=40,'Anchor Points'!$C$4+(A112-'Anchor Points'!$A$4)/('Anchor Points'!$A$5-'Anchor Points'!$A$4)*('Anchor Points'!$C$5-'Anchor Points'!$C$4),IF(A112&lt;=55,'Anchor Points'!$C$5+(A112-'Anchor Points'!$A$5)/('Anchor Points'!$A$6-'Anchor Points'!$A$5)*('Anchor Points'!$C$6-'Anchor Points'!$C$5),IF(A112&lt;=70,'Anchor Points'!$C$6+(A112-'Anchor Points'!$A$6)/('Anchor Points'!$A$7-'Anchor Points'!$A$6)*('Anchor Points'!$C$7-'Anchor Points'!$C$6),IF(A112&lt;=90,'Anchor Points'!$C$7+(A112-'Anchor Points'!$A$7)/('Anchor Points'!$A$8-'Anchor Points'!$A$7)*('Anchor Points'!$C$8-'Anchor Points'!$C$7),'Anchor Points'!$C$8+(A112-'Anchor Points'!$A$8)/('Anchor Points'!$A$9-'Anchor Points'!$A$8)*('Anchor Points'!$C$9-'Anchor Points'!$C$8)))))))</x:f>
        <x:v>95</x:v>
      </x:c>
      <x:c r="E112" s="28" t="n">
        <x:f>IF(A112&lt;=15,'Anchor Points'!$D$2+(A112-'Anchor Points'!$A$2)/('Anchor Points'!$A$3-'Anchor Points'!$A$2)*('Anchor Points'!$D$3-'Anchor Points'!$D$2),IF(A112&lt;=25,'Anchor Points'!$D$3+(A112-'Anchor Points'!$A$3)/('Anchor Points'!$A$4-'Anchor Points'!$A$3)*('Anchor Points'!$D$4-'Anchor Points'!$D$3),IF(A112&lt;=40,'Anchor Points'!$D$4+(A112-'Anchor Points'!$A$4)/('Anchor Points'!$A$5-'Anchor Points'!$A$4)*('Anchor Points'!$D$5-'Anchor Points'!$D$4),IF(A112&lt;=55,'Anchor Points'!$D$5+(A112-'Anchor Points'!$A$5)/('Anchor Points'!$A$6-'Anchor Points'!$A$5)*('Anchor Points'!$D$6-'Anchor Points'!$D$5),IF(A112&lt;=70,'Anchor Points'!$D$6+(A112-'Anchor Points'!$A$6)/('Anchor Points'!$A$7-'Anchor Points'!$A$6)*('Anchor Points'!$D$7-'Anchor Points'!$D$6),IF(A112&lt;=90,'Anchor Points'!$D$7+(A112-'Anchor Points'!$A$7)/('Anchor Points'!$A$8-'Anchor Points'!$A$7)*('Anchor Points'!$D$8-'Anchor Points'!$D$7),'Anchor Points'!$D$8+(A112-'Anchor Points'!$A$8)/('Anchor Points'!$A$9-'Anchor Points'!$A$8)*('Anchor Points'!$D$9-'Anchor Points'!$D$8)))))))</x:f>
        <x:v>6</x:v>
      </x:c>
      <x:c r="F112" s="30" t="n">
        <x:f>ROUND(E112,0)</x:f>
        <x:v>6</x:v>
      </x:c>
      <x:c r="G112" s="28" t="n">
        <x:f>IF(A112&lt;=15,'Anchor Points'!$E$2+(A112-'Anchor Points'!$A$2)/('Anchor Points'!$A$3-'Anchor Points'!$A$2)*('Anchor Points'!$E$3-'Anchor Points'!$E$2),IF(A112&lt;=25,'Anchor Points'!$E$3+(A112-'Anchor Points'!$A$3)/('Anchor Points'!$A$4-'Anchor Points'!$A$3)*('Anchor Points'!$E$4-'Anchor Points'!$E$3),IF(A112&lt;=40,'Anchor Points'!$E$4+(A112-'Anchor Points'!$A$4)/('Anchor Points'!$A$5-'Anchor Points'!$A$4)*('Anchor Points'!$E$5-'Anchor Points'!$E$4),IF(A112&lt;=55,'Anchor Points'!$E$5+(A112-'Anchor Points'!$A$5)/('Anchor Points'!$A$6-'Anchor Points'!$A$5)*('Anchor Points'!$E$6-'Anchor Points'!$E$5),IF(A112&lt;=70,'Anchor Points'!$E$6+(A112-'Anchor Points'!$A$6)/('Anchor Points'!$A$7-'Anchor Points'!$A$6)*('Anchor Points'!$E$7-'Anchor Points'!$E$6),IF(A112&lt;=90,'Anchor Points'!$E$7+(A112-'Anchor Points'!$A$7)/('Anchor Points'!$A$8-'Anchor Points'!$A$7)*('Anchor Points'!$E$8-'Anchor Points'!$E$7),'Anchor Points'!$E$8+(A112-'Anchor Points'!$A$8)/('Anchor Points'!$A$9-'Anchor Points'!$A$8)*('Anchor Points'!$E$9-'Anchor Points'!$E$8)))))))</x:f>
        <x:v>11.333333333333334</x:v>
      </x:c>
      <x:c r="H112" s="30" t="n">
        <x:f>ROUND(G112,0)</x:f>
        <x:v>11</x:v>
      </x:c>
      <x:c r="I112" s="28" t="n">
        <x:f>IF(A112&lt;=15,'Anchor Points'!$F$2+(A112-'Anchor Points'!$A$2)/('Anchor Points'!$A$3-'Anchor Points'!$A$2)*('Anchor Points'!$F$3-'Anchor Points'!$F$2),IF(A112&lt;=25,'Anchor Points'!$F$3+(A112-'Anchor Points'!$A$3)/('Anchor Points'!$A$4-'Anchor Points'!$A$3)*('Anchor Points'!$F$4-'Anchor Points'!$F$3),IF(A112&lt;=40,'Anchor Points'!$F$4+(A112-'Anchor Points'!$A$4)/('Anchor Points'!$A$5-'Anchor Points'!$A$4)*('Anchor Points'!$F$5-'Anchor Points'!$F$4),IF(A112&lt;=55,'Anchor Points'!$F$5+(A112-'Anchor Points'!$A$5)/('Anchor Points'!$A$6-'Anchor Points'!$A$5)*('Anchor Points'!$F$6-'Anchor Points'!$F$5),IF(A112&lt;=70,'Anchor Points'!$F$6+(A112-'Anchor Points'!$A$6)/('Anchor Points'!$A$7-'Anchor Points'!$A$6)*('Anchor Points'!$F$7-'Anchor Points'!$F$6),IF(A112&lt;=90,'Anchor Points'!$F$7+(A112-'Anchor Points'!$A$7)/('Anchor Points'!$A$8-'Anchor Points'!$A$7)*('Anchor Points'!$F$8-'Anchor Points'!$F$7),'Anchor Points'!$F$8+(A112-'Anchor Points'!$A$8)/('Anchor Points'!$A$9-'Anchor Points'!$A$8)*('Anchor Points'!$F$9-'Anchor Points'!$F$8)))))))</x:f>
        <x:v>53.333333333333336</x:v>
      </x:c>
      <x:c r="K112" s="36" t="n">
        <x:f>A88</x:f>
        <x:v>86</x:v>
      </x:c>
      <x:c r="L112" s="36" t="n">
        <x:f>E88</x:f>
        <x:v>8.8</x:v>
      </x:c>
      <x:c r="M112" s="36" t="n">
        <x:f>G88</x:f>
        <x:v>9</x:v>
      </x:c>
      <x:c r="N112" s="36" t="n">
        <x:f>I88</x:f>
        <x:v>45</x:v>
      </x:c>
    </x:row>
    <x:row r="113">
      <x:c r="A113" s="30" t="n">
        <x:v>111</x:v>
      </x:c>
      <x:c r="B113" s="11" t="str">
        <x:f>IF(A113&lt;=15,"Seedling",IF(A113&lt;=25,"Establishment",IF(A113&lt;=40,"Vegetative Growth",IF(A113&lt;=55,"Flowering &amp; Initial Fruit Set",IF(A113&lt;=80,"Fruit Enlargement",IF(A113&lt;=95,"Ripening","Harvesting"))))))</x:f>
        <x:v>Harvesting</x:v>
      </x:c>
      <x:c r="C113" s="28" t="n">
        <x:f>IF(A113&lt;=15,'Anchor Points'!$B$2+(A113-'Anchor Points'!$A$2)/('Anchor Points'!$A$3-'Anchor Points'!$A$2)*('Anchor Points'!$B$3-'Anchor Points'!$B$2),IF(A113&lt;=25,'Anchor Points'!$B$3+(A113-'Anchor Points'!$A$3)/('Anchor Points'!$A$4-'Anchor Points'!$A$3)*('Anchor Points'!$B$4-'Anchor Points'!$B$3),IF(A113&lt;=40,'Anchor Points'!$B$4+(A113-'Anchor Points'!$A$4)/('Anchor Points'!$A$5-'Anchor Points'!$A$4)*('Anchor Points'!$B$5-'Anchor Points'!$B$4),IF(A113&lt;=55,'Anchor Points'!$B$5+(A113-'Anchor Points'!$A$5)/('Anchor Points'!$A$6-'Anchor Points'!$A$5)*('Anchor Points'!$B$6-'Anchor Points'!$B$5),IF(A113&lt;=70,'Anchor Points'!$B$6+(A113-'Anchor Points'!$A$6)/('Anchor Points'!$A$7-'Anchor Points'!$A$6)*('Anchor Points'!$B$7-'Anchor Points'!$B$6),IF(A113&lt;=90,'Anchor Points'!$B$7+(A113-'Anchor Points'!$A$7)/('Anchor Points'!$A$8-'Anchor Points'!$A$7)*('Anchor Points'!$B$8-'Anchor Points'!$B$7),'Anchor Points'!$B$8+(A113-'Anchor Points'!$A$8)/('Anchor Points'!$A$9-'Anchor Points'!$A$8)*('Anchor Points'!$B$9-'Anchor Points'!$B$8)))))))</x:f>
        <x:v>87.6</x:v>
      </x:c>
      <x:c r="D113" s="28" t="n">
        <x:f>IF(A113&lt;=15,'Anchor Points'!$C$2+(A113-'Anchor Points'!$A$2)/('Anchor Points'!$A$3-'Anchor Points'!$A$2)*('Anchor Points'!$C$3-'Anchor Points'!$C$2),IF(A113&lt;=25,'Anchor Points'!$C$3+(A113-'Anchor Points'!$A$3)/('Anchor Points'!$A$4-'Anchor Points'!$A$3)*('Anchor Points'!$C$4-'Anchor Points'!$C$3),IF(A113&lt;=40,'Anchor Points'!$C$4+(A113-'Anchor Points'!$A$4)/('Anchor Points'!$A$5-'Anchor Points'!$A$4)*('Anchor Points'!$C$5-'Anchor Points'!$C$4),IF(A113&lt;=55,'Anchor Points'!$C$5+(A113-'Anchor Points'!$A$5)/('Anchor Points'!$A$6-'Anchor Points'!$A$5)*('Anchor Points'!$C$6-'Anchor Points'!$C$5),IF(A113&lt;=70,'Anchor Points'!$C$6+(A113-'Anchor Points'!$A$6)/('Anchor Points'!$A$7-'Anchor Points'!$A$6)*('Anchor Points'!$C$7-'Anchor Points'!$C$6),IF(A113&lt;=90,'Anchor Points'!$C$7+(A113-'Anchor Points'!$A$7)/('Anchor Points'!$A$8-'Anchor Points'!$A$7)*('Anchor Points'!$C$8-'Anchor Points'!$C$7),'Anchor Points'!$C$8+(A113-'Anchor Points'!$A$8)/('Anchor Points'!$A$9-'Anchor Points'!$A$8)*('Anchor Points'!$C$9-'Anchor Points'!$C$8)))))))</x:f>
        <x:v>95.5</x:v>
      </x:c>
      <x:c r="E113" s="28" t="n">
        <x:f>IF(A113&lt;=15,'Anchor Points'!$D$2+(A113-'Anchor Points'!$A$2)/('Anchor Points'!$A$3-'Anchor Points'!$A$2)*('Anchor Points'!$D$3-'Anchor Points'!$D$2),IF(A113&lt;=25,'Anchor Points'!$D$3+(A113-'Anchor Points'!$A$3)/('Anchor Points'!$A$4-'Anchor Points'!$A$3)*('Anchor Points'!$D$4-'Anchor Points'!$D$3),IF(A113&lt;=40,'Anchor Points'!$D$4+(A113-'Anchor Points'!$A$4)/('Anchor Points'!$A$5-'Anchor Points'!$A$4)*('Anchor Points'!$D$5-'Anchor Points'!$D$4),IF(A113&lt;=55,'Anchor Points'!$D$5+(A113-'Anchor Points'!$A$5)/('Anchor Points'!$A$6-'Anchor Points'!$A$5)*('Anchor Points'!$D$6-'Anchor Points'!$D$5),IF(A113&lt;=70,'Anchor Points'!$D$6+(A113-'Anchor Points'!$A$6)/('Anchor Points'!$A$7-'Anchor Points'!$A$6)*('Anchor Points'!$D$7-'Anchor Points'!$D$6),IF(A113&lt;=90,'Anchor Points'!$D$7+(A113-'Anchor Points'!$A$7)/('Anchor Points'!$A$8-'Anchor Points'!$A$7)*('Anchor Points'!$D$8-'Anchor Points'!$D$7),'Anchor Points'!$D$8+(A113-'Anchor Points'!$A$8)/('Anchor Points'!$A$9-'Anchor Points'!$A$8)*('Anchor Points'!$D$9-'Anchor Points'!$D$8)))))))</x:f>
        <x:v>5.9</x:v>
      </x:c>
      <x:c r="F113" s="30" t="n">
        <x:f>ROUND(E113,0)</x:f>
        <x:v>6</x:v>
      </x:c>
      <x:c r="G113" s="28" t="n">
        <x:f>IF(A113&lt;=15,'Anchor Points'!$E$2+(A113-'Anchor Points'!$A$2)/('Anchor Points'!$A$3-'Anchor Points'!$A$2)*('Anchor Points'!$E$3-'Anchor Points'!$E$2),IF(A113&lt;=25,'Anchor Points'!$E$3+(A113-'Anchor Points'!$A$3)/('Anchor Points'!$A$4-'Anchor Points'!$A$3)*('Anchor Points'!$E$4-'Anchor Points'!$E$3),IF(A113&lt;=40,'Anchor Points'!$E$4+(A113-'Anchor Points'!$A$4)/('Anchor Points'!$A$5-'Anchor Points'!$A$4)*('Anchor Points'!$E$5-'Anchor Points'!$E$4),IF(A113&lt;=55,'Anchor Points'!$E$5+(A113-'Anchor Points'!$A$5)/('Anchor Points'!$A$6-'Anchor Points'!$A$5)*('Anchor Points'!$E$6-'Anchor Points'!$E$5),IF(A113&lt;=70,'Anchor Points'!$E$6+(A113-'Anchor Points'!$A$6)/('Anchor Points'!$A$7-'Anchor Points'!$A$6)*('Anchor Points'!$E$7-'Anchor Points'!$E$6),IF(A113&lt;=90,'Anchor Points'!$E$7+(A113-'Anchor Points'!$A$7)/('Anchor Points'!$A$8-'Anchor Points'!$A$7)*('Anchor Points'!$E$8-'Anchor Points'!$E$7),'Anchor Points'!$E$8+(A113-'Anchor Points'!$A$8)/('Anchor Points'!$A$9-'Anchor Points'!$A$8)*('Anchor Points'!$E$9-'Anchor Points'!$E$8)))))))</x:f>
        <x:v>11.4</x:v>
      </x:c>
      <x:c r="H113" s="30" t="n">
        <x:f>ROUND(G113,0)</x:f>
        <x:v>11</x:v>
      </x:c>
      <x:c r="I113" s="28" t="n">
        <x:f>IF(A113&lt;=15,'Anchor Points'!$F$2+(A113-'Anchor Points'!$A$2)/('Anchor Points'!$A$3-'Anchor Points'!$A$2)*('Anchor Points'!$F$3-'Anchor Points'!$F$2),IF(A113&lt;=25,'Anchor Points'!$F$3+(A113-'Anchor Points'!$A$3)/('Anchor Points'!$A$4-'Anchor Points'!$A$3)*('Anchor Points'!$F$4-'Anchor Points'!$F$3),IF(A113&lt;=40,'Anchor Points'!$F$4+(A113-'Anchor Points'!$A$4)/('Anchor Points'!$A$5-'Anchor Points'!$A$4)*('Anchor Points'!$F$5-'Anchor Points'!$F$4),IF(A113&lt;=55,'Anchor Points'!$F$5+(A113-'Anchor Points'!$A$5)/('Anchor Points'!$A$6-'Anchor Points'!$A$5)*('Anchor Points'!$F$6-'Anchor Points'!$F$5),IF(A113&lt;=70,'Anchor Points'!$F$6+(A113-'Anchor Points'!$A$6)/('Anchor Points'!$A$7-'Anchor Points'!$A$6)*('Anchor Points'!$F$7-'Anchor Points'!$F$6),IF(A113&lt;=90,'Anchor Points'!$F$7+(A113-'Anchor Points'!$A$7)/('Anchor Points'!$A$8-'Anchor Points'!$A$7)*('Anchor Points'!$F$8-'Anchor Points'!$F$7),'Anchor Points'!$F$8+(A113-'Anchor Points'!$A$8)/('Anchor Points'!$A$9-'Anchor Points'!$A$8)*('Anchor Points'!$F$9-'Anchor Points'!$F$8)))))))</x:f>
        <x:v>53.5</x:v>
      </x:c>
      <x:c r="K113" s="36" t="n">
        <x:f>A89</x:f>
        <x:v>87</x:v>
      </x:c>
      <x:c r="L113" s="36" t="n">
        <x:f>E89</x:f>
        <x:v>8.6</x:v>
      </x:c>
      <x:c r="M113" s="36" t="n">
        <x:f>G89</x:f>
        <x:v>9.25</x:v>
      </x:c>
      <x:c r="N113" s="36" t="n">
        <x:f>I89</x:f>
        <x:v>46.25</x:v>
      </x:c>
    </x:row>
    <x:row r="114">
      <x:c r="A114" s="30" t="n">
        <x:v>112</x:v>
      </x:c>
      <x:c r="B114" s="11" t="str">
        <x:f>IF(A114&lt;=15,"Seedling",IF(A114&lt;=25,"Establishment",IF(A114&lt;=40,"Vegetative Growth",IF(A114&lt;=55,"Flowering &amp; Initial Fruit Set",IF(A114&lt;=80,"Fruit Enlargement",IF(A114&lt;=95,"Ripening","Harvesting"))))))</x:f>
        <x:v>Harvesting</x:v>
      </x:c>
      <x:c r="C114" s="28" t="n">
        <x:f>IF(A114&lt;=15,'Anchor Points'!$B$2+(A114-'Anchor Points'!$A$2)/('Anchor Points'!$A$3-'Anchor Points'!$A$2)*('Anchor Points'!$B$3-'Anchor Points'!$B$2),IF(A114&lt;=25,'Anchor Points'!$B$3+(A114-'Anchor Points'!$A$3)/('Anchor Points'!$A$4-'Anchor Points'!$A$3)*('Anchor Points'!$B$4-'Anchor Points'!$B$3),IF(A114&lt;=40,'Anchor Points'!$B$4+(A114-'Anchor Points'!$A$4)/('Anchor Points'!$A$5-'Anchor Points'!$A$4)*('Anchor Points'!$B$5-'Anchor Points'!$B$4),IF(A114&lt;=55,'Anchor Points'!$B$5+(A114-'Anchor Points'!$A$5)/('Anchor Points'!$A$6-'Anchor Points'!$A$5)*('Anchor Points'!$B$6-'Anchor Points'!$B$5),IF(A114&lt;=70,'Anchor Points'!$B$6+(A114-'Anchor Points'!$A$6)/('Anchor Points'!$A$7-'Anchor Points'!$A$6)*('Anchor Points'!$B$7-'Anchor Points'!$B$6),IF(A114&lt;=90,'Anchor Points'!$B$7+(A114-'Anchor Points'!$A$7)/('Anchor Points'!$A$8-'Anchor Points'!$A$7)*('Anchor Points'!$B$8-'Anchor Points'!$B$7),'Anchor Points'!$B$8+(A114-'Anchor Points'!$A$8)/('Anchor Points'!$A$9-'Anchor Points'!$A$8)*('Anchor Points'!$B$9-'Anchor Points'!$B$8)))))))</x:f>
        <x:v>87.86666666666666</x:v>
      </x:c>
      <x:c r="D114" s="28" t="n">
        <x:f>IF(A114&lt;=15,'Anchor Points'!$C$2+(A114-'Anchor Points'!$A$2)/('Anchor Points'!$A$3-'Anchor Points'!$A$2)*('Anchor Points'!$C$3-'Anchor Points'!$C$2),IF(A114&lt;=25,'Anchor Points'!$C$3+(A114-'Anchor Points'!$A$3)/('Anchor Points'!$A$4-'Anchor Points'!$A$3)*('Anchor Points'!$C$4-'Anchor Points'!$C$3),IF(A114&lt;=40,'Anchor Points'!$C$4+(A114-'Anchor Points'!$A$4)/('Anchor Points'!$A$5-'Anchor Points'!$A$4)*('Anchor Points'!$C$5-'Anchor Points'!$C$4),IF(A114&lt;=55,'Anchor Points'!$C$5+(A114-'Anchor Points'!$A$5)/('Anchor Points'!$A$6-'Anchor Points'!$A$5)*('Anchor Points'!$C$6-'Anchor Points'!$C$5),IF(A114&lt;=70,'Anchor Points'!$C$6+(A114-'Anchor Points'!$A$6)/('Anchor Points'!$A$7-'Anchor Points'!$A$6)*('Anchor Points'!$C$7-'Anchor Points'!$C$6),IF(A114&lt;=90,'Anchor Points'!$C$7+(A114-'Anchor Points'!$A$7)/('Anchor Points'!$A$8-'Anchor Points'!$A$7)*('Anchor Points'!$C$8-'Anchor Points'!$C$7),'Anchor Points'!$C$8+(A114-'Anchor Points'!$A$8)/('Anchor Points'!$A$9-'Anchor Points'!$A$8)*('Anchor Points'!$C$9-'Anchor Points'!$C$8)))))))</x:f>
        <x:v>96</x:v>
      </x:c>
      <x:c r="E114" s="28" t="n">
        <x:f>IF(A114&lt;=15,'Anchor Points'!$D$2+(A114-'Anchor Points'!$A$2)/('Anchor Points'!$A$3-'Anchor Points'!$A$2)*('Anchor Points'!$D$3-'Anchor Points'!$D$2),IF(A114&lt;=25,'Anchor Points'!$D$3+(A114-'Anchor Points'!$A$3)/('Anchor Points'!$A$4-'Anchor Points'!$A$3)*('Anchor Points'!$D$4-'Anchor Points'!$D$3),IF(A114&lt;=40,'Anchor Points'!$D$4+(A114-'Anchor Points'!$A$4)/('Anchor Points'!$A$5-'Anchor Points'!$A$4)*('Anchor Points'!$D$5-'Anchor Points'!$D$4),IF(A114&lt;=55,'Anchor Points'!$D$5+(A114-'Anchor Points'!$A$5)/('Anchor Points'!$A$6-'Anchor Points'!$A$5)*('Anchor Points'!$D$6-'Anchor Points'!$D$5),IF(A114&lt;=70,'Anchor Points'!$D$6+(A114-'Anchor Points'!$A$6)/('Anchor Points'!$A$7-'Anchor Points'!$A$6)*('Anchor Points'!$D$7-'Anchor Points'!$D$6),IF(A114&lt;=90,'Anchor Points'!$D$7+(A114-'Anchor Points'!$A$7)/('Anchor Points'!$A$8-'Anchor Points'!$A$7)*('Anchor Points'!$D$8-'Anchor Points'!$D$7),'Anchor Points'!$D$8+(A114-'Anchor Points'!$A$8)/('Anchor Points'!$A$9-'Anchor Points'!$A$8)*('Anchor Points'!$D$9-'Anchor Points'!$D$8)))))))</x:f>
        <x:v>5.800000000000001</x:v>
      </x:c>
      <x:c r="F114" s="30" t="n">
        <x:f>ROUND(E114,0)</x:f>
        <x:v>6</x:v>
      </x:c>
      <x:c r="G114" s="28" t="n">
        <x:f>IF(A114&lt;=15,'Anchor Points'!$E$2+(A114-'Anchor Points'!$A$2)/('Anchor Points'!$A$3-'Anchor Points'!$A$2)*('Anchor Points'!$E$3-'Anchor Points'!$E$2),IF(A114&lt;=25,'Anchor Points'!$E$3+(A114-'Anchor Points'!$A$3)/('Anchor Points'!$A$4-'Anchor Points'!$A$3)*('Anchor Points'!$E$4-'Anchor Points'!$E$3),IF(A114&lt;=40,'Anchor Points'!$E$4+(A114-'Anchor Points'!$A$4)/('Anchor Points'!$A$5-'Anchor Points'!$A$4)*('Anchor Points'!$E$5-'Anchor Points'!$E$4),IF(A114&lt;=55,'Anchor Points'!$E$5+(A114-'Anchor Points'!$A$5)/('Anchor Points'!$A$6-'Anchor Points'!$A$5)*('Anchor Points'!$E$6-'Anchor Points'!$E$5),IF(A114&lt;=70,'Anchor Points'!$E$6+(A114-'Anchor Points'!$A$6)/('Anchor Points'!$A$7-'Anchor Points'!$A$6)*('Anchor Points'!$E$7-'Anchor Points'!$E$6),IF(A114&lt;=90,'Anchor Points'!$E$7+(A114-'Anchor Points'!$A$7)/('Anchor Points'!$A$8-'Anchor Points'!$A$7)*('Anchor Points'!$E$8-'Anchor Points'!$E$7),'Anchor Points'!$E$8+(A114-'Anchor Points'!$A$8)/('Anchor Points'!$A$9-'Anchor Points'!$A$8)*('Anchor Points'!$E$9-'Anchor Points'!$E$8)))))))</x:f>
        <x:v>11.466666666666667</x:v>
      </x:c>
      <x:c r="H114" s="30" t="n">
        <x:f>ROUND(G114,0)</x:f>
        <x:v>11</x:v>
      </x:c>
      <x:c r="I114" s="28" t="n">
        <x:f>IF(A114&lt;=15,'Anchor Points'!$F$2+(A114-'Anchor Points'!$A$2)/('Anchor Points'!$A$3-'Anchor Points'!$A$2)*('Anchor Points'!$F$3-'Anchor Points'!$F$2),IF(A114&lt;=25,'Anchor Points'!$F$3+(A114-'Anchor Points'!$A$3)/('Anchor Points'!$A$4-'Anchor Points'!$A$3)*('Anchor Points'!$F$4-'Anchor Points'!$F$3),IF(A114&lt;=40,'Anchor Points'!$F$4+(A114-'Anchor Points'!$A$4)/('Anchor Points'!$A$5-'Anchor Points'!$A$4)*('Anchor Points'!$F$5-'Anchor Points'!$F$4),IF(A114&lt;=55,'Anchor Points'!$F$5+(A114-'Anchor Points'!$A$5)/('Anchor Points'!$A$6-'Anchor Points'!$A$5)*('Anchor Points'!$F$6-'Anchor Points'!$F$5),IF(A114&lt;=70,'Anchor Points'!$F$6+(A114-'Anchor Points'!$A$6)/('Anchor Points'!$A$7-'Anchor Points'!$A$6)*('Anchor Points'!$F$7-'Anchor Points'!$F$6),IF(A114&lt;=90,'Anchor Points'!$F$7+(A114-'Anchor Points'!$A$7)/('Anchor Points'!$A$8-'Anchor Points'!$A$7)*('Anchor Points'!$F$8-'Anchor Points'!$F$7),'Anchor Points'!$F$8+(A114-'Anchor Points'!$A$8)/('Anchor Points'!$A$9-'Anchor Points'!$A$8)*('Anchor Points'!$F$9-'Anchor Points'!$F$8)))))))</x:f>
        <x:v>53.666666666666664</x:v>
      </x:c>
      <x:c r="K114" s="36" t="n">
        <x:f>A90</x:f>
        <x:v>88</x:v>
      </x:c>
      <x:c r="L114" s="36" t="n">
        <x:f>E90</x:f>
        <x:v>8.4</x:v>
      </x:c>
      <x:c r="M114" s="36" t="n">
        <x:f>G90</x:f>
        <x:v>9.5</x:v>
      </x:c>
      <x:c r="N114" s="36" t="n">
        <x:f>I90</x:f>
        <x:v>47.5</x:v>
      </x:c>
    </x:row>
    <x:row r="115">
      <x:c r="A115" s="30" t="n">
        <x:v>113</x:v>
      </x:c>
      <x:c r="B115" s="11" t="str">
        <x:f>IF(A115&lt;=15,"Seedling",IF(A115&lt;=25,"Establishment",IF(A115&lt;=40,"Vegetative Growth",IF(A115&lt;=55,"Flowering &amp; Initial Fruit Set",IF(A115&lt;=80,"Fruit Enlargement",IF(A115&lt;=95,"Ripening","Harvesting"))))))</x:f>
        <x:v>Harvesting</x:v>
      </x:c>
      <x:c r="C115" s="28" t="n">
        <x:f>IF(A115&lt;=15,'Anchor Points'!$B$2+(A115-'Anchor Points'!$A$2)/('Anchor Points'!$A$3-'Anchor Points'!$A$2)*('Anchor Points'!$B$3-'Anchor Points'!$B$2),IF(A115&lt;=25,'Anchor Points'!$B$3+(A115-'Anchor Points'!$A$3)/('Anchor Points'!$A$4-'Anchor Points'!$A$3)*('Anchor Points'!$B$4-'Anchor Points'!$B$3),IF(A115&lt;=40,'Anchor Points'!$B$4+(A115-'Anchor Points'!$A$4)/('Anchor Points'!$A$5-'Anchor Points'!$A$4)*('Anchor Points'!$B$5-'Anchor Points'!$B$4),IF(A115&lt;=55,'Anchor Points'!$B$5+(A115-'Anchor Points'!$A$5)/('Anchor Points'!$A$6-'Anchor Points'!$A$5)*('Anchor Points'!$B$6-'Anchor Points'!$B$5),IF(A115&lt;=70,'Anchor Points'!$B$6+(A115-'Anchor Points'!$A$6)/('Anchor Points'!$A$7-'Anchor Points'!$A$6)*('Anchor Points'!$B$7-'Anchor Points'!$B$6),IF(A115&lt;=90,'Anchor Points'!$B$7+(A115-'Anchor Points'!$A$7)/('Anchor Points'!$A$8-'Anchor Points'!$A$7)*('Anchor Points'!$B$8-'Anchor Points'!$B$7),'Anchor Points'!$B$8+(A115-'Anchor Points'!$A$8)/('Anchor Points'!$A$9-'Anchor Points'!$A$8)*('Anchor Points'!$B$9-'Anchor Points'!$B$8)))))))</x:f>
        <x:v>88.13333333333334</x:v>
      </x:c>
      <x:c r="D115" s="28" t="n">
        <x:f>IF(A115&lt;=15,'Anchor Points'!$C$2+(A115-'Anchor Points'!$A$2)/('Anchor Points'!$A$3-'Anchor Points'!$A$2)*('Anchor Points'!$C$3-'Anchor Points'!$C$2),IF(A115&lt;=25,'Anchor Points'!$C$3+(A115-'Anchor Points'!$A$3)/('Anchor Points'!$A$4-'Anchor Points'!$A$3)*('Anchor Points'!$C$4-'Anchor Points'!$C$3),IF(A115&lt;=40,'Anchor Points'!$C$4+(A115-'Anchor Points'!$A$4)/('Anchor Points'!$A$5-'Anchor Points'!$A$4)*('Anchor Points'!$C$5-'Anchor Points'!$C$4),IF(A115&lt;=55,'Anchor Points'!$C$5+(A115-'Anchor Points'!$A$5)/('Anchor Points'!$A$6-'Anchor Points'!$A$5)*('Anchor Points'!$C$6-'Anchor Points'!$C$5),IF(A115&lt;=70,'Anchor Points'!$C$6+(A115-'Anchor Points'!$A$6)/('Anchor Points'!$A$7-'Anchor Points'!$A$6)*('Anchor Points'!$C$7-'Anchor Points'!$C$6),IF(A115&lt;=90,'Anchor Points'!$C$7+(A115-'Anchor Points'!$A$7)/('Anchor Points'!$A$8-'Anchor Points'!$A$7)*('Anchor Points'!$C$8-'Anchor Points'!$C$7),'Anchor Points'!$C$8+(A115-'Anchor Points'!$A$8)/('Anchor Points'!$A$9-'Anchor Points'!$A$8)*('Anchor Points'!$C$9-'Anchor Points'!$C$8)))))))</x:f>
        <x:v>96.5</x:v>
      </x:c>
      <x:c r="E115" s="28" t="n">
        <x:f>IF(A115&lt;=15,'Anchor Points'!$D$2+(A115-'Anchor Points'!$A$2)/('Anchor Points'!$A$3-'Anchor Points'!$A$2)*('Anchor Points'!$D$3-'Anchor Points'!$D$2),IF(A115&lt;=25,'Anchor Points'!$D$3+(A115-'Anchor Points'!$A$3)/('Anchor Points'!$A$4-'Anchor Points'!$A$3)*('Anchor Points'!$D$4-'Anchor Points'!$D$3),IF(A115&lt;=40,'Anchor Points'!$D$4+(A115-'Anchor Points'!$A$4)/('Anchor Points'!$A$5-'Anchor Points'!$A$4)*('Anchor Points'!$D$5-'Anchor Points'!$D$4),IF(A115&lt;=55,'Anchor Points'!$D$5+(A115-'Anchor Points'!$A$5)/('Anchor Points'!$A$6-'Anchor Points'!$A$5)*('Anchor Points'!$D$6-'Anchor Points'!$D$5),IF(A115&lt;=70,'Anchor Points'!$D$6+(A115-'Anchor Points'!$A$6)/('Anchor Points'!$A$7-'Anchor Points'!$A$6)*('Anchor Points'!$D$7-'Anchor Points'!$D$6),IF(A115&lt;=90,'Anchor Points'!$D$7+(A115-'Anchor Points'!$A$7)/('Anchor Points'!$A$8-'Anchor Points'!$A$7)*('Anchor Points'!$D$8-'Anchor Points'!$D$7),'Anchor Points'!$D$8+(A115-'Anchor Points'!$A$8)/('Anchor Points'!$A$9-'Anchor Points'!$A$8)*('Anchor Points'!$D$9-'Anchor Points'!$D$8)))))))</x:f>
        <x:v>5.699999999999999</x:v>
      </x:c>
      <x:c r="F115" s="30" t="n">
        <x:f>ROUND(E115,0)</x:f>
        <x:v>6</x:v>
      </x:c>
      <x:c r="G115" s="28" t="n">
        <x:f>IF(A115&lt;=15,'Anchor Points'!$E$2+(A115-'Anchor Points'!$A$2)/('Anchor Points'!$A$3-'Anchor Points'!$A$2)*('Anchor Points'!$E$3-'Anchor Points'!$E$2),IF(A115&lt;=25,'Anchor Points'!$E$3+(A115-'Anchor Points'!$A$3)/('Anchor Points'!$A$4-'Anchor Points'!$A$3)*('Anchor Points'!$E$4-'Anchor Points'!$E$3),IF(A115&lt;=40,'Anchor Points'!$E$4+(A115-'Anchor Points'!$A$4)/('Anchor Points'!$A$5-'Anchor Points'!$A$4)*('Anchor Points'!$E$5-'Anchor Points'!$E$4),IF(A115&lt;=55,'Anchor Points'!$E$5+(A115-'Anchor Points'!$A$5)/('Anchor Points'!$A$6-'Anchor Points'!$A$5)*('Anchor Points'!$E$6-'Anchor Points'!$E$5),IF(A115&lt;=70,'Anchor Points'!$E$6+(A115-'Anchor Points'!$A$6)/('Anchor Points'!$A$7-'Anchor Points'!$A$6)*('Anchor Points'!$E$7-'Anchor Points'!$E$6),IF(A115&lt;=90,'Anchor Points'!$E$7+(A115-'Anchor Points'!$A$7)/('Anchor Points'!$A$8-'Anchor Points'!$A$7)*('Anchor Points'!$E$8-'Anchor Points'!$E$7),'Anchor Points'!$E$8+(A115-'Anchor Points'!$A$8)/('Anchor Points'!$A$9-'Anchor Points'!$A$8)*('Anchor Points'!$E$9-'Anchor Points'!$E$8)))))))</x:f>
        <x:v>11.533333333333333</x:v>
      </x:c>
      <x:c r="H115" s="30" t="n">
        <x:f>ROUND(G115,0)</x:f>
        <x:v>12</x:v>
      </x:c>
      <x:c r="I115" s="28" t="n">
        <x:f>IF(A115&lt;=15,'Anchor Points'!$F$2+(A115-'Anchor Points'!$A$2)/('Anchor Points'!$A$3-'Anchor Points'!$A$2)*('Anchor Points'!$F$3-'Anchor Points'!$F$2),IF(A115&lt;=25,'Anchor Points'!$F$3+(A115-'Anchor Points'!$A$3)/('Anchor Points'!$A$4-'Anchor Points'!$A$3)*('Anchor Points'!$F$4-'Anchor Points'!$F$3),IF(A115&lt;=40,'Anchor Points'!$F$4+(A115-'Anchor Points'!$A$4)/('Anchor Points'!$A$5-'Anchor Points'!$A$4)*('Anchor Points'!$F$5-'Anchor Points'!$F$4),IF(A115&lt;=55,'Anchor Points'!$F$5+(A115-'Anchor Points'!$A$5)/('Anchor Points'!$A$6-'Anchor Points'!$A$5)*('Anchor Points'!$F$6-'Anchor Points'!$F$5),IF(A115&lt;=70,'Anchor Points'!$F$6+(A115-'Anchor Points'!$A$6)/('Anchor Points'!$A$7-'Anchor Points'!$A$6)*('Anchor Points'!$F$7-'Anchor Points'!$F$6),IF(A115&lt;=90,'Anchor Points'!$F$7+(A115-'Anchor Points'!$A$7)/('Anchor Points'!$A$8-'Anchor Points'!$A$7)*('Anchor Points'!$F$8-'Anchor Points'!$F$7),'Anchor Points'!$F$8+(A115-'Anchor Points'!$A$8)/('Anchor Points'!$A$9-'Anchor Points'!$A$8)*('Anchor Points'!$F$9-'Anchor Points'!$F$8)))))))</x:f>
        <x:v>53.833333333333336</x:v>
      </x:c>
      <x:c r="K115" s="36" t="n">
        <x:f>A91</x:f>
        <x:v>89</x:v>
      </x:c>
      <x:c r="L115" s="36" t="n">
        <x:f>E91</x:f>
        <x:v>8.2</x:v>
      </x:c>
      <x:c r="M115" s="36" t="n">
        <x:f>G91</x:f>
        <x:v>9.75</x:v>
      </x:c>
      <x:c r="N115" s="36" t="n">
        <x:f>I91</x:f>
        <x:v>48.75</x:v>
      </x:c>
    </x:row>
    <x:row r="116">
      <x:c r="A116" s="30" t="n">
        <x:v>114</x:v>
      </x:c>
      <x:c r="B116" s="11" t="str">
        <x:f>IF(A116&lt;=15,"Seedling",IF(A116&lt;=25,"Establishment",IF(A116&lt;=40,"Vegetative Growth",IF(A116&lt;=55,"Flowering &amp; Initial Fruit Set",IF(A116&lt;=80,"Fruit Enlargement",IF(A116&lt;=95,"Ripening","Harvesting"))))))</x:f>
        <x:v>Harvesting</x:v>
      </x:c>
      <x:c r="C116" s="28" t="n">
        <x:f>IF(A116&lt;=15,'Anchor Points'!$B$2+(A116-'Anchor Points'!$A$2)/('Anchor Points'!$A$3-'Anchor Points'!$A$2)*('Anchor Points'!$B$3-'Anchor Points'!$B$2),IF(A116&lt;=25,'Anchor Points'!$B$3+(A116-'Anchor Points'!$A$3)/('Anchor Points'!$A$4-'Anchor Points'!$A$3)*('Anchor Points'!$B$4-'Anchor Points'!$B$3),IF(A116&lt;=40,'Anchor Points'!$B$4+(A116-'Anchor Points'!$A$4)/('Anchor Points'!$A$5-'Anchor Points'!$A$4)*('Anchor Points'!$B$5-'Anchor Points'!$B$4),IF(A116&lt;=55,'Anchor Points'!$B$5+(A116-'Anchor Points'!$A$5)/('Anchor Points'!$A$6-'Anchor Points'!$A$5)*('Anchor Points'!$B$6-'Anchor Points'!$B$5),IF(A116&lt;=70,'Anchor Points'!$B$6+(A116-'Anchor Points'!$A$6)/('Anchor Points'!$A$7-'Anchor Points'!$A$6)*('Anchor Points'!$B$7-'Anchor Points'!$B$6),IF(A116&lt;=90,'Anchor Points'!$B$7+(A116-'Anchor Points'!$A$7)/('Anchor Points'!$A$8-'Anchor Points'!$A$7)*('Anchor Points'!$B$8-'Anchor Points'!$B$7),'Anchor Points'!$B$8+(A116-'Anchor Points'!$A$8)/('Anchor Points'!$A$9-'Anchor Points'!$A$8)*('Anchor Points'!$B$9-'Anchor Points'!$B$8)))))))</x:f>
        <x:v>88.4</x:v>
      </x:c>
      <x:c r="D116" s="28" t="n">
        <x:f>IF(A116&lt;=15,'Anchor Points'!$C$2+(A116-'Anchor Points'!$A$2)/('Anchor Points'!$A$3-'Anchor Points'!$A$2)*('Anchor Points'!$C$3-'Anchor Points'!$C$2),IF(A116&lt;=25,'Anchor Points'!$C$3+(A116-'Anchor Points'!$A$3)/('Anchor Points'!$A$4-'Anchor Points'!$A$3)*('Anchor Points'!$C$4-'Anchor Points'!$C$3),IF(A116&lt;=40,'Anchor Points'!$C$4+(A116-'Anchor Points'!$A$4)/('Anchor Points'!$A$5-'Anchor Points'!$A$4)*('Anchor Points'!$C$5-'Anchor Points'!$C$4),IF(A116&lt;=55,'Anchor Points'!$C$5+(A116-'Anchor Points'!$A$5)/('Anchor Points'!$A$6-'Anchor Points'!$A$5)*('Anchor Points'!$C$6-'Anchor Points'!$C$5),IF(A116&lt;=70,'Anchor Points'!$C$6+(A116-'Anchor Points'!$A$6)/('Anchor Points'!$A$7-'Anchor Points'!$A$6)*('Anchor Points'!$C$7-'Anchor Points'!$C$6),IF(A116&lt;=90,'Anchor Points'!$C$7+(A116-'Anchor Points'!$A$7)/('Anchor Points'!$A$8-'Anchor Points'!$A$7)*('Anchor Points'!$C$8-'Anchor Points'!$C$7),'Anchor Points'!$C$8+(A116-'Anchor Points'!$A$8)/('Anchor Points'!$A$9-'Anchor Points'!$A$8)*('Anchor Points'!$C$9-'Anchor Points'!$C$8)))))))</x:f>
        <x:v>97</x:v>
      </x:c>
      <x:c r="E116" s="28" t="n">
        <x:f>IF(A116&lt;=15,'Anchor Points'!$D$2+(A116-'Anchor Points'!$A$2)/('Anchor Points'!$A$3-'Anchor Points'!$A$2)*('Anchor Points'!$D$3-'Anchor Points'!$D$2),IF(A116&lt;=25,'Anchor Points'!$D$3+(A116-'Anchor Points'!$A$3)/('Anchor Points'!$A$4-'Anchor Points'!$A$3)*('Anchor Points'!$D$4-'Anchor Points'!$D$3),IF(A116&lt;=40,'Anchor Points'!$D$4+(A116-'Anchor Points'!$A$4)/('Anchor Points'!$A$5-'Anchor Points'!$A$4)*('Anchor Points'!$D$5-'Anchor Points'!$D$4),IF(A116&lt;=55,'Anchor Points'!$D$5+(A116-'Anchor Points'!$A$5)/('Anchor Points'!$A$6-'Anchor Points'!$A$5)*('Anchor Points'!$D$6-'Anchor Points'!$D$5),IF(A116&lt;=70,'Anchor Points'!$D$6+(A116-'Anchor Points'!$A$6)/('Anchor Points'!$A$7-'Anchor Points'!$A$6)*('Anchor Points'!$D$7-'Anchor Points'!$D$6),IF(A116&lt;=90,'Anchor Points'!$D$7+(A116-'Anchor Points'!$A$7)/('Anchor Points'!$A$8-'Anchor Points'!$A$7)*('Anchor Points'!$D$8-'Anchor Points'!$D$7),'Anchor Points'!$D$8+(A116-'Anchor Points'!$A$8)/('Anchor Points'!$A$9-'Anchor Points'!$A$8)*('Anchor Points'!$D$9-'Anchor Points'!$D$8)))))))</x:f>
        <x:v>5.6</x:v>
      </x:c>
      <x:c r="F116" s="30" t="n">
        <x:f>ROUND(E116,0)</x:f>
        <x:v>6</x:v>
      </x:c>
      <x:c r="G116" s="28" t="n">
        <x:f>IF(A116&lt;=15,'Anchor Points'!$E$2+(A116-'Anchor Points'!$A$2)/('Anchor Points'!$A$3-'Anchor Points'!$A$2)*('Anchor Points'!$E$3-'Anchor Points'!$E$2),IF(A116&lt;=25,'Anchor Points'!$E$3+(A116-'Anchor Points'!$A$3)/('Anchor Points'!$A$4-'Anchor Points'!$A$3)*('Anchor Points'!$E$4-'Anchor Points'!$E$3),IF(A116&lt;=40,'Anchor Points'!$E$4+(A116-'Anchor Points'!$A$4)/('Anchor Points'!$A$5-'Anchor Points'!$A$4)*('Anchor Points'!$E$5-'Anchor Points'!$E$4),IF(A116&lt;=55,'Anchor Points'!$E$5+(A116-'Anchor Points'!$A$5)/('Anchor Points'!$A$6-'Anchor Points'!$A$5)*('Anchor Points'!$E$6-'Anchor Points'!$E$5),IF(A116&lt;=70,'Anchor Points'!$E$6+(A116-'Anchor Points'!$A$6)/('Anchor Points'!$A$7-'Anchor Points'!$A$6)*('Anchor Points'!$E$7-'Anchor Points'!$E$6),IF(A116&lt;=90,'Anchor Points'!$E$7+(A116-'Anchor Points'!$A$7)/('Anchor Points'!$A$8-'Anchor Points'!$A$7)*('Anchor Points'!$E$8-'Anchor Points'!$E$7),'Anchor Points'!$E$8+(A116-'Anchor Points'!$A$8)/('Anchor Points'!$A$9-'Anchor Points'!$A$8)*('Anchor Points'!$E$9-'Anchor Points'!$E$8)))))))</x:f>
        <x:v>11.6</x:v>
      </x:c>
      <x:c r="H116" s="30" t="n">
        <x:f>ROUND(G116,0)</x:f>
        <x:v>12</x:v>
      </x:c>
      <x:c r="I116" s="28" t="n">
        <x:f>IF(A116&lt;=15,'Anchor Points'!$F$2+(A116-'Anchor Points'!$A$2)/('Anchor Points'!$A$3-'Anchor Points'!$A$2)*('Anchor Points'!$F$3-'Anchor Points'!$F$2),IF(A116&lt;=25,'Anchor Points'!$F$3+(A116-'Anchor Points'!$A$3)/('Anchor Points'!$A$4-'Anchor Points'!$A$3)*('Anchor Points'!$F$4-'Anchor Points'!$F$3),IF(A116&lt;=40,'Anchor Points'!$F$4+(A116-'Anchor Points'!$A$4)/('Anchor Points'!$A$5-'Anchor Points'!$A$4)*('Anchor Points'!$F$5-'Anchor Points'!$F$4),IF(A116&lt;=55,'Anchor Points'!$F$5+(A116-'Anchor Points'!$A$5)/('Anchor Points'!$A$6-'Anchor Points'!$A$5)*('Anchor Points'!$F$6-'Anchor Points'!$F$5),IF(A116&lt;=70,'Anchor Points'!$F$6+(A116-'Anchor Points'!$A$6)/('Anchor Points'!$A$7-'Anchor Points'!$A$6)*('Anchor Points'!$F$7-'Anchor Points'!$F$6),IF(A116&lt;=90,'Anchor Points'!$F$7+(A116-'Anchor Points'!$A$7)/('Anchor Points'!$A$8-'Anchor Points'!$A$7)*('Anchor Points'!$F$8-'Anchor Points'!$F$7),'Anchor Points'!$F$8+(A116-'Anchor Points'!$A$8)/('Anchor Points'!$A$9-'Anchor Points'!$A$8)*('Anchor Points'!$F$9-'Anchor Points'!$F$8)))))))</x:f>
        <x:v>54</x:v>
      </x:c>
      <x:c r="K116" s="36" t="n">
        <x:f>A92</x:f>
        <x:v>90</x:v>
      </x:c>
      <x:c r="L116" s="36" t="n">
        <x:f>E92</x:f>
        <x:v>8</x:v>
      </x:c>
      <x:c r="M116" s="36" t="n">
        <x:f>G92</x:f>
        <x:v>10</x:v>
      </x:c>
      <x:c r="N116" s="36" t="n">
        <x:f>I92</x:f>
        <x:v>50</x:v>
      </x:c>
    </x:row>
    <x:row r="117">
      <x:c r="A117" s="30" t="n">
        <x:v>115</x:v>
      </x:c>
      <x:c r="B117" s="11" t="str">
        <x:f>IF(A117&lt;=15,"Seedling",IF(A117&lt;=25,"Establishment",IF(A117&lt;=40,"Vegetative Growth",IF(A117&lt;=55,"Flowering &amp; Initial Fruit Set",IF(A117&lt;=80,"Fruit Enlargement",IF(A117&lt;=95,"Ripening","Harvesting"))))))</x:f>
        <x:v>Harvesting</x:v>
      </x:c>
      <x:c r="C117" s="28" t="n">
        <x:f>IF(A117&lt;=15,'Anchor Points'!$B$2+(A117-'Anchor Points'!$A$2)/('Anchor Points'!$A$3-'Anchor Points'!$A$2)*('Anchor Points'!$B$3-'Anchor Points'!$B$2),IF(A117&lt;=25,'Anchor Points'!$B$3+(A117-'Anchor Points'!$A$3)/('Anchor Points'!$A$4-'Anchor Points'!$A$3)*('Anchor Points'!$B$4-'Anchor Points'!$B$3),IF(A117&lt;=40,'Anchor Points'!$B$4+(A117-'Anchor Points'!$A$4)/('Anchor Points'!$A$5-'Anchor Points'!$A$4)*('Anchor Points'!$B$5-'Anchor Points'!$B$4),IF(A117&lt;=55,'Anchor Points'!$B$5+(A117-'Anchor Points'!$A$5)/('Anchor Points'!$A$6-'Anchor Points'!$A$5)*('Anchor Points'!$B$6-'Anchor Points'!$B$5),IF(A117&lt;=70,'Anchor Points'!$B$6+(A117-'Anchor Points'!$A$6)/('Anchor Points'!$A$7-'Anchor Points'!$A$6)*('Anchor Points'!$B$7-'Anchor Points'!$B$6),IF(A117&lt;=90,'Anchor Points'!$B$7+(A117-'Anchor Points'!$A$7)/('Anchor Points'!$A$8-'Anchor Points'!$A$7)*('Anchor Points'!$B$8-'Anchor Points'!$B$7),'Anchor Points'!$B$8+(A117-'Anchor Points'!$A$8)/('Anchor Points'!$A$9-'Anchor Points'!$A$8)*('Anchor Points'!$B$9-'Anchor Points'!$B$8)))))))</x:f>
        <x:v>88.66666666666667</x:v>
      </x:c>
      <x:c r="D117" s="28" t="n">
        <x:f>IF(A117&lt;=15,'Anchor Points'!$C$2+(A117-'Anchor Points'!$A$2)/('Anchor Points'!$A$3-'Anchor Points'!$A$2)*('Anchor Points'!$C$3-'Anchor Points'!$C$2),IF(A117&lt;=25,'Anchor Points'!$C$3+(A117-'Anchor Points'!$A$3)/('Anchor Points'!$A$4-'Anchor Points'!$A$3)*('Anchor Points'!$C$4-'Anchor Points'!$C$3),IF(A117&lt;=40,'Anchor Points'!$C$4+(A117-'Anchor Points'!$A$4)/('Anchor Points'!$A$5-'Anchor Points'!$A$4)*('Anchor Points'!$C$5-'Anchor Points'!$C$4),IF(A117&lt;=55,'Anchor Points'!$C$5+(A117-'Anchor Points'!$A$5)/('Anchor Points'!$A$6-'Anchor Points'!$A$5)*('Anchor Points'!$C$6-'Anchor Points'!$C$5),IF(A117&lt;=70,'Anchor Points'!$C$6+(A117-'Anchor Points'!$A$6)/('Anchor Points'!$A$7-'Anchor Points'!$A$6)*('Anchor Points'!$C$7-'Anchor Points'!$C$6),IF(A117&lt;=90,'Anchor Points'!$C$7+(A117-'Anchor Points'!$A$7)/('Anchor Points'!$A$8-'Anchor Points'!$A$7)*('Anchor Points'!$C$8-'Anchor Points'!$C$7),'Anchor Points'!$C$8+(A117-'Anchor Points'!$A$8)/('Anchor Points'!$A$9-'Anchor Points'!$A$8)*('Anchor Points'!$C$9-'Anchor Points'!$C$8)))))))</x:f>
        <x:v>97.5</x:v>
      </x:c>
      <x:c r="E117" s="28" t="n">
        <x:f>IF(A117&lt;=15,'Anchor Points'!$D$2+(A117-'Anchor Points'!$A$2)/('Anchor Points'!$A$3-'Anchor Points'!$A$2)*('Anchor Points'!$D$3-'Anchor Points'!$D$2),IF(A117&lt;=25,'Anchor Points'!$D$3+(A117-'Anchor Points'!$A$3)/('Anchor Points'!$A$4-'Anchor Points'!$A$3)*('Anchor Points'!$D$4-'Anchor Points'!$D$3),IF(A117&lt;=40,'Anchor Points'!$D$4+(A117-'Anchor Points'!$A$4)/('Anchor Points'!$A$5-'Anchor Points'!$A$4)*('Anchor Points'!$D$5-'Anchor Points'!$D$4),IF(A117&lt;=55,'Anchor Points'!$D$5+(A117-'Anchor Points'!$A$5)/('Anchor Points'!$A$6-'Anchor Points'!$A$5)*('Anchor Points'!$D$6-'Anchor Points'!$D$5),IF(A117&lt;=70,'Anchor Points'!$D$6+(A117-'Anchor Points'!$A$6)/('Anchor Points'!$A$7-'Anchor Points'!$A$6)*('Anchor Points'!$D$7-'Anchor Points'!$D$6),IF(A117&lt;=90,'Anchor Points'!$D$7+(A117-'Anchor Points'!$A$7)/('Anchor Points'!$A$8-'Anchor Points'!$A$7)*('Anchor Points'!$D$8-'Anchor Points'!$D$7),'Anchor Points'!$D$8+(A117-'Anchor Points'!$A$8)/('Anchor Points'!$A$9-'Anchor Points'!$A$8)*('Anchor Points'!$D$9-'Anchor Points'!$D$8)))))))</x:f>
        <x:v>5.5</x:v>
      </x:c>
      <x:c r="F117" s="30" t="n">
        <x:f>ROUND(E117,0)</x:f>
        <x:v>6</x:v>
      </x:c>
      <x:c r="G117" s="28" t="n">
        <x:f>IF(A117&lt;=15,'Anchor Points'!$E$2+(A117-'Anchor Points'!$A$2)/('Anchor Points'!$A$3-'Anchor Points'!$A$2)*('Anchor Points'!$E$3-'Anchor Points'!$E$2),IF(A117&lt;=25,'Anchor Points'!$E$3+(A117-'Anchor Points'!$A$3)/('Anchor Points'!$A$4-'Anchor Points'!$A$3)*('Anchor Points'!$E$4-'Anchor Points'!$E$3),IF(A117&lt;=40,'Anchor Points'!$E$4+(A117-'Anchor Points'!$A$4)/('Anchor Points'!$A$5-'Anchor Points'!$A$4)*('Anchor Points'!$E$5-'Anchor Points'!$E$4),IF(A117&lt;=55,'Anchor Points'!$E$5+(A117-'Anchor Points'!$A$5)/('Anchor Points'!$A$6-'Anchor Points'!$A$5)*('Anchor Points'!$E$6-'Anchor Points'!$E$5),IF(A117&lt;=70,'Anchor Points'!$E$6+(A117-'Anchor Points'!$A$6)/('Anchor Points'!$A$7-'Anchor Points'!$A$6)*('Anchor Points'!$E$7-'Anchor Points'!$E$6),IF(A117&lt;=90,'Anchor Points'!$E$7+(A117-'Anchor Points'!$A$7)/('Anchor Points'!$A$8-'Anchor Points'!$A$7)*('Anchor Points'!$E$8-'Anchor Points'!$E$7),'Anchor Points'!$E$8+(A117-'Anchor Points'!$A$8)/('Anchor Points'!$A$9-'Anchor Points'!$A$8)*('Anchor Points'!$E$9-'Anchor Points'!$E$8)))))))</x:f>
        <x:v>11.666666666666666</x:v>
      </x:c>
      <x:c r="H117" s="30" t="n">
        <x:f>ROUND(G117,0)</x:f>
        <x:v>12</x:v>
      </x:c>
      <x:c r="I117" s="28" t="n">
        <x:f>IF(A117&lt;=15,'Anchor Points'!$F$2+(A117-'Anchor Points'!$A$2)/('Anchor Points'!$A$3-'Anchor Points'!$A$2)*('Anchor Points'!$F$3-'Anchor Points'!$F$2),IF(A117&lt;=25,'Anchor Points'!$F$3+(A117-'Anchor Points'!$A$3)/('Anchor Points'!$A$4-'Anchor Points'!$A$3)*('Anchor Points'!$F$4-'Anchor Points'!$F$3),IF(A117&lt;=40,'Anchor Points'!$F$4+(A117-'Anchor Points'!$A$4)/('Anchor Points'!$A$5-'Anchor Points'!$A$4)*('Anchor Points'!$F$5-'Anchor Points'!$F$4),IF(A117&lt;=55,'Anchor Points'!$F$5+(A117-'Anchor Points'!$A$5)/('Anchor Points'!$A$6-'Anchor Points'!$A$5)*('Anchor Points'!$F$6-'Anchor Points'!$F$5),IF(A117&lt;=70,'Anchor Points'!$F$6+(A117-'Anchor Points'!$A$6)/('Anchor Points'!$A$7-'Anchor Points'!$A$6)*('Anchor Points'!$F$7-'Anchor Points'!$F$6),IF(A117&lt;=90,'Anchor Points'!$F$7+(A117-'Anchor Points'!$A$7)/('Anchor Points'!$A$8-'Anchor Points'!$A$7)*('Anchor Points'!$F$8-'Anchor Points'!$F$7),'Anchor Points'!$F$8+(A117-'Anchor Points'!$A$8)/('Anchor Points'!$A$9-'Anchor Points'!$A$8)*('Anchor Points'!$F$9-'Anchor Points'!$F$8)))))))</x:f>
        <x:v>54.166666666666664</x:v>
      </x:c>
      <x:c r="K117" s="36" t="n">
        <x:f>A93</x:f>
        <x:v>91</x:v>
      </x:c>
      <x:c r="L117" s="36" t="n">
        <x:f>E93</x:f>
        <x:v>7.9</x:v>
      </x:c>
      <x:c r="M117" s="36" t="n">
        <x:f>G93</x:f>
        <x:v>10.066666666666666</x:v>
      </x:c>
      <x:c r="N117" s="36" t="n">
        <x:f>I93</x:f>
        <x:v>50.166666666666664</x:v>
      </x:c>
    </x:row>
    <x:row r="118">
      <x:c r="A118" s="30" t="n">
        <x:v>116</x:v>
      </x:c>
      <x:c r="B118" s="11" t="str">
        <x:f>IF(A118&lt;=15,"Seedling",IF(A118&lt;=25,"Establishment",IF(A118&lt;=40,"Vegetative Growth",IF(A118&lt;=55,"Flowering &amp; Initial Fruit Set",IF(A118&lt;=80,"Fruit Enlargement",IF(A118&lt;=95,"Ripening","Harvesting"))))))</x:f>
        <x:v>Harvesting</x:v>
      </x:c>
      <x:c r="C118" s="28" t="n">
        <x:f>IF(A118&lt;=15,'Anchor Points'!$B$2+(A118-'Anchor Points'!$A$2)/('Anchor Points'!$A$3-'Anchor Points'!$A$2)*('Anchor Points'!$B$3-'Anchor Points'!$B$2),IF(A118&lt;=25,'Anchor Points'!$B$3+(A118-'Anchor Points'!$A$3)/('Anchor Points'!$A$4-'Anchor Points'!$A$3)*('Anchor Points'!$B$4-'Anchor Points'!$B$3),IF(A118&lt;=40,'Anchor Points'!$B$4+(A118-'Anchor Points'!$A$4)/('Anchor Points'!$A$5-'Anchor Points'!$A$4)*('Anchor Points'!$B$5-'Anchor Points'!$B$4),IF(A118&lt;=55,'Anchor Points'!$B$5+(A118-'Anchor Points'!$A$5)/('Anchor Points'!$A$6-'Anchor Points'!$A$5)*('Anchor Points'!$B$6-'Anchor Points'!$B$5),IF(A118&lt;=70,'Anchor Points'!$B$6+(A118-'Anchor Points'!$A$6)/('Anchor Points'!$A$7-'Anchor Points'!$A$6)*('Anchor Points'!$B$7-'Anchor Points'!$B$6),IF(A118&lt;=90,'Anchor Points'!$B$7+(A118-'Anchor Points'!$A$7)/('Anchor Points'!$A$8-'Anchor Points'!$A$7)*('Anchor Points'!$B$8-'Anchor Points'!$B$7),'Anchor Points'!$B$8+(A118-'Anchor Points'!$A$8)/('Anchor Points'!$A$9-'Anchor Points'!$A$8)*('Anchor Points'!$B$9-'Anchor Points'!$B$8)))))))</x:f>
        <x:v>88.93333333333334</x:v>
      </x:c>
      <x:c r="D118" s="28" t="n">
        <x:f>IF(A118&lt;=15,'Anchor Points'!$C$2+(A118-'Anchor Points'!$A$2)/('Anchor Points'!$A$3-'Anchor Points'!$A$2)*('Anchor Points'!$C$3-'Anchor Points'!$C$2),IF(A118&lt;=25,'Anchor Points'!$C$3+(A118-'Anchor Points'!$A$3)/('Anchor Points'!$A$4-'Anchor Points'!$A$3)*('Anchor Points'!$C$4-'Anchor Points'!$C$3),IF(A118&lt;=40,'Anchor Points'!$C$4+(A118-'Anchor Points'!$A$4)/('Anchor Points'!$A$5-'Anchor Points'!$A$4)*('Anchor Points'!$C$5-'Anchor Points'!$C$4),IF(A118&lt;=55,'Anchor Points'!$C$5+(A118-'Anchor Points'!$A$5)/('Anchor Points'!$A$6-'Anchor Points'!$A$5)*('Anchor Points'!$C$6-'Anchor Points'!$C$5),IF(A118&lt;=70,'Anchor Points'!$C$6+(A118-'Anchor Points'!$A$6)/('Anchor Points'!$A$7-'Anchor Points'!$A$6)*('Anchor Points'!$C$7-'Anchor Points'!$C$6),IF(A118&lt;=90,'Anchor Points'!$C$7+(A118-'Anchor Points'!$A$7)/('Anchor Points'!$A$8-'Anchor Points'!$A$7)*('Anchor Points'!$C$8-'Anchor Points'!$C$7),'Anchor Points'!$C$8+(A118-'Anchor Points'!$A$8)/('Anchor Points'!$A$9-'Anchor Points'!$A$8)*('Anchor Points'!$C$9-'Anchor Points'!$C$8)))))))</x:f>
        <x:v>98</x:v>
      </x:c>
      <x:c r="E118" s="28" t="n">
        <x:f>IF(A118&lt;=15,'Anchor Points'!$D$2+(A118-'Anchor Points'!$A$2)/('Anchor Points'!$A$3-'Anchor Points'!$A$2)*('Anchor Points'!$D$3-'Anchor Points'!$D$2),IF(A118&lt;=25,'Anchor Points'!$D$3+(A118-'Anchor Points'!$A$3)/('Anchor Points'!$A$4-'Anchor Points'!$A$3)*('Anchor Points'!$D$4-'Anchor Points'!$D$3),IF(A118&lt;=40,'Anchor Points'!$D$4+(A118-'Anchor Points'!$A$4)/('Anchor Points'!$A$5-'Anchor Points'!$A$4)*('Anchor Points'!$D$5-'Anchor Points'!$D$4),IF(A118&lt;=55,'Anchor Points'!$D$5+(A118-'Anchor Points'!$A$5)/('Anchor Points'!$A$6-'Anchor Points'!$A$5)*('Anchor Points'!$D$6-'Anchor Points'!$D$5),IF(A118&lt;=70,'Anchor Points'!$D$6+(A118-'Anchor Points'!$A$6)/('Anchor Points'!$A$7-'Anchor Points'!$A$6)*('Anchor Points'!$D$7-'Anchor Points'!$D$6),IF(A118&lt;=90,'Anchor Points'!$D$7+(A118-'Anchor Points'!$A$7)/('Anchor Points'!$A$8-'Anchor Points'!$A$7)*('Anchor Points'!$D$8-'Anchor Points'!$D$7),'Anchor Points'!$D$8+(A118-'Anchor Points'!$A$8)/('Anchor Points'!$A$9-'Anchor Points'!$A$8)*('Anchor Points'!$D$9-'Anchor Points'!$D$8)))))))</x:f>
        <x:v>5.4</x:v>
      </x:c>
      <x:c r="F118" s="30" t="n">
        <x:f>ROUND(E118,0)</x:f>
        <x:v>5</x:v>
      </x:c>
      <x:c r="G118" s="28" t="n">
        <x:f>IF(A118&lt;=15,'Anchor Points'!$E$2+(A118-'Anchor Points'!$A$2)/('Anchor Points'!$A$3-'Anchor Points'!$A$2)*('Anchor Points'!$E$3-'Anchor Points'!$E$2),IF(A118&lt;=25,'Anchor Points'!$E$3+(A118-'Anchor Points'!$A$3)/('Anchor Points'!$A$4-'Anchor Points'!$A$3)*('Anchor Points'!$E$4-'Anchor Points'!$E$3),IF(A118&lt;=40,'Anchor Points'!$E$4+(A118-'Anchor Points'!$A$4)/('Anchor Points'!$A$5-'Anchor Points'!$A$4)*('Anchor Points'!$E$5-'Anchor Points'!$E$4),IF(A118&lt;=55,'Anchor Points'!$E$5+(A118-'Anchor Points'!$A$5)/('Anchor Points'!$A$6-'Anchor Points'!$A$5)*('Anchor Points'!$E$6-'Anchor Points'!$E$5),IF(A118&lt;=70,'Anchor Points'!$E$6+(A118-'Anchor Points'!$A$6)/('Anchor Points'!$A$7-'Anchor Points'!$A$6)*('Anchor Points'!$E$7-'Anchor Points'!$E$6),IF(A118&lt;=90,'Anchor Points'!$E$7+(A118-'Anchor Points'!$A$7)/('Anchor Points'!$A$8-'Anchor Points'!$A$7)*('Anchor Points'!$E$8-'Anchor Points'!$E$7),'Anchor Points'!$E$8+(A118-'Anchor Points'!$A$8)/('Anchor Points'!$A$9-'Anchor Points'!$A$8)*('Anchor Points'!$E$9-'Anchor Points'!$E$8)))))))</x:f>
        <x:v>11.733333333333334</x:v>
      </x:c>
      <x:c r="H118" s="30" t="n">
        <x:f>ROUND(G118,0)</x:f>
        <x:v>12</x:v>
      </x:c>
      <x:c r="I118" s="28" t="n">
        <x:f>IF(A118&lt;=15,'Anchor Points'!$F$2+(A118-'Anchor Points'!$A$2)/('Anchor Points'!$A$3-'Anchor Points'!$A$2)*('Anchor Points'!$F$3-'Anchor Points'!$F$2),IF(A118&lt;=25,'Anchor Points'!$F$3+(A118-'Anchor Points'!$A$3)/('Anchor Points'!$A$4-'Anchor Points'!$A$3)*('Anchor Points'!$F$4-'Anchor Points'!$F$3),IF(A118&lt;=40,'Anchor Points'!$F$4+(A118-'Anchor Points'!$A$4)/('Anchor Points'!$A$5-'Anchor Points'!$A$4)*('Anchor Points'!$F$5-'Anchor Points'!$F$4),IF(A118&lt;=55,'Anchor Points'!$F$5+(A118-'Anchor Points'!$A$5)/('Anchor Points'!$A$6-'Anchor Points'!$A$5)*('Anchor Points'!$F$6-'Anchor Points'!$F$5),IF(A118&lt;=70,'Anchor Points'!$F$6+(A118-'Anchor Points'!$A$6)/('Anchor Points'!$A$7-'Anchor Points'!$A$6)*('Anchor Points'!$F$7-'Anchor Points'!$F$6),IF(A118&lt;=90,'Anchor Points'!$F$7+(A118-'Anchor Points'!$A$7)/('Anchor Points'!$A$8-'Anchor Points'!$A$7)*('Anchor Points'!$F$8-'Anchor Points'!$F$7),'Anchor Points'!$F$8+(A118-'Anchor Points'!$A$8)/('Anchor Points'!$A$9-'Anchor Points'!$A$8)*('Anchor Points'!$F$9-'Anchor Points'!$F$8)))))))</x:f>
        <x:v>54.333333333333336</x:v>
      </x:c>
      <x:c r="K118" s="36" t="n">
        <x:f>A94</x:f>
        <x:v>92</x:v>
      </x:c>
      <x:c r="L118" s="36" t="n">
        <x:f>E94</x:f>
        <x:v>7.8</x:v>
      </x:c>
      <x:c r="M118" s="36" t="n">
        <x:f>G94</x:f>
        <x:v>10.133333333333333</x:v>
      </x:c>
      <x:c r="N118" s="36" t="n">
        <x:f>I94</x:f>
        <x:v>50.333333333333336</x:v>
      </x:c>
    </x:row>
    <x:row r="119">
      <x:c r="A119" s="30" t="n">
        <x:v>117</x:v>
      </x:c>
      <x:c r="B119" s="11" t="str">
        <x:f>IF(A119&lt;=15,"Seedling",IF(A119&lt;=25,"Establishment",IF(A119&lt;=40,"Vegetative Growth",IF(A119&lt;=55,"Flowering &amp; Initial Fruit Set",IF(A119&lt;=80,"Fruit Enlargement",IF(A119&lt;=95,"Ripening","Harvesting"))))))</x:f>
        <x:v>Harvesting</x:v>
      </x:c>
      <x:c r="C119" s="28" t="n">
        <x:f>IF(A119&lt;=15,'Anchor Points'!$B$2+(A119-'Anchor Points'!$A$2)/('Anchor Points'!$A$3-'Anchor Points'!$A$2)*('Anchor Points'!$B$3-'Anchor Points'!$B$2),IF(A119&lt;=25,'Anchor Points'!$B$3+(A119-'Anchor Points'!$A$3)/('Anchor Points'!$A$4-'Anchor Points'!$A$3)*('Anchor Points'!$B$4-'Anchor Points'!$B$3),IF(A119&lt;=40,'Anchor Points'!$B$4+(A119-'Anchor Points'!$A$4)/('Anchor Points'!$A$5-'Anchor Points'!$A$4)*('Anchor Points'!$B$5-'Anchor Points'!$B$4),IF(A119&lt;=55,'Anchor Points'!$B$5+(A119-'Anchor Points'!$A$5)/('Anchor Points'!$A$6-'Anchor Points'!$A$5)*('Anchor Points'!$B$6-'Anchor Points'!$B$5),IF(A119&lt;=70,'Anchor Points'!$B$6+(A119-'Anchor Points'!$A$6)/('Anchor Points'!$A$7-'Anchor Points'!$A$6)*('Anchor Points'!$B$7-'Anchor Points'!$B$6),IF(A119&lt;=90,'Anchor Points'!$B$7+(A119-'Anchor Points'!$A$7)/('Anchor Points'!$A$8-'Anchor Points'!$A$7)*('Anchor Points'!$B$8-'Anchor Points'!$B$7),'Anchor Points'!$B$8+(A119-'Anchor Points'!$A$8)/('Anchor Points'!$A$9-'Anchor Points'!$A$8)*('Anchor Points'!$B$9-'Anchor Points'!$B$8)))))))</x:f>
        <x:v>89.2</x:v>
      </x:c>
      <x:c r="D119" s="28" t="n">
        <x:f>IF(A119&lt;=15,'Anchor Points'!$C$2+(A119-'Anchor Points'!$A$2)/('Anchor Points'!$A$3-'Anchor Points'!$A$2)*('Anchor Points'!$C$3-'Anchor Points'!$C$2),IF(A119&lt;=25,'Anchor Points'!$C$3+(A119-'Anchor Points'!$A$3)/('Anchor Points'!$A$4-'Anchor Points'!$A$3)*('Anchor Points'!$C$4-'Anchor Points'!$C$3),IF(A119&lt;=40,'Anchor Points'!$C$4+(A119-'Anchor Points'!$A$4)/('Anchor Points'!$A$5-'Anchor Points'!$A$4)*('Anchor Points'!$C$5-'Anchor Points'!$C$4),IF(A119&lt;=55,'Anchor Points'!$C$5+(A119-'Anchor Points'!$A$5)/('Anchor Points'!$A$6-'Anchor Points'!$A$5)*('Anchor Points'!$C$6-'Anchor Points'!$C$5),IF(A119&lt;=70,'Anchor Points'!$C$6+(A119-'Anchor Points'!$A$6)/('Anchor Points'!$A$7-'Anchor Points'!$A$6)*('Anchor Points'!$C$7-'Anchor Points'!$C$6),IF(A119&lt;=90,'Anchor Points'!$C$7+(A119-'Anchor Points'!$A$7)/('Anchor Points'!$A$8-'Anchor Points'!$A$7)*('Anchor Points'!$C$8-'Anchor Points'!$C$7),'Anchor Points'!$C$8+(A119-'Anchor Points'!$A$8)/('Anchor Points'!$A$9-'Anchor Points'!$A$8)*('Anchor Points'!$C$9-'Anchor Points'!$C$8)))))))</x:f>
        <x:v>98.5</x:v>
      </x:c>
      <x:c r="E119" s="28" t="n">
        <x:f>IF(A119&lt;=15,'Anchor Points'!$D$2+(A119-'Anchor Points'!$A$2)/('Anchor Points'!$A$3-'Anchor Points'!$A$2)*('Anchor Points'!$D$3-'Anchor Points'!$D$2),IF(A119&lt;=25,'Anchor Points'!$D$3+(A119-'Anchor Points'!$A$3)/('Anchor Points'!$A$4-'Anchor Points'!$A$3)*('Anchor Points'!$D$4-'Anchor Points'!$D$3),IF(A119&lt;=40,'Anchor Points'!$D$4+(A119-'Anchor Points'!$A$4)/('Anchor Points'!$A$5-'Anchor Points'!$A$4)*('Anchor Points'!$D$5-'Anchor Points'!$D$4),IF(A119&lt;=55,'Anchor Points'!$D$5+(A119-'Anchor Points'!$A$5)/('Anchor Points'!$A$6-'Anchor Points'!$A$5)*('Anchor Points'!$D$6-'Anchor Points'!$D$5),IF(A119&lt;=70,'Anchor Points'!$D$6+(A119-'Anchor Points'!$A$6)/('Anchor Points'!$A$7-'Anchor Points'!$A$6)*('Anchor Points'!$D$7-'Anchor Points'!$D$6),IF(A119&lt;=90,'Anchor Points'!$D$7+(A119-'Anchor Points'!$A$7)/('Anchor Points'!$A$8-'Anchor Points'!$A$7)*('Anchor Points'!$D$8-'Anchor Points'!$D$7),'Anchor Points'!$D$8+(A119-'Anchor Points'!$A$8)/('Anchor Points'!$A$9-'Anchor Points'!$A$8)*('Anchor Points'!$D$9-'Anchor Points'!$D$8)))))))</x:f>
        <x:v>5.3</x:v>
      </x:c>
      <x:c r="F119" s="30" t="n">
        <x:f>ROUND(E119,0)</x:f>
        <x:v>5</x:v>
      </x:c>
      <x:c r="G119" s="28" t="n">
        <x:f>IF(A119&lt;=15,'Anchor Points'!$E$2+(A119-'Anchor Points'!$A$2)/('Anchor Points'!$A$3-'Anchor Points'!$A$2)*('Anchor Points'!$E$3-'Anchor Points'!$E$2),IF(A119&lt;=25,'Anchor Points'!$E$3+(A119-'Anchor Points'!$A$3)/('Anchor Points'!$A$4-'Anchor Points'!$A$3)*('Anchor Points'!$E$4-'Anchor Points'!$E$3),IF(A119&lt;=40,'Anchor Points'!$E$4+(A119-'Anchor Points'!$A$4)/('Anchor Points'!$A$5-'Anchor Points'!$A$4)*('Anchor Points'!$E$5-'Anchor Points'!$E$4),IF(A119&lt;=55,'Anchor Points'!$E$5+(A119-'Anchor Points'!$A$5)/('Anchor Points'!$A$6-'Anchor Points'!$A$5)*('Anchor Points'!$E$6-'Anchor Points'!$E$5),IF(A119&lt;=70,'Anchor Points'!$E$6+(A119-'Anchor Points'!$A$6)/('Anchor Points'!$A$7-'Anchor Points'!$A$6)*('Anchor Points'!$E$7-'Anchor Points'!$E$6),IF(A119&lt;=90,'Anchor Points'!$E$7+(A119-'Anchor Points'!$A$7)/('Anchor Points'!$A$8-'Anchor Points'!$A$7)*('Anchor Points'!$E$8-'Anchor Points'!$E$7),'Anchor Points'!$E$8+(A119-'Anchor Points'!$A$8)/('Anchor Points'!$A$9-'Anchor Points'!$A$8)*('Anchor Points'!$E$9-'Anchor Points'!$E$8)))))))</x:f>
        <x:v>11.8</x:v>
      </x:c>
      <x:c r="H119" s="30" t="n">
        <x:f>ROUND(G119,0)</x:f>
        <x:v>12</x:v>
      </x:c>
      <x:c r="I119" s="28" t="n">
        <x:f>IF(A119&lt;=15,'Anchor Points'!$F$2+(A119-'Anchor Points'!$A$2)/('Anchor Points'!$A$3-'Anchor Points'!$A$2)*('Anchor Points'!$F$3-'Anchor Points'!$F$2),IF(A119&lt;=25,'Anchor Points'!$F$3+(A119-'Anchor Points'!$A$3)/('Anchor Points'!$A$4-'Anchor Points'!$A$3)*('Anchor Points'!$F$4-'Anchor Points'!$F$3),IF(A119&lt;=40,'Anchor Points'!$F$4+(A119-'Anchor Points'!$A$4)/('Anchor Points'!$A$5-'Anchor Points'!$A$4)*('Anchor Points'!$F$5-'Anchor Points'!$F$4),IF(A119&lt;=55,'Anchor Points'!$F$5+(A119-'Anchor Points'!$A$5)/('Anchor Points'!$A$6-'Anchor Points'!$A$5)*('Anchor Points'!$F$6-'Anchor Points'!$F$5),IF(A119&lt;=70,'Anchor Points'!$F$6+(A119-'Anchor Points'!$A$6)/('Anchor Points'!$A$7-'Anchor Points'!$A$6)*('Anchor Points'!$F$7-'Anchor Points'!$F$6),IF(A119&lt;=90,'Anchor Points'!$F$7+(A119-'Anchor Points'!$A$7)/('Anchor Points'!$A$8-'Anchor Points'!$A$7)*('Anchor Points'!$F$8-'Anchor Points'!$F$7),'Anchor Points'!$F$8+(A119-'Anchor Points'!$A$8)/('Anchor Points'!$A$9-'Anchor Points'!$A$8)*('Anchor Points'!$F$9-'Anchor Points'!$F$8)))))))</x:f>
        <x:v>54.5</x:v>
      </x:c>
      <x:c r="K119" s="36" t="n">
        <x:f>A95</x:f>
        <x:v>93</x:v>
      </x:c>
      <x:c r="L119" s="36" t="n">
        <x:f>E95</x:f>
        <x:v>7.7</x:v>
      </x:c>
      <x:c r="M119" s="36" t="n">
        <x:f>G95</x:f>
        <x:v>10.2</x:v>
      </x:c>
      <x:c r="N119" s="36" t="n">
        <x:f>I95</x:f>
        <x:v>50.5</x:v>
      </x:c>
    </x:row>
    <x:row r="120">
      <x:c r="A120" s="30" t="n">
        <x:v>118</x:v>
      </x:c>
      <x:c r="B120" s="11" t="str">
        <x:f>IF(A120&lt;=15,"Seedling",IF(A120&lt;=25,"Establishment",IF(A120&lt;=40,"Vegetative Growth",IF(A120&lt;=55,"Flowering &amp; Initial Fruit Set",IF(A120&lt;=80,"Fruit Enlargement",IF(A120&lt;=95,"Ripening","Harvesting"))))))</x:f>
        <x:v>Harvesting</x:v>
      </x:c>
      <x:c r="C120" s="28" t="n">
        <x:f>IF(A120&lt;=15,'Anchor Points'!$B$2+(A120-'Anchor Points'!$A$2)/('Anchor Points'!$A$3-'Anchor Points'!$A$2)*('Anchor Points'!$B$3-'Anchor Points'!$B$2),IF(A120&lt;=25,'Anchor Points'!$B$3+(A120-'Anchor Points'!$A$3)/('Anchor Points'!$A$4-'Anchor Points'!$A$3)*('Anchor Points'!$B$4-'Anchor Points'!$B$3),IF(A120&lt;=40,'Anchor Points'!$B$4+(A120-'Anchor Points'!$A$4)/('Anchor Points'!$A$5-'Anchor Points'!$A$4)*('Anchor Points'!$B$5-'Anchor Points'!$B$4),IF(A120&lt;=55,'Anchor Points'!$B$5+(A120-'Anchor Points'!$A$5)/('Anchor Points'!$A$6-'Anchor Points'!$A$5)*('Anchor Points'!$B$6-'Anchor Points'!$B$5),IF(A120&lt;=70,'Anchor Points'!$B$6+(A120-'Anchor Points'!$A$6)/('Anchor Points'!$A$7-'Anchor Points'!$A$6)*('Anchor Points'!$B$7-'Anchor Points'!$B$6),IF(A120&lt;=90,'Anchor Points'!$B$7+(A120-'Anchor Points'!$A$7)/('Anchor Points'!$A$8-'Anchor Points'!$A$7)*('Anchor Points'!$B$8-'Anchor Points'!$B$7),'Anchor Points'!$B$8+(A120-'Anchor Points'!$A$8)/('Anchor Points'!$A$9-'Anchor Points'!$A$8)*('Anchor Points'!$B$9-'Anchor Points'!$B$8)))))))</x:f>
        <x:v>89.46666666666667</x:v>
      </x:c>
      <x:c r="D120" s="28" t="n">
        <x:f>IF(A120&lt;=15,'Anchor Points'!$C$2+(A120-'Anchor Points'!$A$2)/('Anchor Points'!$A$3-'Anchor Points'!$A$2)*('Anchor Points'!$C$3-'Anchor Points'!$C$2),IF(A120&lt;=25,'Anchor Points'!$C$3+(A120-'Anchor Points'!$A$3)/('Anchor Points'!$A$4-'Anchor Points'!$A$3)*('Anchor Points'!$C$4-'Anchor Points'!$C$3),IF(A120&lt;=40,'Anchor Points'!$C$4+(A120-'Anchor Points'!$A$4)/('Anchor Points'!$A$5-'Anchor Points'!$A$4)*('Anchor Points'!$C$5-'Anchor Points'!$C$4),IF(A120&lt;=55,'Anchor Points'!$C$5+(A120-'Anchor Points'!$A$5)/('Anchor Points'!$A$6-'Anchor Points'!$A$5)*('Anchor Points'!$C$6-'Anchor Points'!$C$5),IF(A120&lt;=70,'Anchor Points'!$C$6+(A120-'Anchor Points'!$A$6)/('Anchor Points'!$A$7-'Anchor Points'!$A$6)*('Anchor Points'!$C$7-'Anchor Points'!$C$6),IF(A120&lt;=90,'Anchor Points'!$C$7+(A120-'Anchor Points'!$A$7)/('Anchor Points'!$A$8-'Anchor Points'!$A$7)*('Anchor Points'!$C$8-'Anchor Points'!$C$7),'Anchor Points'!$C$8+(A120-'Anchor Points'!$A$8)/('Anchor Points'!$A$9-'Anchor Points'!$A$8)*('Anchor Points'!$C$9-'Anchor Points'!$C$8)))))))</x:f>
        <x:v>99</x:v>
      </x:c>
      <x:c r="E120" s="28" t="n">
        <x:f>IF(A120&lt;=15,'Anchor Points'!$D$2+(A120-'Anchor Points'!$A$2)/('Anchor Points'!$A$3-'Anchor Points'!$A$2)*('Anchor Points'!$D$3-'Anchor Points'!$D$2),IF(A120&lt;=25,'Anchor Points'!$D$3+(A120-'Anchor Points'!$A$3)/('Anchor Points'!$A$4-'Anchor Points'!$A$3)*('Anchor Points'!$D$4-'Anchor Points'!$D$3),IF(A120&lt;=40,'Anchor Points'!$D$4+(A120-'Anchor Points'!$A$4)/('Anchor Points'!$A$5-'Anchor Points'!$A$4)*('Anchor Points'!$D$5-'Anchor Points'!$D$4),IF(A120&lt;=55,'Anchor Points'!$D$5+(A120-'Anchor Points'!$A$5)/('Anchor Points'!$A$6-'Anchor Points'!$A$5)*('Anchor Points'!$D$6-'Anchor Points'!$D$5),IF(A120&lt;=70,'Anchor Points'!$D$6+(A120-'Anchor Points'!$A$6)/('Anchor Points'!$A$7-'Anchor Points'!$A$6)*('Anchor Points'!$D$7-'Anchor Points'!$D$6),IF(A120&lt;=90,'Anchor Points'!$D$7+(A120-'Anchor Points'!$A$7)/('Anchor Points'!$A$8-'Anchor Points'!$A$7)*('Anchor Points'!$D$8-'Anchor Points'!$D$7),'Anchor Points'!$D$8+(A120-'Anchor Points'!$A$8)/('Anchor Points'!$A$9-'Anchor Points'!$A$8)*('Anchor Points'!$D$9-'Anchor Points'!$D$8)))))))</x:f>
        <x:v>5.2</x:v>
      </x:c>
      <x:c r="F120" s="30" t="n">
        <x:f>ROUND(E120,0)</x:f>
        <x:v>5</x:v>
      </x:c>
      <x:c r="G120" s="28" t="n">
        <x:f>IF(A120&lt;=15,'Anchor Points'!$E$2+(A120-'Anchor Points'!$A$2)/('Anchor Points'!$A$3-'Anchor Points'!$A$2)*('Anchor Points'!$E$3-'Anchor Points'!$E$2),IF(A120&lt;=25,'Anchor Points'!$E$3+(A120-'Anchor Points'!$A$3)/('Anchor Points'!$A$4-'Anchor Points'!$A$3)*('Anchor Points'!$E$4-'Anchor Points'!$E$3),IF(A120&lt;=40,'Anchor Points'!$E$4+(A120-'Anchor Points'!$A$4)/('Anchor Points'!$A$5-'Anchor Points'!$A$4)*('Anchor Points'!$E$5-'Anchor Points'!$E$4),IF(A120&lt;=55,'Anchor Points'!$E$5+(A120-'Anchor Points'!$A$5)/('Anchor Points'!$A$6-'Anchor Points'!$A$5)*('Anchor Points'!$E$6-'Anchor Points'!$E$5),IF(A120&lt;=70,'Anchor Points'!$E$6+(A120-'Anchor Points'!$A$6)/('Anchor Points'!$A$7-'Anchor Points'!$A$6)*('Anchor Points'!$E$7-'Anchor Points'!$E$6),IF(A120&lt;=90,'Anchor Points'!$E$7+(A120-'Anchor Points'!$A$7)/('Anchor Points'!$A$8-'Anchor Points'!$A$7)*('Anchor Points'!$E$8-'Anchor Points'!$E$7),'Anchor Points'!$E$8+(A120-'Anchor Points'!$A$8)/('Anchor Points'!$A$9-'Anchor Points'!$A$8)*('Anchor Points'!$E$9-'Anchor Points'!$E$8)))))))</x:f>
        <x:v>11.866666666666667</x:v>
      </x:c>
      <x:c r="H120" s="30" t="n">
        <x:f>ROUND(G120,0)</x:f>
        <x:v>12</x:v>
      </x:c>
      <x:c r="I120" s="28" t="n">
        <x:f>IF(A120&lt;=15,'Anchor Points'!$F$2+(A120-'Anchor Points'!$A$2)/('Anchor Points'!$A$3-'Anchor Points'!$A$2)*('Anchor Points'!$F$3-'Anchor Points'!$F$2),IF(A120&lt;=25,'Anchor Points'!$F$3+(A120-'Anchor Points'!$A$3)/('Anchor Points'!$A$4-'Anchor Points'!$A$3)*('Anchor Points'!$F$4-'Anchor Points'!$F$3),IF(A120&lt;=40,'Anchor Points'!$F$4+(A120-'Anchor Points'!$A$4)/('Anchor Points'!$A$5-'Anchor Points'!$A$4)*('Anchor Points'!$F$5-'Anchor Points'!$F$4),IF(A120&lt;=55,'Anchor Points'!$F$5+(A120-'Anchor Points'!$A$5)/('Anchor Points'!$A$6-'Anchor Points'!$A$5)*('Anchor Points'!$F$6-'Anchor Points'!$F$5),IF(A120&lt;=70,'Anchor Points'!$F$6+(A120-'Anchor Points'!$A$6)/('Anchor Points'!$A$7-'Anchor Points'!$A$6)*('Anchor Points'!$F$7-'Anchor Points'!$F$6),IF(A120&lt;=90,'Anchor Points'!$F$7+(A120-'Anchor Points'!$A$7)/('Anchor Points'!$A$8-'Anchor Points'!$A$7)*('Anchor Points'!$F$8-'Anchor Points'!$F$7),'Anchor Points'!$F$8+(A120-'Anchor Points'!$A$8)/('Anchor Points'!$A$9-'Anchor Points'!$A$8)*('Anchor Points'!$F$9-'Anchor Points'!$F$8)))))))</x:f>
        <x:v>54.666666666666664</x:v>
      </x:c>
      <x:c r="K120" s="36" t="n">
        <x:f>A96</x:f>
        <x:v>94</x:v>
      </x:c>
      <x:c r="L120" s="36" t="n">
        <x:f>E96</x:f>
        <x:v>7.6</x:v>
      </x:c>
      <x:c r="M120" s="36" t="n">
        <x:f>G96</x:f>
        <x:v>10.266666666666667</x:v>
      </x:c>
      <x:c r="N120" s="36" t="n">
        <x:f>I96</x:f>
        <x:v>50.666666666666664</x:v>
      </x:c>
    </x:row>
    <x:row r="121">
      <x:c r="A121" s="30" t="n">
        <x:v>119</x:v>
      </x:c>
      <x:c r="B121" s="11" t="str">
        <x:f>IF(A121&lt;=15,"Seedling",IF(A121&lt;=25,"Establishment",IF(A121&lt;=40,"Vegetative Growth",IF(A121&lt;=55,"Flowering &amp; Initial Fruit Set",IF(A121&lt;=80,"Fruit Enlargement",IF(A121&lt;=95,"Ripening","Harvesting"))))))</x:f>
        <x:v>Harvesting</x:v>
      </x:c>
      <x:c r="C121" s="28" t="n">
        <x:f>IF(A121&lt;=15,'Anchor Points'!$B$2+(A121-'Anchor Points'!$A$2)/('Anchor Points'!$A$3-'Anchor Points'!$A$2)*('Anchor Points'!$B$3-'Anchor Points'!$B$2),IF(A121&lt;=25,'Anchor Points'!$B$3+(A121-'Anchor Points'!$A$3)/('Anchor Points'!$A$4-'Anchor Points'!$A$3)*('Anchor Points'!$B$4-'Anchor Points'!$B$3),IF(A121&lt;=40,'Anchor Points'!$B$4+(A121-'Anchor Points'!$A$4)/('Anchor Points'!$A$5-'Anchor Points'!$A$4)*('Anchor Points'!$B$5-'Anchor Points'!$B$4),IF(A121&lt;=55,'Anchor Points'!$B$5+(A121-'Anchor Points'!$A$5)/('Anchor Points'!$A$6-'Anchor Points'!$A$5)*('Anchor Points'!$B$6-'Anchor Points'!$B$5),IF(A121&lt;=70,'Anchor Points'!$B$6+(A121-'Anchor Points'!$A$6)/('Anchor Points'!$A$7-'Anchor Points'!$A$6)*('Anchor Points'!$B$7-'Anchor Points'!$B$6),IF(A121&lt;=90,'Anchor Points'!$B$7+(A121-'Anchor Points'!$A$7)/('Anchor Points'!$A$8-'Anchor Points'!$A$7)*('Anchor Points'!$B$8-'Anchor Points'!$B$7),'Anchor Points'!$B$8+(A121-'Anchor Points'!$A$8)/('Anchor Points'!$A$9-'Anchor Points'!$A$8)*('Anchor Points'!$B$9-'Anchor Points'!$B$8)))))))</x:f>
        <x:v>89.73333333333333</x:v>
      </x:c>
      <x:c r="D121" s="28" t="n">
        <x:f>IF(A121&lt;=15,'Anchor Points'!$C$2+(A121-'Anchor Points'!$A$2)/('Anchor Points'!$A$3-'Anchor Points'!$A$2)*('Anchor Points'!$C$3-'Anchor Points'!$C$2),IF(A121&lt;=25,'Anchor Points'!$C$3+(A121-'Anchor Points'!$A$3)/('Anchor Points'!$A$4-'Anchor Points'!$A$3)*('Anchor Points'!$C$4-'Anchor Points'!$C$3),IF(A121&lt;=40,'Anchor Points'!$C$4+(A121-'Anchor Points'!$A$4)/('Anchor Points'!$A$5-'Anchor Points'!$A$4)*('Anchor Points'!$C$5-'Anchor Points'!$C$4),IF(A121&lt;=55,'Anchor Points'!$C$5+(A121-'Anchor Points'!$A$5)/('Anchor Points'!$A$6-'Anchor Points'!$A$5)*('Anchor Points'!$C$6-'Anchor Points'!$C$5),IF(A121&lt;=70,'Anchor Points'!$C$6+(A121-'Anchor Points'!$A$6)/('Anchor Points'!$A$7-'Anchor Points'!$A$6)*('Anchor Points'!$C$7-'Anchor Points'!$C$6),IF(A121&lt;=90,'Anchor Points'!$C$7+(A121-'Anchor Points'!$A$7)/('Anchor Points'!$A$8-'Anchor Points'!$A$7)*('Anchor Points'!$C$8-'Anchor Points'!$C$7),'Anchor Points'!$C$8+(A121-'Anchor Points'!$A$8)/('Anchor Points'!$A$9-'Anchor Points'!$A$8)*('Anchor Points'!$C$9-'Anchor Points'!$C$8)))))))</x:f>
        <x:v>99.5</x:v>
      </x:c>
      <x:c r="E121" s="28" t="n">
        <x:f>IF(A121&lt;=15,'Anchor Points'!$D$2+(A121-'Anchor Points'!$A$2)/('Anchor Points'!$A$3-'Anchor Points'!$A$2)*('Anchor Points'!$D$3-'Anchor Points'!$D$2),IF(A121&lt;=25,'Anchor Points'!$D$3+(A121-'Anchor Points'!$A$3)/('Anchor Points'!$A$4-'Anchor Points'!$A$3)*('Anchor Points'!$D$4-'Anchor Points'!$D$3),IF(A121&lt;=40,'Anchor Points'!$D$4+(A121-'Anchor Points'!$A$4)/('Anchor Points'!$A$5-'Anchor Points'!$A$4)*('Anchor Points'!$D$5-'Anchor Points'!$D$4),IF(A121&lt;=55,'Anchor Points'!$D$5+(A121-'Anchor Points'!$A$5)/('Anchor Points'!$A$6-'Anchor Points'!$A$5)*('Anchor Points'!$D$6-'Anchor Points'!$D$5),IF(A121&lt;=70,'Anchor Points'!$D$6+(A121-'Anchor Points'!$A$6)/('Anchor Points'!$A$7-'Anchor Points'!$A$6)*('Anchor Points'!$D$7-'Anchor Points'!$D$6),IF(A121&lt;=90,'Anchor Points'!$D$7+(A121-'Anchor Points'!$A$7)/('Anchor Points'!$A$8-'Anchor Points'!$A$7)*('Anchor Points'!$D$8-'Anchor Points'!$D$7),'Anchor Points'!$D$8+(A121-'Anchor Points'!$A$8)/('Anchor Points'!$A$9-'Anchor Points'!$A$8)*('Anchor Points'!$D$9-'Anchor Points'!$D$8)))))))</x:f>
        <x:v>5.1</x:v>
      </x:c>
      <x:c r="F121" s="30" t="n">
        <x:f>ROUND(E121,0)</x:f>
        <x:v>5</x:v>
      </x:c>
      <x:c r="G121" s="28" t="n">
        <x:f>IF(A121&lt;=15,'Anchor Points'!$E$2+(A121-'Anchor Points'!$A$2)/('Anchor Points'!$A$3-'Anchor Points'!$A$2)*('Anchor Points'!$E$3-'Anchor Points'!$E$2),IF(A121&lt;=25,'Anchor Points'!$E$3+(A121-'Anchor Points'!$A$3)/('Anchor Points'!$A$4-'Anchor Points'!$A$3)*('Anchor Points'!$E$4-'Anchor Points'!$E$3),IF(A121&lt;=40,'Anchor Points'!$E$4+(A121-'Anchor Points'!$A$4)/('Anchor Points'!$A$5-'Anchor Points'!$A$4)*('Anchor Points'!$E$5-'Anchor Points'!$E$4),IF(A121&lt;=55,'Anchor Points'!$E$5+(A121-'Anchor Points'!$A$5)/('Anchor Points'!$A$6-'Anchor Points'!$A$5)*('Anchor Points'!$E$6-'Anchor Points'!$E$5),IF(A121&lt;=70,'Anchor Points'!$E$6+(A121-'Anchor Points'!$A$6)/('Anchor Points'!$A$7-'Anchor Points'!$A$6)*('Anchor Points'!$E$7-'Anchor Points'!$E$6),IF(A121&lt;=90,'Anchor Points'!$E$7+(A121-'Anchor Points'!$A$7)/('Anchor Points'!$A$8-'Anchor Points'!$A$7)*('Anchor Points'!$E$8-'Anchor Points'!$E$7),'Anchor Points'!$E$8+(A121-'Anchor Points'!$A$8)/('Anchor Points'!$A$9-'Anchor Points'!$A$8)*('Anchor Points'!$E$9-'Anchor Points'!$E$8)))))))</x:f>
        <x:v>11.933333333333334</x:v>
      </x:c>
      <x:c r="H121" s="30" t="n">
        <x:f>ROUND(G121,0)</x:f>
        <x:v>12</x:v>
      </x:c>
      <x:c r="I121" s="28" t="n">
        <x:f>IF(A121&lt;=15,'Anchor Points'!$F$2+(A121-'Anchor Points'!$A$2)/('Anchor Points'!$A$3-'Anchor Points'!$A$2)*('Anchor Points'!$F$3-'Anchor Points'!$F$2),IF(A121&lt;=25,'Anchor Points'!$F$3+(A121-'Anchor Points'!$A$3)/('Anchor Points'!$A$4-'Anchor Points'!$A$3)*('Anchor Points'!$F$4-'Anchor Points'!$F$3),IF(A121&lt;=40,'Anchor Points'!$F$4+(A121-'Anchor Points'!$A$4)/('Anchor Points'!$A$5-'Anchor Points'!$A$4)*('Anchor Points'!$F$5-'Anchor Points'!$F$4),IF(A121&lt;=55,'Anchor Points'!$F$5+(A121-'Anchor Points'!$A$5)/('Anchor Points'!$A$6-'Anchor Points'!$A$5)*('Anchor Points'!$F$6-'Anchor Points'!$F$5),IF(A121&lt;=70,'Anchor Points'!$F$6+(A121-'Anchor Points'!$A$6)/('Anchor Points'!$A$7-'Anchor Points'!$A$6)*('Anchor Points'!$F$7-'Anchor Points'!$F$6),IF(A121&lt;=90,'Anchor Points'!$F$7+(A121-'Anchor Points'!$A$7)/('Anchor Points'!$A$8-'Anchor Points'!$A$7)*('Anchor Points'!$F$8-'Anchor Points'!$F$7),'Anchor Points'!$F$8+(A121-'Anchor Points'!$A$8)/('Anchor Points'!$A$9-'Anchor Points'!$A$8)*('Anchor Points'!$F$9-'Anchor Points'!$F$8)))))))</x:f>
        <x:v>54.833333333333336</x:v>
      </x:c>
      <x:c r="K121" s="36" t="n">
        <x:f>A97</x:f>
        <x:v>95</x:v>
      </x:c>
      <x:c r="L121" s="36" t="n">
        <x:f>E97</x:f>
        <x:v>7.5</x:v>
      </x:c>
      <x:c r="M121" s="36" t="n">
        <x:f>G97</x:f>
        <x:v>10.333333333333334</x:v>
      </x:c>
      <x:c r="N121" s="36" t="n">
        <x:f>I97</x:f>
        <x:v>50.833333333333336</x:v>
      </x:c>
    </x:row>
    <x:row r="122">
      <x:c r="A122" s="30" t="n">
        <x:v>120</x:v>
      </x:c>
      <x:c r="B122" s="11" t="str">
        <x:f>IF(A122&lt;=15,"Seedling",IF(A122&lt;=25,"Establishment",IF(A122&lt;=40,"Vegetative Growth",IF(A122&lt;=55,"Flowering &amp; Initial Fruit Set",IF(A122&lt;=80,"Fruit Enlargement",IF(A122&lt;=95,"Ripening","Harvesting"))))))</x:f>
        <x:v>Harvesting</x:v>
      </x:c>
      <x:c r="C122" s="28" t="n">
        <x:f>IF(A122&lt;=15,'Anchor Points'!$B$2+(A122-'Anchor Points'!$A$2)/('Anchor Points'!$A$3-'Anchor Points'!$A$2)*('Anchor Points'!$B$3-'Anchor Points'!$B$2),IF(A122&lt;=25,'Anchor Points'!$B$3+(A122-'Anchor Points'!$A$3)/('Anchor Points'!$A$4-'Anchor Points'!$A$3)*('Anchor Points'!$B$4-'Anchor Points'!$B$3),IF(A122&lt;=40,'Anchor Points'!$B$4+(A122-'Anchor Points'!$A$4)/('Anchor Points'!$A$5-'Anchor Points'!$A$4)*('Anchor Points'!$B$5-'Anchor Points'!$B$4),IF(A122&lt;=55,'Anchor Points'!$B$5+(A122-'Anchor Points'!$A$5)/('Anchor Points'!$A$6-'Anchor Points'!$A$5)*('Anchor Points'!$B$6-'Anchor Points'!$B$5),IF(A122&lt;=70,'Anchor Points'!$B$6+(A122-'Anchor Points'!$A$6)/('Anchor Points'!$A$7-'Anchor Points'!$A$6)*('Anchor Points'!$B$7-'Anchor Points'!$B$6),IF(A122&lt;=90,'Anchor Points'!$B$7+(A122-'Anchor Points'!$A$7)/('Anchor Points'!$A$8-'Anchor Points'!$A$7)*('Anchor Points'!$B$8-'Anchor Points'!$B$7),'Anchor Points'!$B$8+(A122-'Anchor Points'!$A$8)/('Anchor Points'!$A$9-'Anchor Points'!$A$8)*('Anchor Points'!$B$9-'Anchor Points'!$B$8)))))))</x:f>
        <x:v>90</x:v>
      </x:c>
      <x:c r="D122" s="28" t="n">
        <x:f>IF(A122&lt;=15,'Anchor Points'!$C$2+(A122-'Anchor Points'!$A$2)/('Anchor Points'!$A$3-'Anchor Points'!$A$2)*('Anchor Points'!$C$3-'Anchor Points'!$C$2),IF(A122&lt;=25,'Anchor Points'!$C$3+(A122-'Anchor Points'!$A$3)/('Anchor Points'!$A$4-'Anchor Points'!$A$3)*('Anchor Points'!$C$4-'Anchor Points'!$C$3),IF(A122&lt;=40,'Anchor Points'!$C$4+(A122-'Anchor Points'!$A$4)/('Anchor Points'!$A$5-'Anchor Points'!$A$4)*('Anchor Points'!$C$5-'Anchor Points'!$C$4),IF(A122&lt;=55,'Anchor Points'!$C$5+(A122-'Anchor Points'!$A$5)/('Anchor Points'!$A$6-'Anchor Points'!$A$5)*('Anchor Points'!$C$6-'Anchor Points'!$C$5),IF(A122&lt;=70,'Anchor Points'!$C$6+(A122-'Anchor Points'!$A$6)/('Anchor Points'!$A$7-'Anchor Points'!$A$6)*('Anchor Points'!$C$7-'Anchor Points'!$C$6),IF(A122&lt;=90,'Anchor Points'!$C$7+(A122-'Anchor Points'!$A$7)/('Anchor Points'!$A$8-'Anchor Points'!$A$7)*('Anchor Points'!$C$8-'Anchor Points'!$C$7),'Anchor Points'!$C$8+(A122-'Anchor Points'!$A$8)/('Anchor Points'!$A$9-'Anchor Points'!$A$8)*('Anchor Points'!$C$9-'Anchor Points'!$C$8)))))))</x:f>
        <x:v>100</x:v>
      </x:c>
      <x:c r="E122" s="28" t="n">
        <x:f>IF(A122&lt;=15,'Anchor Points'!$D$2+(A122-'Anchor Points'!$A$2)/('Anchor Points'!$A$3-'Anchor Points'!$A$2)*('Anchor Points'!$D$3-'Anchor Points'!$D$2),IF(A122&lt;=25,'Anchor Points'!$D$3+(A122-'Anchor Points'!$A$3)/('Anchor Points'!$A$4-'Anchor Points'!$A$3)*('Anchor Points'!$D$4-'Anchor Points'!$D$3),IF(A122&lt;=40,'Anchor Points'!$D$4+(A122-'Anchor Points'!$A$4)/('Anchor Points'!$A$5-'Anchor Points'!$A$4)*('Anchor Points'!$D$5-'Anchor Points'!$D$4),IF(A122&lt;=55,'Anchor Points'!$D$5+(A122-'Anchor Points'!$A$5)/('Anchor Points'!$A$6-'Anchor Points'!$A$5)*('Anchor Points'!$D$6-'Anchor Points'!$D$5),IF(A122&lt;=70,'Anchor Points'!$D$6+(A122-'Anchor Points'!$A$6)/('Anchor Points'!$A$7-'Anchor Points'!$A$6)*('Anchor Points'!$D$7-'Anchor Points'!$D$6),IF(A122&lt;=90,'Anchor Points'!$D$7+(A122-'Anchor Points'!$A$7)/('Anchor Points'!$A$8-'Anchor Points'!$A$7)*('Anchor Points'!$D$8-'Anchor Points'!$D$7),'Anchor Points'!$D$8+(A122-'Anchor Points'!$A$8)/('Anchor Points'!$A$9-'Anchor Points'!$A$8)*('Anchor Points'!$D$9-'Anchor Points'!$D$8)))))))</x:f>
        <x:v>5</x:v>
      </x:c>
      <x:c r="F122" s="30" t="n">
        <x:f>ROUND(E122,0)</x:f>
        <x:v>5</x:v>
      </x:c>
      <x:c r="G122" s="28" t="n">
        <x:f>IF(A122&lt;=15,'Anchor Points'!$E$2+(A122-'Anchor Points'!$A$2)/('Anchor Points'!$A$3-'Anchor Points'!$A$2)*('Anchor Points'!$E$3-'Anchor Points'!$E$2),IF(A122&lt;=25,'Anchor Points'!$E$3+(A122-'Anchor Points'!$A$3)/('Anchor Points'!$A$4-'Anchor Points'!$A$3)*('Anchor Points'!$E$4-'Anchor Points'!$E$3),IF(A122&lt;=40,'Anchor Points'!$E$4+(A122-'Anchor Points'!$A$4)/('Anchor Points'!$A$5-'Anchor Points'!$A$4)*('Anchor Points'!$E$5-'Anchor Points'!$E$4),IF(A122&lt;=55,'Anchor Points'!$E$5+(A122-'Anchor Points'!$A$5)/('Anchor Points'!$A$6-'Anchor Points'!$A$5)*('Anchor Points'!$E$6-'Anchor Points'!$E$5),IF(A122&lt;=70,'Anchor Points'!$E$6+(A122-'Anchor Points'!$A$6)/('Anchor Points'!$A$7-'Anchor Points'!$A$6)*('Anchor Points'!$E$7-'Anchor Points'!$E$6),IF(A122&lt;=90,'Anchor Points'!$E$7+(A122-'Anchor Points'!$A$7)/('Anchor Points'!$A$8-'Anchor Points'!$A$7)*('Anchor Points'!$E$8-'Anchor Points'!$E$7),'Anchor Points'!$E$8+(A122-'Anchor Points'!$A$8)/('Anchor Points'!$A$9-'Anchor Points'!$A$8)*('Anchor Points'!$E$9-'Anchor Points'!$E$8)))))))</x:f>
        <x:v>12</x:v>
      </x:c>
      <x:c r="H122" s="30" t="n">
        <x:f>ROUND(G122,0)</x:f>
        <x:v>12</x:v>
      </x:c>
      <x:c r="I122" s="28" t="n">
        <x:f>IF(A122&lt;=15,'Anchor Points'!$F$2+(A122-'Anchor Points'!$A$2)/('Anchor Points'!$A$3-'Anchor Points'!$A$2)*('Anchor Points'!$F$3-'Anchor Points'!$F$2),IF(A122&lt;=25,'Anchor Points'!$F$3+(A122-'Anchor Points'!$A$3)/('Anchor Points'!$A$4-'Anchor Points'!$A$3)*('Anchor Points'!$F$4-'Anchor Points'!$F$3),IF(A122&lt;=40,'Anchor Points'!$F$4+(A122-'Anchor Points'!$A$4)/('Anchor Points'!$A$5-'Anchor Points'!$A$4)*('Anchor Points'!$F$5-'Anchor Points'!$F$4),IF(A122&lt;=55,'Anchor Points'!$F$5+(A122-'Anchor Points'!$A$5)/('Anchor Points'!$A$6-'Anchor Points'!$A$5)*('Anchor Points'!$F$6-'Anchor Points'!$F$5),IF(A122&lt;=70,'Anchor Points'!$F$6+(A122-'Anchor Points'!$A$6)/('Anchor Points'!$A$7-'Anchor Points'!$A$6)*('Anchor Points'!$F$7-'Anchor Points'!$F$6),IF(A122&lt;=90,'Anchor Points'!$F$7+(A122-'Anchor Points'!$A$7)/('Anchor Points'!$A$8-'Anchor Points'!$A$7)*('Anchor Points'!$F$8-'Anchor Points'!$F$7),'Anchor Points'!$F$8+(A122-'Anchor Points'!$A$8)/('Anchor Points'!$A$9-'Anchor Points'!$A$8)*('Anchor Points'!$F$9-'Anchor Points'!$F$8)))))))</x:f>
        <x:v>55</x:v>
      </x:c>
      <x:c r="K122" s="36" t="n">
        <x:f>A98</x:f>
        <x:v>96</x:v>
      </x:c>
      <x:c r="L122" s="36" t="n">
        <x:f>E98</x:f>
        <x:v>7.4</x:v>
      </x:c>
      <x:c r="M122" s="36" t="n">
        <x:f>G98</x:f>
        <x:v>10.4</x:v>
      </x:c>
      <x:c r="N122" s="36" t="n">
        <x:f>I98</x:f>
        <x:v>51</x:v>
      </x:c>
    </x:row>
    <x:row r="123">
      <x:c r="K123" s="36" t="n">
        <x:f>A99</x:f>
        <x:v>97</x:v>
      </x:c>
      <x:c r="L123" s="36" t="n">
        <x:f>E99</x:f>
        <x:v>7.3</x:v>
      </x:c>
      <x:c r="M123" s="36" t="n">
        <x:f>G99</x:f>
        <x:v>10.466666666666667</x:v>
      </x:c>
      <x:c r="N123" s="36" t="n">
        <x:f>I99</x:f>
        <x:v>51.166666666666664</x:v>
      </x:c>
    </x:row>
    <x:row r="124">
      <x:c r="K124" s="36" t="n">
        <x:f>A100</x:f>
        <x:v>98</x:v>
      </x:c>
      <x:c r="L124" s="36" t="n">
        <x:f>E100</x:f>
        <x:v>7.2</x:v>
      </x:c>
      <x:c r="M124" s="36" t="n">
        <x:f>G100</x:f>
        <x:v>10.533333333333333</x:v>
      </x:c>
      <x:c r="N124" s="36" t="n">
        <x:f>I100</x:f>
        <x:v>51.333333333333336</x:v>
      </x:c>
    </x:row>
    <x:row r="125">
      <x:c r="K125" s="36" t="n">
        <x:f>A101</x:f>
        <x:v>99</x:v>
      </x:c>
      <x:c r="L125" s="36" t="n">
        <x:f>E101</x:f>
        <x:v>7.1</x:v>
      </x:c>
      <x:c r="M125" s="36" t="n">
        <x:f>G101</x:f>
        <x:v>10.6</x:v>
      </x:c>
      <x:c r="N125" s="36" t="n">
        <x:f>I101</x:f>
        <x:v>51.5</x:v>
      </x:c>
    </x:row>
    <x:row r="126">
      <x:c r="K126" s="36" t="n">
        <x:f>A102</x:f>
        <x:v>100</x:v>
      </x:c>
      <x:c r="L126" s="36" t="n">
        <x:f>E102</x:f>
        <x:v>7</x:v>
      </x:c>
      <x:c r="M126" s="36" t="n">
        <x:f>G102</x:f>
        <x:v>10.666666666666666</x:v>
      </x:c>
      <x:c r="N126" s="36" t="n">
        <x:f>I102</x:f>
        <x:v>51.666666666666664</x:v>
      </x:c>
    </x:row>
    <x:row r="127">
      <x:c r="K127" s="36" t="n">
        <x:f>A103</x:f>
        <x:v>101</x:v>
      </x:c>
      <x:c r="L127" s="36" t="n">
        <x:f>E103</x:f>
        <x:v>6.9</x:v>
      </x:c>
      <x:c r="M127" s="36" t="n">
        <x:f>G103</x:f>
        <x:v>10.733333333333333</x:v>
      </x:c>
      <x:c r="N127" s="36" t="n">
        <x:f>I103</x:f>
        <x:v>51.833333333333336</x:v>
      </x:c>
    </x:row>
    <x:row r="128">
      <x:c r="K128" s="36" t="n">
        <x:f>A104</x:f>
        <x:v>102</x:v>
      </x:c>
      <x:c r="L128" s="36" t="n">
        <x:f>E104</x:f>
        <x:v>6.8</x:v>
      </x:c>
      <x:c r="M128" s="36" t="n">
        <x:f>G104</x:f>
        <x:v>10.8</x:v>
      </x:c>
      <x:c r="N128" s="36" t="n">
        <x:f>I104</x:f>
        <x:v>52</x:v>
      </x:c>
    </x:row>
    <x:row r="129">
      <x:c r="K129" s="36" t="n">
        <x:f>A105</x:f>
        <x:v>103</x:v>
      </x:c>
      <x:c r="L129" s="36" t="n">
        <x:f>E105</x:f>
        <x:v>6.7</x:v>
      </x:c>
      <x:c r="M129" s="36" t="n">
        <x:f>G105</x:f>
        <x:v>10.866666666666667</x:v>
      </x:c>
      <x:c r="N129" s="36" t="n">
        <x:f>I105</x:f>
        <x:v>52.166666666666664</x:v>
      </x:c>
    </x:row>
    <x:row r="130">
      <x:c r="K130" s="36" t="n">
        <x:f>A106</x:f>
        <x:v>104</x:v>
      </x:c>
      <x:c r="L130" s="36" t="n">
        <x:f>E106</x:f>
        <x:v>6.6</x:v>
      </x:c>
      <x:c r="M130" s="36" t="n">
        <x:f>G106</x:f>
        <x:v>10.933333333333334</x:v>
      </x:c>
      <x:c r="N130" s="36" t="n">
        <x:f>I106</x:f>
        <x:v>52.333333333333336</x:v>
      </x:c>
    </x:row>
    <x:row r="131">
      <x:c r="K131" s="36" t="n">
        <x:f>A107</x:f>
        <x:v>105</x:v>
      </x:c>
      <x:c r="L131" s="36" t="n">
        <x:f>E107</x:f>
        <x:v>6.5</x:v>
      </x:c>
      <x:c r="M131" s="36" t="n">
        <x:f>G107</x:f>
        <x:v>11</x:v>
      </x:c>
      <x:c r="N131" s="36" t="n">
        <x:f>I107</x:f>
        <x:v>52.5</x:v>
      </x:c>
    </x:row>
    <x:row r="132">
      <x:c r="K132" s="36" t="n">
        <x:f>A108</x:f>
        <x:v>106</x:v>
      </x:c>
      <x:c r="L132" s="36" t="n">
        <x:f>E108</x:f>
        <x:v>6.4</x:v>
      </x:c>
      <x:c r="M132" s="36" t="n">
        <x:f>G108</x:f>
        <x:v>11.066666666666666</x:v>
      </x:c>
      <x:c r="N132" s="36" t="n">
        <x:f>I108</x:f>
        <x:v>52.666666666666664</x:v>
      </x:c>
    </x:row>
    <x:row r="133">
      <x:c r="K133" s="36" t="n">
        <x:f>A109</x:f>
        <x:v>107</x:v>
      </x:c>
      <x:c r="L133" s="36" t="n">
        <x:f>E109</x:f>
        <x:v>6.3</x:v>
      </x:c>
      <x:c r="M133" s="36" t="n">
        <x:f>G109</x:f>
        <x:v>11.133333333333333</x:v>
      </x:c>
      <x:c r="N133" s="36" t="n">
        <x:f>I109</x:f>
        <x:v>52.833333333333336</x:v>
      </x:c>
    </x:row>
    <x:row r="134">
      <x:c r="K134" s="36" t="n">
        <x:f>A110</x:f>
        <x:v>108</x:v>
      </x:c>
      <x:c r="L134" s="36" t="n">
        <x:f>E110</x:f>
        <x:v>6.2</x:v>
      </x:c>
      <x:c r="M134" s="36" t="n">
        <x:f>G110</x:f>
        <x:v>11.2</x:v>
      </x:c>
      <x:c r="N134" s="36" t="n">
        <x:f>I110</x:f>
        <x:v>53</x:v>
      </x:c>
    </x:row>
    <x:row r="135">
      <x:c r="K135" s="36" t="n">
        <x:f>A111</x:f>
        <x:v>109</x:v>
      </x:c>
      <x:c r="L135" s="36" t="n">
        <x:f>E111</x:f>
        <x:v>6.1</x:v>
      </x:c>
      <x:c r="M135" s="36" t="n">
        <x:f>G111</x:f>
        <x:v>11.266666666666666</x:v>
      </x:c>
      <x:c r="N135" s="36" t="n">
        <x:f>I111</x:f>
        <x:v>53.166666666666664</x:v>
      </x:c>
    </x:row>
    <x:row r="136">
      <x:c r="K136" s="36" t="n">
        <x:f>A112</x:f>
        <x:v>110</x:v>
      </x:c>
      <x:c r="L136" s="36" t="n">
        <x:f>E112</x:f>
        <x:v>6</x:v>
      </x:c>
      <x:c r="M136" s="36" t="n">
        <x:f>G112</x:f>
        <x:v>11.333333333333334</x:v>
      </x:c>
      <x:c r="N136" s="36" t="n">
        <x:f>I112</x:f>
        <x:v>53.333333333333336</x:v>
      </x:c>
    </x:row>
    <x:row r="137">
      <x:c r="K137" s="36" t="n">
        <x:f>A113</x:f>
        <x:v>111</x:v>
      </x:c>
      <x:c r="L137" s="36" t="n">
        <x:f>E113</x:f>
        <x:v>5.9</x:v>
      </x:c>
      <x:c r="M137" s="36" t="n">
        <x:f>G113</x:f>
        <x:v>11.4</x:v>
      </x:c>
      <x:c r="N137" s="36" t="n">
        <x:f>I113</x:f>
        <x:v>53.5</x:v>
      </x:c>
    </x:row>
    <x:row r="138">
      <x:c r="K138" s="36" t="n">
        <x:f>A114</x:f>
        <x:v>112</x:v>
      </x:c>
      <x:c r="L138" s="36" t="n">
        <x:f>E114</x:f>
        <x:v>5.800000000000001</x:v>
      </x:c>
      <x:c r="M138" s="36" t="n">
        <x:f>G114</x:f>
        <x:v>11.466666666666667</x:v>
      </x:c>
      <x:c r="N138" s="36" t="n">
        <x:f>I114</x:f>
        <x:v>53.666666666666664</x:v>
      </x:c>
    </x:row>
    <x:row r="139">
      <x:c r="K139" s="36" t="n">
        <x:f>A115</x:f>
        <x:v>113</x:v>
      </x:c>
      <x:c r="L139" s="36" t="n">
        <x:f>E115</x:f>
        <x:v>5.699999999999999</x:v>
      </x:c>
      <x:c r="M139" s="36" t="n">
        <x:f>G115</x:f>
        <x:v>11.533333333333333</x:v>
      </x:c>
      <x:c r="N139" s="36" t="n">
        <x:f>I115</x:f>
        <x:v>53.833333333333336</x:v>
      </x:c>
    </x:row>
    <x:row r="140">
      <x:c r="K140" s="36" t="n">
        <x:f>A116</x:f>
        <x:v>114</x:v>
      </x:c>
      <x:c r="L140" s="36" t="n">
        <x:f>E116</x:f>
        <x:v>5.6</x:v>
      </x:c>
      <x:c r="M140" s="36" t="n">
        <x:f>G116</x:f>
        <x:v>11.6</x:v>
      </x:c>
      <x:c r="N140" s="36" t="n">
        <x:f>I116</x:f>
        <x:v>54</x:v>
      </x:c>
    </x:row>
    <x:row r="141">
      <x:c r="K141" s="36" t="n">
        <x:f>A117</x:f>
        <x:v>115</x:v>
      </x:c>
      <x:c r="L141" s="36" t="n">
        <x:f>E117</x:f>
        <x:v>5.5</x:v>
      </x:c>
      <x:c r="M141" s="36" t="n">
        <x:f>G117</x:f>
        <x:v>11.666666666666666</x:v>
      </x:c>
      <x:c r="N141" s="36" t="n">
        <x:f>I117</x:f>
        <x:v>54.166666666666664</x:v>
      </x:c>
    </x:row>
    <x:row r="142">
      <x:c r="K142" s="36" t="n">
        <x:f>A118</x:f>
        <x:v>116</x:v>
      </x:c>
      <x:c r="L142" s="36" t="n">
        <x:f>E118</x:f>
        <x:v>5.4</x:v>
      </x:c>
      <x:c r="M142" s="36" t="n">
        <x:f>G118</x:f>
        <x:v>11.733333333333334</x:v>
      </x:c>
      <x:c r="N142" s="36" t="n">
        <x:f>I118</x:f>
        <x:v>54.333333333333336</x:v>
      </x:c>
    </x:row>
    <x:row r="143">
      <x:c r="K143" s="36" t="n">
        <x:f>A119</x:f>
        <x:v>117</x:v>
      </x:c>
      <x:c r="L143" s="36" t="n">
        <x:f>E119</x:f>
        <x:v>5.3</x:v>
      </x:c>
      <x:c r="M143" s="36" t="n">
        <x:f>G119</x:f>
        <x:v>11.8</x:v>
      </x:c>
      <x:c r="N143" s="36" t="n">
        <x:f>I119</x:f>
        <x:v>54.5</x:v>
      </x:c>
    </x:row>
    <x:row r="144">
      <x:c r="K144" s="36" t="n">
        <x:f>A120</x:f>
        <x:v>118</x:v>
      </x:c>
      <x:c r="L144" s="36" t="n">
        <x:f>E120</x:f>
        <x:v>5.2</x:v>
      </x:c>
      <x:c r="M144" s="36" t="n">
        <x:f>G120</x:f>
        <x:v>11.866666666666667</x:v>
      </x:c>
      <x:c r="N144" s="36" t="n">
        <x:f>I120</x:f>
        <x:v>54.666666666666664</x:v>
      </x:c>
    </x:row>
    <x:row r="145">
      <x:c r="K145" s="36" t="n">
        <x:f>A121</x:f>
        <x:v>119</x:v>
      </x:c>
      <x:c r="L145" s="36" t="n">
        <x:f>E121</x:f>
        <x:v>5.1</x:v>
      </x:c>
      <x:c r="M145" s="36" t="n">
        <x:f>G121</x:f>
        <x:v>11.933333333333334</x:v>
      </x:c>
      <x:c r="N145" s="36" t="n">
        <x:f>I121</x:f>
        <x:v>54.833333333333336</x:v>
      </x:c>
    </x:row>
    <x:row r="146">
      <x:c r="K146" s="36" t="n">
        <x:f>A122</x:f>
        <x:v>120</x:v>
      </x:c>
      <x:c r="L146" s="36" t="n">
        <x:f>E122</x:f>
        <x:v>5</x:v>
      </x:c>
      <x:c r="M146" s="36" t="n">
        <x:f>G122</x:f>
        <x:v>12</x:v>
      </x:c>
      <x:c r="N146" s="36" t="n">
        <x:f>I122</x:f>
        <x:v>55</x:v>
      </x:c>
    </x:row>
  </x:sheetData>
  <x:mergeCells>
    <x:mergeCell ref="K1:N1"/>
    <x:mergeCell ref="L2:N2"/>
    <x:mergeCell ref="L3:N3"/>
    <x:mergeCell ref="L4:N4"/>
    <x:mergeCell ref="L5:N5"/>
  </x:mergeCells>
  <x:conditionalFormatting sqref="C2:C12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{2F0A67D9-0187-336D-91D5-DE8BF13BBCB1}</x14:id>
        </x:ext>
      </x:extLst>
    </x:cfRule>
  </x:conditionalFormatting>
  <x:conditionalFormatting sqref="D2:D122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{272B820B-2A61-3CA1-509E-8BE9DD1A2C9D}</x14:id>
        </x:ext>
      </x:extLst>
    </x:cfRule>
  </x:conditionalFormatting>
  <x:conditionalFormatting sqref="I2:I122">
    <x:cfRule type="dataBar" priority="3">
      <x:dataBar>
        <x:cfvo type="min"/>
        <x:cfvo type="max"/>
        <x:color rgb="FF4EA72E"/>
      </x:dataBar>
      <x:extLst>
        <x:ext xmlns:x14="http://schemas.microsoft.com/office/spreadsheetml/2009/9/main" uri="{B025F937-C7B1-47D3-B67F-A62EFF666E3E}">
          <x14:id>{A40374BB-5F61-8C19-99D8-08C2CBB56D8A}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ed4016187b04c97"/>
  <x:tableParts count="1">
    <x:tablePart xmlns:r="http://schemas.openxmlformats.org/officeDocument/2006/relationships" r:id="Re9af8dcb1f494cd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F0A67D9-0187-336D-91D5-DE8BF13BBCB1}">
            <x14:dataBar gradient="1">
              <x14:cfvo type="min"/>
              <x14:cfvo type="max"/>
              <x14:fillColor rgb="FFA02B93"/>
            </x14:dataBar>
          </x14:cfRule>
          <xm:sqref>C2:C122</xm:sqref>
        </x14:conditionalFormatting>
        <x14:conditionalFormatting>
          <x14:cfRule type="dataBar" priority="2" id="{272B820B-2A61-3CA1-509E-8BE9DD1A2C9D}">
            <x14:dataBar gradient="1">
              <x14:cfvo type="min"/>
              <x14:cfvo type="max"/>
              <x14:fillColor rgb="FF0F9ED5"/>
            </x14:dataBar>
          </x14:cfRule>
          <xm:sqref>D2:D122</xm:sqref>
        </x14:conditionalFormatting>
        <x14:conditionalFormatting>
          <x14:cfRule type="dataBar" priority="3" id="{A40374BB-5F61-8C19-99D8-08C2CBB56D8A}">
            <x14:dataBar gradient="1">
              <x14:cfvo type="min"/>
              <x14:cfvo type="max"/>
              <x14:fillColor rgb="FF4EA72E"/>
            </x14:dataBar>
          </x14:cfRule>
          <xm:sqref>I2:I122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4.5" hidden="0" customWidth="1"/>
    <x:col min="3" max="3" width="11.5" hidden="0" customWidth="1"/>
    <x:col min="4" max="4" width="6.5" hidden="0" customWidth="1"/>
    <x:col min="5" max="5" width="4.880000114440918" hidden="0" customWidth="1"/>
    <x:col min="6" max="6" width="16.1299991607666" hidden="0" customWidth="1"/>
  </x:cols>
  <x:sheetData>
    <x:row r="1">
      <x:c r="A1" s="5" t="str">
        <x:v>DAS</x:v>
      </x:c>
      <x:c r="B1" s="5" t="str">
        <x:v>Height (cm)</x:v>
      </x:c>
      <x:c r="C1" s="5" t="str">
        <x:v>Biomass Index</x:v>
      </x:c>
      <x:c r="D1" s="5" t="str">
        <x:v>Flowers</x:v>
      </x:c>
      <x:c r="E1" s="5" t="str">
        <x:v>Fruits</x:v>
      </x:c>
      <x:c r="F1" s="5" t="str">
        <x:v>Fruit Diameter (mm)</x:v>
      </x:c>
    </x:row>
    <x:row r="2">
      <x:c r="A2" s="11" t="n">
        <x:v>0</x:v>
      </x:c>
      <x:c r="B2" s="11" t="n">
        <x:v>0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</x:row>
    <x:row r="3">
      <x:c r="A3" s="11" t="n">
        <x:v>15</x:v>
      </x:c>
      <x:c r="B3" s="11" t="n">
        <x:v>9</x:v>
      </x:c>
      <x:c r="C3" s="11" t="n">
        <x:v>5</x:v>
      </x:c>
      <x:c r="D3" s="11" t="n">
        <x:v>0</x:v>
      </x:c>
      <x:c r="E3" s="11" t="n">
        <x:v>0</x:v>
      </x:c>
      <x:c r="F3" s="11" t="n">
        <x:v>0</x:v>
      </x:c>
    </x:row>
    <x:row r="4">
      <x:c r="A4" s="11" t="n">
        <x:v>25</x:v>
      </x:c>
      <x:c r="B4" s="11" t="n">
        <x:v>20</x:v>
      </x:c>
      <x:c r="C4" s="11" t="n">
        <x:v>10</x:v>
      </x:c>
      <x:c r="D4" s="11" t="n">
        <x:v>0</x:v>
      </x:c>
      <x:c r="E4" s="11" t="n">
        <x:v>0</x:v>
      </x:c>
      <x:c r="F4" s="11" t="n">
        <x:v>0</x:v>
      </x:c>
    </x:row>
    <x:row r="5">
      <x:c r="A5" s="11" t="n">
        <x:v>40</x:v>
      </x:c>
      <x:c r="B5" s="11" t="n">
        <x:v>38</x:v>
      </x:c>
      <x:c r="C5" s="11" t="n">
        <x:v>25</x:v>
      </x:c>
      <x:c r="D5" s="11" t="n">
        <x:v>2</x:v>
      </x:c>
      <x:c r="E5" s="11" t="n">
        <x:v>0</x:v>
      </x:c>
      <x:c r="F5" s="11" t="n">
        <x:v>0</x:v>
      </x:c>
    </x:row>
    <x:row r="6">
      <x:c r="A6" s="11" t="n">
        <x:v>55</x:v>
      </x:c>
      <x:c r="B6" s="11" t="n">
        <x:v>58</x:v>
      </x:c>
      <x:c r="C6" s="11" t="n">
        <x:v>45</x:v>
      </x:c>
      <x:c r="D6" s="11" t="n">
        <x:v>7</x:v>
      </x:c>
      <x:c r="E6" s="11" t="n">
        <x:v>1</x:v>
      </x:c>
      <x:c r="F6" s="11" t="n">
        <x:v>8</x:v>
      </x:c>
    </x:row>
    <x:row r="7">
      <x:c r="A7" s="11" t="n">
        <x:v>70</x:v>
      </x:c>
      <x:c r="B7" s="11" t="n">
        <x:v>72</x:v>
      </x:c>
      <x:c r="C7" s="11" t="n">
        <x:v>65</x:v>
      </x:c>
      <x:c r="D7" s="11" t="n">
        <x:v>12</x:v>
      </x:c>
      <x:c r="E7" s="11" t="n">
        <x:v>5</x:v>
      </x:c>
      <x:c r="F7" s="11" t="n">
        <x:v>25</x:v>
      </x:c>
    </x:row>
    <x:row r="8">
      <x:c r="A8" s="11" t="n">
        <x:v>90</x:v>
      </x:c>
      <x:c r="B8" s="11" t="n">
        <x:v>82</x:v>
      </x:c>
      <x:c r="C8" s="11" t="n">
        <x:v>85</x:v>
      </x:c>
      <x:c r="D8" s="11" t="n">
        <x:v>8</x:v>
      </x:c>
      <x:c r="E8" s="11" t="n">
        <x:v>10</x:v>
      </x:c>
      <x:c r="F8" s="11" t="n">
        <x:v>50</x:v>
      </x:c>
    </x:row>
    <x:row r="9">
      <x:c r="A9" s="11" t="n">
        <x:v>120</x:v>
      </x:c>
      <x:c r="B9" s="11" t="n">
        <x:v>90</x:v>
      </x:c>
      <x:c r="C9" s="11" t="n">
        <x:v>100</x:v>
      </x:c>
      <x:c r="D9" s="11" t="n">
        <x:v>5</x:v>
      </x:c>
      <x:c r="E9" s="11" t="n">
        <x:v>12</x:v>
      </x:c>
      <x:c r="F9" s="11" t="n">
        <x:v>55</x:v>
      </x:c>
    </x:row>
    <x:row r="11">
      <x:c r="A11" s="15" t="str">
        <x:v>Note</x:v>
      </x:c>
      <x:c r="B11" s="15" t="str"/>
      <x:c r="C11" s="15" t="str"/>
      <x:c r="D11" s="15" t="str"/>
      <x:c r="E11" s="15" t="str"/>
      <x:c r="F11" s="15" t="str"/>
    </x:row>
    <x:row r="12">
      <x:c r="A12" s="18" t="str">
        <x:v>Method</x:v>
      </x:c>
      <x:c r="B12" s="20" t="str">
        <x:v>Daily values are generated by linear interpolation between consecutive anchor points.</x:v>
      </x:c>
      <x:c r="C12" s="20" t="str"/>
      <x:c r="D12" s="20" t="str"/>
      <x:c r="E12" s="20" t="str"/>
      <x:c r="F12" s="20" t="str"/>
    </x:row>
    <x:row r="13">
      <x:c r="A13" s="18" t="str">
        <x:v>Usage</x:v>
      </x:c>
      <x:c r="B13" s="20" t="str">
        <x:v>Flowers and fruits may be fractional as model averages; round them for display on one virtual plant.</x:v>
      </x:c>
      <x:c r="C13" s="20" t="str"/>
      <x:c r="D13" s="20" t="str"/>
      <x:c r="E13" s="20" t="str"/>
      <x:c r="F13" s="20" t="str"/>
    </x:row>
  </x:sheetData>
  <x:mergeCells>
    <x:mergeCell ref="B12:F12"/>
    <x:mergeCell ref="B13:F13"/>
  </x:mergeCells>
  <x:pageMargins left="0.7" right="0.7" top="0.75" bottom="0.75" header="0.3" footer="0.3"/>
  <x:tableParts count="1">
    <x:tablePart xmlns:r="http://schemas.openxmlformats.org/officeDocument/2006/relationships" r:id="R18624950ec4f49ed"/>
  </x:tableParts>
</x:worksheet>
</file>